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Nach Mannschaften sortiert" sheetId="1" state="visible" r:id="rId1"/>
    <sheet name="ICS2" sheetId="2" state="visible" r:id="rId2"/>
    <sheet name="Kalendernamen" sheetId="3" state="visible" r:id="rId3"/>
    <sheet name="Trainingsplan" sheetId="4" state="visible" r:id="rId4"/>
    <sheet name="Heimspiele" sheetId="5" state="visible" r:id="rId5"/>
    <sheet name="Tabelle1" sheetId="6" state="visible" r:id="rId6"/>
    <sheet name="Stefans Liste 2026" sheetId="7" state="visible" r:id="rId7"/>
    <sheet name="Tabelle2" sheetId="8" state="visible" r:id="rId8"/>
  </sheets>
  <definedNames>
    <definedName name="_xlnm._FilterDatabase" localSheetId="0" hidden="1">'Nach Mannschaften sortiert'!$A$1:$H$93</definedName>
    <definedName name="_xlnm._FilterDatabase" localSheetId="4" hidden="1">'Heimspiele'!$A$1:$H$84</definedName>
    <definedName name="_xlnm._FilterDatabase" localSheetId="6" hidden="1">'Stefans Liste 2026'!$A$1:$K$83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F800]dddd\,\ mmmm\ dd\,\ yyyy"/>
    <numFmt numFmtId="165" formatCode="dd\.mm\.yyyy;@"/>
    <numFmt numFmtId="166" formatCode="hh:mm;@"/>
    <numFmt numFmtId="167" formatCode="[$-C07]dddd\,\ dd\.\ mmmm\ yyyy;@"/>
  </numFmts>
  <fonts count="12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2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20"/>
      <scheme val="minor"/>
    </font>
    <font>
      <name val="Arial"/>
      <family val="2"/>
      <sz val="18"/>
    </font>
    <font>
      <name val="Calibri"/>
      <family val="2"/>
      <b val="1"/>
      <sz val="12"/>
      <scheme val="minor"/>
    </font>
    <font>
      <name val="Calibri"/>
      <family val="2"/>
      <sz val="11"/>
      <scheme val="minor"/>
    </font>
    <font>
      <name val="Calibri"/>
      <family val="2"/>
      <color theme="10"/>
      <sz val="11"/>
      <u val="single"/>
      <scheme val="minor"/>
    </font>
  </fonts>
  <fills count="2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 tint="0.599993896298104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D58DCC"/>
        <bgColor indexed="64"/>
      </patternFill>
    </fill>
    <fill>
      <patternFill patternType="solid">
        <fgColor rgb="FFEB7788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</borders>
  <cellStyleXfs count="2">
    <xf numFmtId="0" fontId="0" fillId="0" borderId="0"/>
    <xf numFmtId="0" fontId="11" fillId="0" borderId="0"/>
  </cellStyleXfs>
  <cellXfs count="140">
    <xf numFmtId="0" fontId="0" fillId="0" borderId="0" pivotButton="0" quotePrefix="0" xfId="0"/>
    <xf numFmtId="14" fontId="0" fillId="0" borderId="0" applyAlignment="1" pivotButton="0" quotePrefix="0" xfId="0">
      <alignment horizontal="center"/>
    </xf>
    <xf numFmtId="14" fontId="0" fillId="0" borderId="2" applyAlignment="1" pivotButton="0" quotePrefix="0" xfId="0">
      <alignment horizontal="center"/>
    </xf>
    <xf numFmtId="20" fontId="0" fillId="2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2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2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  <xf numFmtId="164" fontId="0" fillId="2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20" fontId="0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164" fontId="1" fillId="6" borderId="1" applyAlignment="1" pivotButton="0" quotePrefix="0" xfId="0">
      <alignment horizontal="center"/>
    </xf>
    <xf numFmtId="20" fontId="1" fillId="6" borderId="1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3" applyAlignment="1" pivotButton="0" quotePrefix="0" xfId="0">
      <alignment wrapText="1"/>
    </xf>
    <xf numFmtId="0" fontId="1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2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20" fontId="0" fillId="9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4" fontId="0" fillId="8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164" fontId="0" fillId="10" borderId="1" applyAlignment="1" pivotButton="0" quotePrefix="0" xfId="0">
      <alignment horizontal="center"/>
    </xf>
    <xf numFmtId="20" fontId="0" fillId="10" borderId="1" applyAlignment="1" pivotButton="0" quotePrefix="0" xfId="0">
      <alignment horizontal="center"/>
    </xf>
    <xf numFmtId="164" fontId="0" fillId="9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0" fontId="0" fillId="11" borderId="1" pivotButton="0" quotePrefix="0" xfId="0"/>
    <xf numFmtId="0" fontId="4" fillId="0" borderId="4" pivotButton="0" quotePrefix="0" xfId="0"/>
    <xf numFmtId="0" fontId="5" fillId="13" borderId="7" pivotButton="0" quotePrefix="0" xfId="0"/>
    <xf numFmtId="0" fontId="5" fillId="13" borderId="9" pivotButton="0" quotePrefix="0" xfId="0"/>
    <xf numFmtId="0" fontId="6" fillId="14" borderId="7" pivotButton="0" quotePrefix="0" xfId="0"/>
    <xf numFmtId="0" fontId="3" fillId="0" borderId="1" applyAlignment="1" pivotButton="0" quotePrefix="0" xfId="0">
      <alignment wrapText="1"/>
    </xf>
    <xf numFmtId="0" fontId="3" fillId="0" borderId="5" applyAlignment="1" pivotButton="0" quotePrefix="0" xfId="0">
      <alignment wrapText="1"/>
    </xf>
    <xf numFmtId="0" fontId="3" fillId="0" borderId="1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0" fillId="15" borderId="1" applyAlignment="1" pivotButton="0" quotePrefix="0" xfId="0">
      <alignment horizontal="center"/>
    </xf>
    <xf numFmtId="0" fontId="0" fillId="15" borderId="1" pivotButton="0" quotePrefix="0" xfId="0"/>
    <xf numFmtId="0" fontId="0" fillId="16" borderId="1" applyAlignment="1" pivotButton="0" quotePrefix="0" xfId="0">
      <alignment horizontal="center"/>
    </xf>
    <xf numFmtId="164" fontId="0" fillId="16" borderId="1" applyAlignment="1" pivotButton="0" quotePrefix="0" xfId="0">
      <alignment horizontal="center"/>
    </xf>
    <xf numFmtId="20" fontId="0" fillId="16" borderId="1" applyAlignment="1" pivotButton="0" quotePrefix="0" xfId="0">
      <alignment horizontal="center"/>
    </xf>
    <xf numFmtId="164" fontId="0" fillId="0" borderId="0" pivotButton="0" quotePrefix="0" xfId="0"/>
    <xf numFmtId="0" fontId="0" fillId="2" borderId="0" applyAlignment="1" pivotButton="0" quotePrefix="0" xfId="0">
      <alignment horizontal="center"/>
    </xf>
    <xf numFmtId="164" fontId="0" fillId="2" borderId="0" applyAlignment="1" pivotButton="0" quotePrefix="0" xfId="0">
      <alignment horizontal="center"/>
    </xf>
    <xf numFmtId="0" fontId="0" fillId="17" borderId="0" applyAlignment="1" pivotButton="0" quotePrefix="0" xfId="0">
      <alignment horizontal="center"/>
    </xf>
    <xf numFmtId="164" fontId="0" fillId="17" borderId="0" applyAlignment="1" pivotButton="0" quotePrefix="0" xfId="0">
      <alignment horizontal="center"/>
    </xf>
    <xf numFmtId="0" fontId="0" fillId="18" borderId="0" applyAlignment="1" pivotButton="0" quotePrefix="0" xfId="0">
      <alignment horizontal="center"/>
    </xf>
    <xf numFmtId="164" fontId="0" fillId="18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164" fontId="0" fillId="9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64" fontId="0" fillId="11" borderId="1" applyAlignment="1" pivotButton="0" quotePrefix="0" xfId="0">
      <alignment horizontal="center"/>
    </xf>
    <xf numFmtId="164" fontId="0" fillId="15" borderId="1" applyAlignment="1" pivotButton="0" quotePrefix="0" xfId="0">
      <alignment horizontal="center"/>
    </xf>
    <xf numFmtId="0" fontId="9" fillId="0" borderId="1" pivotButton="0" quotePrefix="0" xfId="0"/>
    <xf numFmtId="0" fontId="9" fillId="3" borderId="1" pivotButton="0" quotePrefix="0" xfId="0"/>
    <xf numFmtId="0" fontId="9" fillId="0" borderId="8" pivotButton="0" quotePrefix="0" xfId="0"/>
    <xf numFmtId="20" fontId="9" fillId="3" borderId="1" pivotButton="0" quotePrefix="0" xfId="0"/>
    <xf numFmtId="0" fontId="10" fillId="0" borderId="0" pivotButton="0" quotePrefix="0" xfId="0"/>
    <xf numFmtId="0" fontId="9" fillId="12" borderId="1" pivotButton="0" quotePrefix="0" xfId="0"/>
    <xf numFmtId="0" fontId="9" fillId="2" borderId="1" pivotButton="0" quotePrefix="0" xfId="0"/>
    <xf numFmtId="0" fontId="9" fillId="12" borderId="8" pivotButton="0" quotePrefix="0" xfId="0"/>
    <xf numFmtId="0" fontId="9" fillId="0" borderId="10" pivotButton="0" quotePrefix="0" xfId="0"/>
    <xf numFmtId="0" fontId="9" fillId="2" borderId="10" pivotButton="0" quotePrefix="0" xfId="0"/>
    <xf numFmtId="0" fontId="9" fillId="13" borderId="10" pivotButton="0" quotePrefix="0" xfId="0"/>
    <xf numFmtId="0" fontId="9" fillId="0" borderId="11" pivotButton="0" quotePrefix="0" xfId="0"/>
    <xf numFmtId="0" fontId="9" fillId="2" borderId="5" applyAlignment="1" pivotButton="0" quotePrefix="0" xfId="0">
      <alignment wrapText="1"/>
    </xf>
    <xf numFmtId="0" fontId="9" fillId="0" borderId="5" pivotButton="0" quotePrefix="0" xfId="0"/>
    <xf numFmtId="0" fontId="9" fillId="0" borderId="6" pivotButton="0" quotePrefix="0" xfId="0"/>
    <xf numFmtId="0" fontId="9" fillId="2" borderId="10" applyAlignment="1" pivotButton="0" quotePrefix="0" xfId="0">
      <alignment wrapText="1"/>
    </xf>
    <xf numFmtId="0" fontId="9" fillId="0" borderId="13" pivotButton="0" quotePrefix="0" xfId="0"/>
    <xf numFmtId="0" fontId="9" fillId="2" borderId="13" applyAlignment="1" pivotButton="0" quotePrefix="0" xfId="0">
      <alignment wrapText="1"/>
    </xf>
    <xf numFmtId="0" fontId="9" fillId="0" borderId="14" pivotButton="0" quotePrefix="0" xfId="0"/>
    <xf numFmtId="0" fontId="9" fillId="0" borderId="18" pivotButton="0" quotePrefix="0" xfId="0"/>
    <xf numFmtId="165" fontId="0" fillId="0" borderId="0" pivotButton="0" quotePrefix="0" xfId="0"/>
    <xf numFmtId="20" fontId="0" fillId="11" borderId="1" pivotButton="0" quotePrefix="0" xfId="0"/>
    <xf numFmtId="20" fontId="0" fillId="15" borderId="1" pivotButton="0" quotePrefix="0" xfId="0"/>
    <xf numFmtId="49" fontId="0" fillId="0" borderId="0" pivotButton="0" quotePrefix="0" xfId="0"/>
    <xf numFmtId="0" fontId="11" fillId="0" borderId="0" pivotButton="0" quotePrefix="0" xfId="1"/>
    <xf numFmtId="0" fontId="0" fillId="0" borderId="1" pivotButton="0" quotePrefix="0" xfId="0"/>
    <xf numFmtId="20" fontId="0" fillId="0" borderId="2" applyAlignment="1" pivotButton="0" quotePrefix="0" xfId="0">
      <alignment horizontal="center"/>
    </xf>
    <xf numFmtId="0" fontId="0" fillId="19" borderId="1" applyAlignment="1" pivotButton="0" quotePrefix="0" xfId="0">
      <alignment horizontal="center"/>
    </xf>
    <xf numFmtId="164" fontId="0" fillId="19" borderId="1" applyAlignment="1" pivotButton="0" quotePrefix="0" xfId="0">
      <alignment horizontal="center"/>
    </xf>
    <xf numFmtId="20" fontId="0" fillId="19" borderId="1" pivotButton="0" quotePrefix="0" xfId="0"/>
    <xf numFmtId="0" fontId="0" fillId="19" borderId="1" pivotButton="0" quotePrefix="0" xfId="0"/>
    <xf numFmtId="0" fontId="0" fillId="20" borderId="1" applyAlignment="1" pivotButton="0" quotePrefix="0" xfId="0">
      <alignment horizontal="center"/>
    </xf>
    <xf numFmtId="164" fontId="0" fillId="20" borderId="1" applyAlignment="1" pivotButton="0" quotePrefix="0" xfId="0">
      <alignment horizontal="center"/>
    </xf>
    <xf numFmtId="20" fontId="0" fillId="20" borderId="1" pivotButton="0" quotePrefix="0" xfId="0"/>
    <xf numFmtId="0" fontId="0" fillId="20" borderId="1" pivotButton="0" quotePrefix="0" xfId="0"/>
    <xf numFmtId="0" fontId="0" fillId="0" borderId="0" pivotButton="0" quotePrefix="0" xfId="0"/>
    <xf numFmtId="166" fontId="0" fillId="0" borderId="0" pivotButton="0" quotePrefix="0" xfId="0"/>
    <xf numFmtId="166" fontId="0" fillId="0" borderId="0" applyAlignment="1" pivotButton="0" quotePrefix="0" xfId="0">
      <alignment horizontal="center"/>
    </xf>
    <xf numFmtId="166" fontId="0" fillId="9" borderId="0" applyAlignment="1" pivotButton="0" quotePrefix="0" xfId="0">
      <alignment horizontal="center"/>
    </xf>
    <xf numFmtId="166" fontId="0" fillId="17" borderId="0" applyAlignment="1" pivotButton="0" quotePrefix="0" xfId="0">
      <alignment horizontal="center"/>
    </xf>
    <xf numFmtId="166" fontId="0" fillId="2" borderId="0" applyAlignment="1" pivotButton="0" quotePrefix="0" xfId="0">
      <alignment horizontal="center"/>
    </xf>
    <xf numFmtId="166" fontId="0" fillId="18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167" fontId="8" fillId="0" borderId="1" applyAlignment="1" pivotButton="0" quotePrefix="0" xfId="0">
      <alignment horizontal="center"/>
    </xf>
    <xf numFmtId="166" fontId="8" fillId="0" borderId="1" applyAlignment="1" pivotButton="0" quotePrefix="0" xfId="0">
      <alignment horizontal="center"/>
    </xf>
    <xf numFmtId="167" fontId="4" fillId="2" borderId="1" applyAlignment="1" pivotButton="0" quotePrefix="0" xfId="0">
      <alignment horizontal="center"/>
    </xf>
    <xf numFmtId="166" fontId="4" fillId="2" borderId="1" applyAlignment="1" pivotButton="0" quotePrefix="0" xfId="0">
      <alignment horizontal="center"/>
    </xf>
    <xf numFmtId="167" fontId="0" fillId="0" borderId="0" pivotButton="0" quotePrefix="0" xfId="0"/>
    <xf numFmtId="167" fontId="4" fillId="0" borderId="1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  <xf numFmtId="0" fontId="4" fillId="13" borderId="19" pivotButton="0" quotePrefix="0" xfId="0"/>
    <xf numFmtId="0" fontId="0" fillId="0" borderId="15" pivotButton="0" quotePrefix="0" xfId="0"/>
    <xf numFmtId="0" fontId="0" fillId="0" borderId="16" pivotButton="0" quotePrefix="0" xfId="0"/>
    <xf numFmtId="0" fontId="7" fillId="0" borderId="7" applyAlignment="1" pivotButton="0" quotePrefix="0" xfId="0">
      <alignment vertical="center" wrapText="1"/>
    </xf>
    <xf numFmtId="0" fontId="0" fillId="0" borderId="12" pivotButton="0" quotePrefix="0" xfId="0"/>
    <xf numFmtId="0" fontId="0" fillId="0" borderId="17" pivotButton="0" quotePrefix="0" xfId="0"/>
    <xf numFmtId="0" fontId="4" fillId="2" borderId="19" pivotButton="0" quotePrefix="0" xfId="0"/>
    <xf numFmtId="0" fontId="4" fillId="12" borderId="19" pivotButton="0" quotePrefix="0" xfId="0"/>
    <xf numFmtId="0" fontId="5" fillId="0" borderId="0" applyAlignment="1" pivotButton="0" quotePrefix="0" xfId="0">
      <alignment horizontal="center"/>
    </xf>
    <xf numFmtId="0" fontId="0" fillId="0" borderId="0" pivotButton="0" quotePrefix="0" xfId="0"/>
    <xf numFmtId="0" fontId="4" fillId="3" borderId="19" pivotButton="0" quotePrefix="0" xfId="0"/>
    <xf numFmtId="165" fontId="0" fillId="0" borderId="0" pivotButton="0" quotePrefix="0" xfId="0"/>
    <xf numFmtId="166" fontId="0" fillId="0" borderId="0" pivotButton="0" quotePrefix="0" xfId="0"/>
    <xf numFmtId="166" fontId="0" fillId="0" borderId="0" applyAlignment="1" pivotButton="0" quotePrefix="0" xfId="0">
      <alignment horizontal="center"/>
    </xf>
    <xf numFmtId="166" fontId="0" fillId="9" borderId="0" applyAlignment="1" pivotButton="0" quotePrefix="0" xfId="0">
      <alignment horizontal="center"/>
    </xf>
    <xf numFmtId="166" fontId="0" fillId="17" borderId="0" applyAlignment="1" pivotButton="0" quotePrefix="0" xfId="0">
      <alignment horizontal="center"/>
    </xf>
    <xf numFmtId="166" fontId="0" fillId="2" borderId="0" applyAlignment="1" pivotButton="0" quotePrefix="0" xfId="0">
      <alignment horizontal="center"/>
    </xf>
    <xf numFmtId="166" fontId="0" fillId="18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167" fontId="8" fillId="0" borderId="1" applyAlignment="1" pivotButton="0" quotePrefix="0" xfId="0">
      <alignment horizontal="center"/>
    </xf>
    <xf numFmtId="166" fontId="8" fillId="0" borderId="1" applyAlignment="1" pivotButton="0" quotePrefix="0" xfId="0">
      <alignment horizontal="center"/>
    </xf>
    <xf numFmtId="167" fontId="4" fillId="2" borderId="1" applyAlignment="1" pivotButton="0" quotePrefix="0" xfId="0">
      <alignment horizontal="center"/>
    </xf>
    <xf numFmtId="166" fontId="4" fillId="2" borderId="1" applyAlignment="1" pivotButton="0" quotePrefix="0" xfId="0">
      <alignment horizontal="center"/>
    </xf>
    <xf numFmtId="167" fontId="0" fillId="0" borderId="0" pivotButton="0" quotePrefix="0" xfId="0"/>
    <xf numFmtId="167" fontId="4" fillId="0" borderId="1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</cellXfs>
  <cellStyles count="2">
    <cellStyle name="Standard" xfId="0" builtinId="0"/>
    <cellStyle name="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22"/>
  <sheetViews>
    <sheetView zoomScaleNormal="100" workbookViewId="0">
      <selection activeCell="C66" sqref="C66:C73"/>
    </sheetView>
  </sheetViews>
  <sheetFormatPr baseColWidth="10" defaultColWidth="10.6640625" defaultRowHeight="14.4"/>
  <cols>
    <col width="21.109375" bestFit="1" customWidth="1" style="57" min="1" max="1"/>
    <col width="8.33203125" bestFit="1" customWidth="1" style="57" min="2" max="2"/>
    <col width="17.88671875" bestFit="1" customWidth="1" style="57" min="3" max="3"/>
    <col width="29.88671875" bestFit="1" customWidth="1" style="58" min="4" max="4"/>
    <col width="17.5546875" bestFit="1" customWidth="1" style="1" min="5" max="5"/>
    <col width="21.88671875" bestFit="1" customWidth="1" style="57" min="6" max="6"/>
    <col width="33" bestFit="1" customWidth="1" style="57" min="7" max="7"/>
    <col width="17.109375" bestFit="1" customWidth="1" style="57" min="8" max="8"/>
  </cols>
  <sheetData>
    <row r="1">
      <c r="A1" s="57" t="inlineStr">
        <is>
          <t>fortlaufende Nummer</t>
        </is>
      </c>
      <c r="B1" s="5" t="inlineStr">
        <is>
          <t>Runde</t>
        </is>
      </c>
      <c r="C1" s="5" t="inlineStr">
        <is>
          <t>Mannschaft</t>
        </is>
      </c>
      <c r="D1" s="11" t="inlineStr">
        <is>
          <t>fixierter Termin</t>
        </is>
      </c>
      <c r="E1" s="2" t="inlineStr">
        <is>
          <t>fixierte Uhrzeit</t>
        </is>
      </c>
      <c r="F1" s="5" t="inlineStr">
        <is>
          <t>Ort</t>
        </is>
      </c>
      <c r="G1" s="5" t="inlineStr">
        <is>
          <t>Gegner</t>
        </is>
      </c>
      <c r="H1" s="5" t="inlineStr">
        <is>
          <t>Auswärt/Heim</t>
        </is>
      </c>
    </row>
    <row r="2">
      <c r="B2" s="5" t="n">
        <v>0</v>
      </c>
      <c r="C2" s="5" t="inlineStr">
        <is>
          <t>KM</t>
        </is>
      </c>
      <c r="D2" s="11" t="n">
        <v>46220</v>
      </c>
      <c r="E2" s="90" t="n">
        <v>0.7916666666666666</v>
      </c>
      <c r="F2" s="5" t="inlineStr">
        <is>
          <t>Rohrbach</t>
        </is>
      </c>
      <c r="G2" s="5" t="inlineStr">
        <is>
          <t>Rohrbach</t>
        </is>
      </c>
      <c r="H2" s="5" t="inlineStr">
        <is>
          <t>Auswärts</t>
        </is>
      </c>
    </row>
    <row r="3">
      <c r="B3" s="5" t="n">
        <v>0</v>
      </c>
      <c r="C3" s="5" t="inlineStr">
        <is>
          <t>KM</t>
        </is>
      </c>
      <c r="D3" s="11" t="n">
        <v>46241</v>
      </c>
      <c r="E3" s="90" t="n">
        <v>0.7916666666666666</v>
      </c>
      <c r="F3" s="5" t="inlineStr">
        <is>
          <t>Neufeld</t>
        </is>
      </c>
      <c r="G3" s="5" t="inlineStr">
        <is>
          <t>Bad Fischau</t>
        </is>
      </c>
      <c r="H3" s="5" t="inlineStr">
        <is>
          <t>Heim</t>
        </is>
      </c>
    </row>
    <row r="4">
      <c r="B4" s="5" t="n">
        <v>0</v>
      </c>
      <c r="C4" s="5" t="inlineStr">
        <is>
          <t>U16</t>
        </is>
      </c>
      <c r="D4" s="11" t="n">
        <v>46199</v>
      </c>
      <c r="E4" s="90" t="n">
        <v>0.75</v>
      </c>
      <c r="F4" s="5" t="inlineStr">
        <is>
          <t>Wimpassing</t>
        </is>
      </c>
      <c r="G4" s="5" t="inlineStr">
        <is>
          <t>SK Rapid Wien</t>
        </is>
      </c>
      <c r="H4" s="5" t="inlineStr">
        <is>
          <t>Heim</t>
        </is>
      </c>
    </row>
    <row r="5">
      <c r="B5" s="5" t="n">
        <v>0</v>
      </c>
      <c r="C5" s="5" t="inlineStr">
        <is>
          <t>U15</t>
        </is>
      </c>
      <c r="D5" s="11" t="n">
        <v>46199</v>
      </c>
      <c r="E5" s="90" t="n">
        <v>0.6666666666666666</v>
      </c>
      <c r="F5" s="5" t="inlineStr">
        <is>
          <t>Wimpassing</t>
        </is>
      </c>
      <c r="G5" s="5" t="inlineStr">
        <is>
          <t>SK Rapid Wien</t>
        </is>
      </c>
      <c r="H5" s="5" t="inlineStr">
        <is>
          <t>Heim</t>
        </is>
      </c>
    </row>
    <row r="6">
      <c r="A6" s="4" t="n">
        <v>1</v>
      </c>
      <c r="B6" s="4" t="n">
        <v>1</v>
      </c>
      <c r="C6" s="4" t="inlineStr">
        <is>
          <t>KM</t>
        </is>
      </c>
      <c r="D6" s="12" t="n"/>
      <c r="E6" s="3" t="n"/>
      <c r="F6" s="4" t="n"/>
      <c r="G6" s="4" t="n"/>
      <c r="H6" s="4" t="n"/>
    </row>
    <row r="7">
      <c r="A7" s="4" t="n">
        <v>2</v>
      </c>
      <c r="B7" s="4" t="n">
        <v>2</v>
      </c>
      <c r="C7" s="4" t="inlineStr">
        <is>
          <t>KM</t>
        </is>
      </c>
      <c r="D7" s="12" t="n"/>
      <c r="E7" s="3" t="n"/>
      <c r="F7" s="4" t="n"/>
      <c r="G7" s="4" t="n"/>
      <c r="H7" s="4" t="n"/>
    </row>
    <row r="8">
      <c r="A8" s="4" t="n">
        <v>3</v>
      </c>
      <c r="B8" s="4" t="n">
        <v>3</v>
      </c>
      <c r="C8" s="4" t="inlineStr">
        <is>
          <t>KM</t>
        </is>
      </c>
      <c r="D8" s="12" t="n"/>
      <c r="E8" s="3" t="n"/>
      <c r="F8" s="4" t="n"/>
      <c r="G8" s="4" t="n"/>
      <c r="H8" s="4" t="n"/>
    </row>
    <row r="9">
      <c r="A9" s="4" t="n">
        <v>4</v>
      </c>
      <c r="B9" s="4" t="n">
        <v>4</v>
      </c>
      <c r="C9" s="4" t="inlineStr">
        <is>
          <t>KM</t>
        </is>
      </c>
      <c r="D9" s="12" t="n"/>
      <c r="E9" s="3" t="n"/>
      <c r="F9" s="4" t="n"/>
      <c r="G9" s="4" t="n"/>
      <c r="H9" s="4" t="n"/>
    </row>
    <row r="10">
      <c r="A10" s="4" t="n">
        <v>5</v>
      </c>
      <c r="B10" s="4" t="n">
        <v>5</v>
      </c>
      <c r="C10" s="4" t="inlineStr">
        <is>
          <t>KM</t>
        </is>
      </c>
      <c r="D10" s="12" t="n"/>
      <c r="E10" s="3" t="n"/>
      <c r="F10" s="4" t="n"/>
      <c r="G10" s="4" t="n"/>
      <c r="H10" s="4" t="n"/>
    </row>
    <row r="11">
      <c r="A11" s="4" t="n">
        <v>6</v>
      </c>
      <c r="B11" s="4" t="n">
        <v>6</v>
      </c>
      <c r="C11" s="4" t="inlineStr">
        <is>
          <t>KM</t>
        </is>
      </c>
      <c r="D11" s="12" t="n"/>
      <c r="E11" s="3" t="n"/>
      <c r="F11" s="4" t="n"/>
      <c r="G11" s="4" t="n"/>
      <c r="H11" s="4" t="n"/>
    </row>
    <row r="12">
      <c r="A12" s="4" t="n">
        <v>7</v>
      </c>
      <c r="B12" s="4" t="n">
        <v>7</v>
      </c>
      <c r="C12" s="4" t="inlineStr">
        <is>
          <t>KM</t>
        </is>
      </c>
      <c r="D12" s="12" t="n"/>
      <c r="E12" s="3" t="n"/>
      <c r="F12" s="4" t="n"/>
      <c r="G12" s="4" t="n"/>
      <c r="H12" s="4" t="n"/>
    </row>
    <row r="13">
      <c r="A13" s="4" t="n">
        <v>8</v>
      </c>
      <c r="B13" s="4" t="n">
        <v>8</v>
      </c>
      <c r="C13" s="4" t="inlineStr">
        <is>
          <t>KM</t>
        </is>
      </c>
      <c r="D13" s="12" t="n"/>
      <c r="E13" s="3" t="n"/>
      <c r="F13" s="4" t="n"/>
      <c r="G13" s="4" t="n"/>
      <c r="H13" s="4" t="n"/>
    </row>
    <row r="14">
      <c r="A14" s="4" t="n">
        <v>9</v>
      </c>
      <c r="B14" s="4" t="n">
        <v>9</v>
      </c>
      <c r="C14" s="4" t="inlineStr">
        <is>
          <t>KM</t>
        </is>
      </c>
      <c r="D14" s="12" t="n"/>
      <c r="E14" s="3" t="n"/>
      <c r="F14" s="4" t="n"/>
      <c r="G14" s="4" t="n"/>
      <c r="H14" s="4" t="n"/>
    </row>
    <row r="15">
      <c r="A15" s="4" t="n">
        <v>10</v>
      </c>
      <c r="B15" s="4" t="n">
        <v>10</v>
      </c>
      <c r="C15" s="4" t="inlineStr">
        <is>
          <t>KM</t>
        </is>
      </c>
      <c r="D15" s="12" t="n"/>
      <c r="E15" s="3" t="n"/>
      <c r="F15" s="4" t="n"/>
      <c r="G15" s="4" t="n"/>
      <c r="H15" s="4" t="n"/>
    </row>
    <row r="16">
      <c r="A16" s="4" t="n">
        <v>11</v>
      </c>
      <c r="B16" s="4" t="n">
        <v>11</v>
      </c>
      <c r="C16" s="4" t="inlineStr">
        <is>
          <t>KM</t>
        </is>
      </c>
      <c r="D16" s="12" t="n"/>
      <c r="E16" s="3" t="n"/>
      <c r="F16" s="4" t="n"/>
      <c r="G16" s="4" t="n"/>
      <c r="H16" s="4" t="n"/>
    </row>
    <row r="17">
      <c r="A17" s="4" t="n">
        <v>12</v>
      </c>
      <c r="B17" s="4" t="n">
        <v>12</v>
      </c>
      <c r="C17" s="4" t="inlineStr">
        <is>
          <t>KM</t>
        </is>
      </c>
      <c r="D17" s="12" t="n"/>
      <c r="E17" s="3" t="n"/>
      <c r="F17" s="4" t="n"/>
      <c r="G17" s="4" t="n"/>
      <c r="H17" s="4" t="n"/>
    </row>
    <row r="18">
      <c r="A18" s="4" t="n">
        <v>13</v>
      </c>
      <c r="B18" s="4" t="n">
        <v>13</v>
      </c>
      <c r="C18" s="4" t="inlineStr">
        <is>
          <t>KM</t>
        </is>
      </c>
      <c r="D18" s="12" t="n"/>
      <c r="E18" s="3" t="n"/>
      <c r="F18" s="4" t="n"/>
      <c r="G18" s="4" t="n"/>
      <c r="H18" s="4" t="n"/>
    </row>
    <row r="19">
      <c r="A19" s="4" t="n">
        <v>1</v>
      </c>
      <c r="B19" s="4" t="n">
        <v>1</v>
      </c>
      <c r="C19" s="4" t="inlineStr">
        <is>
          <t>U23</t>
        </is>
      </c>
      <c r="D19" s="12" t="n"/>
      <c r="E19" s="3" t="n"/>
      <c r="F19" s="4" t="n"/>
      <c r="G19" s="4" t="n"/>
      <c r="H19" s="4" t="n"/>
    </row>
    <row r="20">
      <c r="A20" s="4" t="n">
        <v>2</v>
      </c>
      <c r="B20" s="4" t="n">
        <v>2</v>
      </c>
      <c r="C20" s="4" t="inlineStr">
        <is>
          <t>U23</t>
        </is>
      </c>
      <c r="D20" s="12" t="n"/>
      <c r="E20" s="3" t="n"/>
      <c r="F20" s="4" t="n"/>
      <c r="G20" s="4" t="n"/>
      <c r="H20" s="4" t="n"/>
    </row>
    <row r="21">
      <c r="A21" s="4" t="n">
        <v>3</v>
      </c>
      <c r="B21" s="4" t="n">
        <v>3</v>
      </c>
      <c r="C21" s="4" t="inlineStr">
        <is>
          <t>U23</t>
        </is>
      </c>
      <c r="D21" s="12" t="n"/>
      <c r="E21" s="3" t="n"/>
      <c r="F21" s="4" t="n"/>
      <c r="G21" s="4" t="n"/>
      <c r="H21" s="4" t="n"/>
    </row>
    <row r="22">
      <c r="A22" s="4" t="n">
        <v>4</v>
      </c>
      <c r="B22" s="4" t="n">
        <v>4</v>
      </c>
      <c r="C22" s="4" t="inlineStr">
        <is>
          <t>U23</t>
        </is>
      </c>
      <c r="D22" s="12" t="n"/>
      <c r="E22" s="3" t="n"/>
      <c r="F22" s="4" t="n"/>
      <c r="G22" s="4" t="n"/>
      <c r="H22" s="4" t="n"/>
    </row>
    <row r="23">
      <c r="A23" s="4" t="n">
        <v>5</v>
      </c>
      <c r="B23" s="4" t="n">
        <v>5</v>
      </c>
      <c r="C23" s="4" t="inlineStr">
        <is>
          <t>U23</t>
        </is>
      </c>
      <c r="D23" s="12" t="n"/>
      <c r="E23" s="3" t="n"/>
      <c r="F23" s="4" t="n"/>
      <c r="G23" s="4" t="n"/>
      <c r="H23" s="4" t="n"/>
    </row>
    <row r="24">
      <c r="A24" s="4" t="n">
        <v>6</v>
      </c>
      <c r="B24" s="4" t="n">
        <v>6</v>
      </c>
      <c r="C24" s="4" t="inlineStr">
        <is>
          <t>U23</t>
        </is>
      </c>
      <c r="D24" s="12" t="n"/>
      <c r="E24" s="3" t="n"/>
      <c r="F24" s="4" t="n"/>
      <c r="G24" s="4" t="n"/>
      <c r="H24" s="4" t="n"/>
    </row>
    <row r="25">
      <c r="A25" s="4" t="n">
        <v>7</v>
      </c>
      <c r="B25" s="4" t="n">
        <v>7</v>
      </c>
      <c r="C25" s="4" t="inlineStr">
        <is>
          <t>U23</t>
        </is>
      </c>
      <c r="D25" s="12" t="n"/>
      <c r="E25" s="3" t="n"/>
      <c r="F25" s="4" t="n"/>
      <c r="G25" s="4" t="n"/>
      <c r="H25" s="4" t="n"/>
    </row>
    <row r="26">
      <c r="A26" s="4" t="n">
        <v>8</v>
      </c>
      <c r="B26" s="4" t="n">
        <v>8</v>
      </c>
      <c r="C26" s="4" t="inlineStr">
        <is>
          <t>U23</t>
        </is>
      </c>
      <c r="D26" s="12" t="n"/>
      <c r="E26" s="3" t="n"/>
      <c r="F26" s="4" t="n"/>
      <c r="G26" s="4" t="n"/>
      <c r="H26" s="4" t="n"/>
    </row>
    <row r="27">
      <c r="A27" s="4" t="n">
        <v>9</v>
      </c>
      <c r="B27" s="4" t="n">
        <v>9</v>
      </c>
      <c r="C27" s="4" t="inlineStr">
        <is>
          <t>U23</t>
        </is>
      </c>
      <c r="D27" s="12" t="n"/>
      <c r="E27" s="3" t="n"/>
      <c r="F27" s="4" t="n"/>
      <c r="G27" s="4" t="n"/>
      <c r="H27" s="4" t="n"/>
    </row>
    <row r="28">
      <c r="A28" s="4" t="n">
        <v>10</v>
      </c>
      <c r="B28" s="4" t="n">
        <v>10</v>
      </c>
      <c r="C28" s="4" t="inlineStr">
        <is>
          <t>U23</t>
        </is>
      </c>
      <c r="D28" s="12" t="n"/>
      <c r="E28" s="3" t="n"/>
      <c r="F28" s="4" t="n"/>
      <c r="G28" s="4" t="n"/>
      <c r="H28" s="4" t="n"/>
    </row>
    <row r="29">
      <c r="A29" s="4" t="n">
        <v>11</v>
      </c>
      <c r="B29" s="4" t="n">
        <v>11</v>
      </c>
      <c r="C29" s="4" t="inlineStr">
        <is>
          <t>U23</t>
        </is>
      </c>
      <c r="D29" s="12" t="n"/>
      <c r="E29" s="3" t="n"/>
      <c r="F29" s="4" t="n"/>
      <c r="G29" s="4" t="n"/>
      <c r="H29" s="4" t="n"/>
    </row>
    <row r="30">
      <c r="A30" s="4" t="n">
        <v>12</v>
      </c>
      <c r="B30" s="4" t="n">
        <v>12</v>
      </c>
      <c r="C30" s="4" t="inlineStr">
        <is>
          <t>U23</t>
        </is>
      </c>
      <c r="D30" s="12" t="n"/>
      <c r="E30" s="3" t="n"/>
      <c r="F30" s="4" t="n"/>
      <c r="G30" s="4" t="n"/>
      <c r="H30" s="4" t="n"/>
    </row>
    <row r="31">
      <c r="A31" s="4" t="n">
        <v>13</v>
      </c>
      <c r="B31" s="4" t="n">
        <v>13</v>
      </c>
      <c r="C31" s="4" t="inlineStr">
        <is>
          <t>U23</t>
        </is>
      </c>
      <c r="D31" s="12" t="n"/>
      <c r="E31" s="3" t="n"/>
      <c r="F31" s="4" t="n"/>
      <c r="G31" s="4" t="n"/>
      <c r="H31" s="4" t="n"/>
    </row>
    <row r="32">
      <c r="A32" s="24" t="n">
        <v>14</v>
      </c>
      <c r="B32" s="24" t="n">
        <v>1</v>
      </c>
      <c r="C32" s="24" t="inlineStr">
        <is>
          <t>U16</t>
        </is>
      </c>
      <c r="D32" s="31" t="n"/>
      <c r="E32" s="25" t="n"/>
      <c r="F32" s="24" t="n"/>
      <c r="G32" s="24" t="n"/>
      <c r="H32" s="24" t="n"/>
    </row>
    <row r="33">
      <c r="A33" s="24" t="n">
        <v>15</v>
      </c>
      <c r="B33" s="24" t="n">
        <v>2</v>
      </c>
      <c r="C33" s="24" t="inlineStr">
        <is>
          <t>U16</t>
        </is>
      </c>
      <c r="D33" s="31" t="n"/>
      <c r="E33" s="25" t="n"/>
      <c r="F33" s="24" t="n"/>
      <c r="G33" s="24" t="n"/>
      <c r="H33" s="24" t="n"/>
    </row>
    <row r="34">
      <c r="A34" s="24" t="n">
        <v>16</v>
      </c>
      <c r="B34" s="24" t="n">
        <v>3</v>
      </c>
      <c r="C34" s="24" t="inlineStr">
        <is>
          <t>U16</t>
        </is>
      </c>
      <c r="D34" s="31" t="n"/>
      <c r="E34" s="25" t="n"/>
      <c r="F34" s="24" t="n"/>
      <c r="G34" s="24" t="n"/>
      <c r="H34" s="24" t="n"/>
    </row>
    <row r="35">
      <c r="A35" s="24" t="n">
        <v>17</v>
      </c>
      <c r="B35" s="24" t="n">
        <v>4</v>
      </c>
      <c r="C35" s="24" t="inlineStr">
        <is>
          <t>U16</t>
        </is>
      </c>
      <c r="D35" s="31" t="n"/>
      <c r="E35" s="25" t="n"/>
      <c r="F35" s="24" t="n"/>
      <c r="G35" s="24" t="n"/>
      <c r="H35" s="24" t="n"/>
    </row>
    <row r="36">
      <c r="A36" s="24" t="n">
        <v>18</v>
      </c>
      <c r="B36" s="24" t="n">
        <v>5</v>
      </c>
      <c r="C36" s="24" t="inlineStr">
        <is>
          <t>U16</t>
        </is>
      </c>
      <c r="D36" s="31" t="n"/>
      <c r="E36" s="25" t="n"/>
      <c r="F36" s="24" t="n"/>
      <c r="G36" s="24" t="n"/>
      <c r="H36" s="24" t="n"/>
    </row>
    <row r="37">
      <c r="A37" s="24" t="n">
        <v>19</v>
      </c>
      <c r="B37" s="24" t="n">
        <v>6</v>
      </c>
      <c r="C37" s="24" t="inlineStr">
        <is>
          <t>U16</t>
        </is>
      </c>
      <c r="D37" s="31" t="n"/>
      <c r="E37" s="25" t="n"/>
      <c r="F37" s="24" t="n"/>
      <c r="G37" s="24" t="n"/>
      <c r="H37" s="24" t="n"/>
    </row>
    <row r="38">
      <c r="A38" s="24" t="n">
        <v>20</v>
      </c>
      <c r="B38" s="24" t="n">
        <v>7</v>
      </c>
      <c r="C38" s="24" t="inlineStr">
        <is>
          <t>U16</t>
        </is>
      </c>
      <c r="D38" s="31" t="n"/>
      <c r="E38" s="25" t="n"/>
      <c r="F38" s="24" t="n"/>
      <c r="G38" s="24" t="n"/>
      <c r="H38" s="24" t="n"/>
    </row>
    <row r="39">
      <c r="A39" s="24" t="n">
        <v>21</v>
      </c>
      <c r="B39" s="24" t="n">
        <v>8</v>
      </c>
      <c r="C39" s="24" t="inlineStr">
        <is>
          <t>U16</t>
        </is>
      </c>
      <c r="D39" s="31" t="n"/>
      <c r="E39" s="25" t="n"/>
      <c r="F39" s="24" t="n"/>
      <c r="G39" s="24" t="n"/>
      <c r="H39" s="24" t="n"/>
    </row>
    <row r="40">
      <c r="A40" s="24" t="n">
        <v>22</v>
      </c>
      <c r="B40" s="24" t="n">
        <v>9</v>
      </c>
      <c r="C40" s="24" t="inlineStr">
        <is>
          <t>U16</t>
        </is>
      </c>
      <c r="D40" s="31" t="n"/>
      <c r="E40" s="25" t="n"/>
      <c r="F40" s="24" t="n"/>
      <c r="G40" s="24" t="n"/>
      <c r="H40" s="24" t="n"/>
    </row>
    <row r="41">
      <c r="A41" s="24" t="n">
        <v>23</v>
      </c>
      <c r="B41" s="24" t="n">
        <v>10</v>
      </c>
      <c r="C41" s="24" t="inlineStr">
        <is>
          <t>U16</t>
        </is>
      </c>
      <c r="D41" s="31" t="n"/>
      <c r="E41" s="25" t="n"/>
      <c r="F41" s="24" t="n"/>
      <c r="G41" s="24" t="n"/>
      <c r="H41" s="24" t="n"/>
    </row>
    <row r="42">
      <c r="A42" s="6" t="n">
        <v>25</v>
      </c>
      <c r="B42" s="6" t="n">
        <v>2</v>
      </c>
      <c r="C42" s="6" t="inlineStr">
        <is>
          <t>U14</t>
        </is>
      </c>
      <c r="D42" s="13" t="n"/>
      <c r="E42" s="7" t="n"/>
      <c r="F42" s="6" t="n"/>
      <c r="G42" s="6" t="n"/>
      <c r="H42" s="6" t="n"/>
    </row>
    <row r="43">
      <c r="A43" s="6" t="n">
        <v>26</v>
      </c>
      <c r="B43" s="6" t="n">
        <v>3</v>
      </c>
      <c r="C43" s="6" t="inlineStr">
        <is>
          <t>U14</t>
        </is>
      </c>
      <c r="D43" s="13" t="n"/>
      <c r="E43" s="7" t="n"/>
      <c r="F43" s="6" t="n"/>
      <c r="G43" s="6" t="n"/>
      <c r="H43" s="6" t="n"/>
    </row>
    <row r="44">
      <c r="A44" s="6" t="n">
        <v>27</v>
      </c>
      <c r="B44" s="6" t="n">
        <v>4</v>
      </c>
      <c r="C44" s="6" t="inlineStr">
        <is>
          <t>U14</t>
        </is>
      </c>
      <c r="D44" s="13" t="n"/>
      <c r="E44" s="7" t="n"/>
      <c r="F44" s="6" t="n"/>
      <c r="G44" s="6" t="n"/>
      <c r="H44" s="6" t="n"/>
    </row>
    <row r="45">
      <c r="A45" s="6" t="n">
        <v>28</v>
      </c>
      <c r="B45" s="6" t="n">
        <v>5</v>
      </c>
      <c r="C45" s="6" t="inlineStr">
        <is>
          <t>U14</t>
        </is>
      </c>
      <c r="D45" s="13" t="n"/>
      <c r="E45" s="7" t="n"/>
      <c r="F45" s="6" t="n"/>
      <c r="G45" s="6" t="n"/>
      <c r="H45" s="6" t="n"/>
    </row>
    <row r="46">
      <c r="A46" s="6" t="n">
        <v>30</v>
      </c>
      <c r="B46" s="6" t="n">
        <v>7</v>
      </c>
      <c r="C46" s="6" t="inlineStr">
        <is>
          <t>U14</t>
        </is>
      </c>
      <c r="D46" s="13" t="n"/>
      <c r="E46" s="7" t="n"/>
      <c r="F46" s="6" t="n"/>
      <c r="G46" s="6" t="n"/>
      <c r="H46" s="6" t="n"/>
    </row>
    <row r="47">
      <c r="A47" s="6" t="n">
        <v>31</v>
      </c>
      <c r="B47" s="6" t="n">
        <v>8</v>
      </c>
      <c r="C47" s="6" t="inlineStr">
        <is>
          <t>U14</t>
        </is>
      </c>
      <c r="D47" s="13" t="n"/>
      <c r="E47" s="7" t="n"/>
      <c r="F47" s="6" t="n"/>
      <c r="G47" s="6" t="n"/>
      <c r="H47" s="6" t="n"/>
    </row>
    <row r="48">
      <c r="A48" s="6" t="n">
        <v>32</v>
      </c>
      <c r="B48" s="6" t="n">
        <v>9</v>
      </c>
      <c r="C48" s="6" t="inlineStr">
        <is>
          <t>U14</t>
        </is>
      </c>
      <c r="D48" s="13" t="n"/>
      <c r="E48" s="7" t="n"/>
      <c r="F48" s="6" t="n"/>
      <c r="G48" s="6" t="n"/>
      <c r="H48" s="6" t="n"/>
    </row>
    <row r="49">
      <c r="A49" s="6" t="n">
        <v>33</v>
      </c>
      <c r="B49" s="6" t="n">
        <v>10</v>
      </c>
      <c r="C49" s="6" t="inlineStr">
        <is>
          <t>U14</t>
        </is>
      </c>
      <c r="D49" s="13" t="n"/>
      <c r="E49" s="7" t="n"/>
      <c r="F49" s="6" t="n"/>
      <c r="G49" s="6" t="n"/>
      <c r="H49" s="6" t="n"/>
    </row>
    <row r="50" ht="14.25" customFormat="1" customHeight="1" s="14">
      <c r="A50" s="21" t="n">
        <v>34</v>
      </c>
      <c r="B50" s="16" t="n">
        <v>1</v>
      </c>
      <c r="C50" s="16" t="inlineStr">
        <is>
          <t>U13</t>
        </is>
      </c>
      <c r="D50" s="17" t="n"/>
      <c r="E50" s="18" t="n"/>
      <c r="F50" s="16" t="n"/>
      <c r="G50" s="16" t="n"/>
      <c r="H50" s="16" t="n"/>
      <c r="I50" s="20" t="n"/>
    </row>
    <row r="51">
      <c r="A51" s="21" t="n">
        <v>35</v>
      </c>
      <c r="B51" s="16" t="n">
        <v>2</v>
      </c>
      <c r="C51" s="16" t="inlineStr">
        <is>
          <t>U13</t>
        </is>
      </c>
      <c r="D51" s="17" t="n"/>
      <c r="E51" s="18" t="n"/>
      <c r="F51" s="16" t="n"/>
      <c r="G51" s="16" t="n"/>
      <c r="H51" s="16" t="n"/>
      <c r="I51" s="19" t="n"/>
    </row>
    <row r="52">
      <c r="A52" s="21" t="n">
        <v>36</v>
      </c>
      <c r="B52" s="16" t="n">
        <v>3</v>
      </c>
      <c r="C52" s="16" t="inlineStr">
        <is>
          <t>U13</t>
        </is>
      </c>
      <c r="D52" s="17" t="n"/>
      <c r="E52" s="18" t="n"/>
      <c r="F52" s="16" t="n"/>
      <c r="G52" s="16" t="n"/>
      <c r="H52" s="16" t="n"/>
      <c r="I52" s="19" t="n"/>
    </row>
    <row r="53">
      <c r="A53" s="21" t="n">
        <v>37</v>
      </c>
      <c r="B53" s="16" t="n">
        <v>4</v>
      </c>
      <c r="C53" s="16" t="inlineStr">
        <is>
          <t>U13</t>
        </is>
      </c>
      <c r="D53" s="17" t="n"/>
      <c r="E53" s="18" t="n"/>
      <c r="F53" s="16" t="n"/>
      <c r="G53" s="16" t="n"/>
      <c r="H53" s="16" t="n"/>
      <c r="I53" s="19" t="n"/>
    </row>
    <row r="54">
      <c r="A54" s="21" t="n">
        <v>39</v>
      </c>
      <c r="B54" s="16" t="n">
        <v>6</v>
      </c>
      <c r="C54" s="16" t="inlineStr">
        <is>
          <t>U13</t>
        </is>
      </c>
      <c r="D54" s="17" t="n"/>
      <c r="E54" s="18" t="n"/>
      <c r="F54" s="16" t="n"/>
      <c r="G54" s="16" t="n"/>
      <c r="H54" s="16" t="n"/>
      <c r="I54" s="19" t="n"/>
    </row>
    <row r="55">
      <c r="A55" s="21" t="n">
        <v>40</v>
      </c>
      <c r="B55" s="16" t="n">
        <v>7</v>
      </c>
      <c r="C55" s="16" t="inlineStr">
        <is>
          <t>U13</t>
        </is>
      </c>
      <c r="D55" s="17" t="n"/>
      <c r="E55" s="18" t="n"/>
      <c r="F55" s="16" t="n"/>
      <c r="G55" s="16" t="n"/>
      <c r="H55" s="16" t="n"/>
      <c r="I55" s="19" t="n"/>
    </row>
    <row r="56">
      <c r="A56" s="21" t="n">
        <v>41</v>
      </c>
      <c r="B56" s="16" t="n">
        <v>8</v>
      </c>
      <c r="C56" s="16" t="inlineStr">
        <is>
          <t>U13</t>
        </is>
      </c>
      <c r="D56" s="17" t="n"/>
      <c r="E56" s="18" t="n"/>
      <c r="F56" s="16" t="n"/>
      <c r="G56" s="16" t="n"/>
      <c r="H56" s="16" t="n"/>
      <c r="I56" s="19" t="n"/>
    </row>
    <row r="57">
      <c r="A57" s="21" t="n">
        <v>42</v>
      </c>
      <c r="B57" s="16" t="n">
        <v>9</v>
      </c>
      <c r="C57" s="16" t="inlineStr">
        <is>
          <t>U13</t>
        </is>
      </c>
      <c r="D57" s="17" t="n"/>
      <c r="E57" s="18" t="n"/>
      <c r="F57" s="16" t="n"/>
      <c r="G57" s="16" t="n"/>
      <c r="H57" s="16" t="n"/>
      <c r="I57" s="19" t="n"/>
    </row>
    <row r="58">
      <c r="A58" s="8" t="n">
        <v>44</v>
      </c>
      <c r="B58" s="8" t="n">
        <v>1</v>
      </c>
      <c r="C58" s="8" t="inlineStr">
        <is>
          <t>U12_1</t>
        </is>
      </c>
      <c r="D58" s="26" t="n"/>
      <c r="E58" s="9" t="n"/>
      <c r="F58" s="8" t="n"/>
      <c r="G58" s="8" t="n"/>
      <c r="H58" s="8" t="n"/>
    </row>
    <row r="59">
      <c r="A59" s="8" t="n">
        <v>46</v>
      </c>
      <c r="B59" s="8" t="n">
        <v>3</v>
      </c>
      <c r="C59" s="8" t="inlineStr">
        <is>
          <t>U12_1</t>
        </is>
      </c>
      <c r="D59" s="26" t="n"/>
      <c r="E59" s="9" t="n"/>
      <c r="F59" s="8" t="n"/>
      <c r="G59" s="8" t="n"/>
      <c r="H59" s="8" t="n"/>
    </row>
    <row r="60">
      <c r="A60" s="8" t="n">
        <v>47</v>
      </c>
      <c r="B60" s="8" t="n">
        <v>4</v>
      </c>
      <c r="C60" s="8" t="inlineStr">
        <is>
          <t>U12_1</t>
        </is>
      </c>
      <c r="D60" s="26" t="n"/>
      <c r="E60" s="9" t="n"/>
      <c r="F60" s="8" t="n"/>
      <c r="G60" s="8" t="n"/>
      <c r="H60" s="8" t="n"/>
    </row>
    <row r="61">
      <c r="A61" s="8" t="n">
        <v>48</v>
      </c>
      <c r="B61" s="8" t="n">
        <v>5</v>
      </c>
      <c r="C61" s="8" t="inlineStr">
        <is>
          <t>U12_1</t>
        </is>
      </c>
      <c r="D61" s="26" t="n"/>
      <c r="E61" s="9" t="n"/>
      <c r="F61" s="8" t="n"/>
      <c r="G61" s="8" t="n"/>
      <c r="H61" s="8" t="n"/>
    </row>
    <row r="62">
      <c r="A62" s="8" t="n">
        <v>49</v>
      </c>
      <c r="B62" s="8" t="n">
        <v>6</v>
      </c>
      <c r="C62" s="8" t="inlineStr">
        <is>
          <t>U12_1</t>
        </is>
      </c>
      <c r="D62" s="26" t="n"/>
      <c r="E62" s="9" t="n"/>
      <c r="F62" s="8" t="n"/>
      <c r="G62" s="8" t="n"/>
      <c r="H62" s="8" t="n"/>
    </row>
    <row r="63">
      <c r="A63" s="8" t="n">
        <v>51</v>
      </c>
      <c r="B63" s="8" t="n">
        <v>8</v>
      </c>
      <c r="C63" s="8" t="inlineStr">
        <is>
          <t>U12_1</t>
        </is>
      </c>
      <c r="D63" s="26" t="n"/>
      <c r="E63" s="9" t="n"/>
      <c r="F63" s="8" t="n"/>
      <c r="G63" s="8" t="n"/>
      <c r="H63" s="8" t="n"/>
    </row>
    <row r="64">
      <c r="A64" s="8" t="n">
        <v>52</v>
      </c>
      <c r="B64" s="8" t="n">
        <v>9</v>
      </c>
      <c r="C64" s="8" t="inlineStr">
        <is>
          <t>U12_1</t>
        </is>
      </c>
      <c r="D64" s="26" t="n"/>
      <c r="E64" s="9" t="n"/>
      <c r="F64" s="8" t="n"/>
      <c r="G64" s="8" t="n"/>
      <c r="H64" s="8" t="n"/>
    </row>
    <row r="65">
      <c r="A65" s="8" t="n">
        <v>53</v>
      </c>
      <c r="B65" s="8" t="n">
        <v>10</v>
      </c>
      <c r="C65" s="8" t="inlineStr">
        <is>
          <t>U12_1</t>
        </is>
      </c>
      <c r="D65" s="26" t="n"/>
      <c r="E65" s="9" t="n"/>
      <c r="F65" s="8" t="n"/>
      <c r="G65" s="8" t="n"/>
      <c r="H65" s="8" t="n"/>
    </row>
    <row r="66">
      <c r="A66" s="22" t="n">
        <v>54</v>
      </c>
      <c r="B66" s="22" t="n">
        <v>1</v>
      </c>
      <c r="C66" s="22" t="inlineStr">
        <is>
          <t>U12_2</t>
        </is>
      </c>
      <c r="D66" s="27" t="n"/>
      <c r="E66" s="23" t="n"/>
      <c r="F66" s="22" t="n"/>
      <c r="G66" s="22" t="n"/>
      <c r="H66" s="22" t="n"/>
    </row>
    <row r="67">
      <c r="A67" s="22" t="n">
        <v>55</v>
      </c>
      <c r="B67" s="22" t="n">
        <v>2</v>
      </c>
      <c r="C67" s="22" t="inlineStr">
        <is>
          <t>U12_2</t>
        </is>
      </c>
      <c r="D67" s="27" t="n"/>
      <c r="E67" s="23" t="n"/>
      <c r="F67" s="22" t="n"/>
      <c r="G67" s="22" t="n"/>
      <c r="H67" s="22" t="n"/>
    </row>
    <row r="68">
      <c r="A68" s="22" t="n">
        <v>56</v>
      </c>
      <c r="B68" s="22" t="n">
        <v>3</v>
      </c>
      <c r="C68" s="22" t="inlineStr">
        <is>
          <t>U12_2</t>
        </is>
      </c>
      <c r="D68" s="27" t="n"/>
      <c r="E68" s="23" t="n"/>
      <c r="F68" s="22" t="n"/>
      <c r="G68" s="22" t="n"/>
      <c r="H68" s="22" t="n"/>
    </row>
    <row r="69">
      <c r="A69" s="22" t="n">
        <v>57</v>
      </c>
      <c r="B69" s="22" t="n">
        <v>4</v>
      </c>
      <c r="C69" s="22" t="inlineStr">
        <is>
          <t>U12_2</t>
        </is>
      </c>
      <c r="D69" s="27" t="n"/>
      <c r="E69" s="23" t="n"/>
      <c r="F69" s="22" t="n"/>
      <c r="G69" s="22" t="n"/>
      <c r="H69" s="22" t="n"/>
    </row>
    <row r="70">
      <c r="A70" s="22" t="n">
        <v>59</v>
      </c>
      <c r="B70" s="22" t="n">
        <v>6</v>
      </c>
      <c r="C70" s="22" t="inlineStr">
        <is>
          <t>U12_2</t>
        </is>
      </c>
      <c r="D70" s="27" t="n"/>
      <c r="E70" s="23" t="n"/>
      <c r="F70" s="22" t="n"/>
      <c r="G70" s="22" t="n"/>
      <c r="H70" s="22" t="n"/>
    </row>
    <row r="71">
      <c r="A71" s="22" t="n">
        <v>60</v>
      </c>
      <c r="B71" s="22" t="n">
        <v>7</v>
      </c>
      <c r="C71" s="22" t="inlineStr">
        <is>
          <t>U12_2</t>
        </is>
      </c>
      <c r="D71" s="27" t="n"/>
      <c r="E71" s="23" t="n"/>
      <c r="F71" s="22" t="n"/>
      <c r="G71" s="22" t="n"/>
      <c r="H71" s="22" t="n"/>
    </row>
    <row r="72">
      <c r="A72" s="22" t="n">
        <v>61</v>
      </c>
      <c r="B72" s="22" t="n">
        <v>8</v>
      </c>
      <c r="C72" s="22" t="inlineStr">
        <is>
          <t>U12_2</t>
        </is>
      </c>
      <c r="D72" s="27" t="n"/>
      <c r="E72" s="23" t="n"/>
      <c r="F72" s="22" t="n"/>
      <c r="G72" s="22" t="n"/>
      <c r="H72" s="22" t="n"/>
    </row>
    <row r="73">
      <c r="A73" s="22" t="n">
        <v>62</v>
      </c>
      <c r="B73" s="22" t="n">
        <v>9</v>
      </c>
      <c r="C73" s="22" t="inlineStr">
        <is>
          <t>U12_2</t>
        </is>
      </c>
      <c r="D73" s="27" t="n"/>
      <c r="E73" s="23" t="n"/>
      <c r="F73" s="22" t="n"/>
      <c r="G73" s="22" t="n"/>
      <c r="H73" s="22" t="n"/>
    </row>
    <row r="74">
      <c r="A74" s="10" t="n">
        <v>64</v>
      </c>
      <c r="B74" s="10" t="n">
        <v>1</v>
      </c>
      <c r="C74" s="10" t="inlineStr">
        <is>
          <t>U11</t>
        </is>
      </c>
      <c r="D74" s="32" t="n"/>
      <c r="E74" s="15" t="n"/>
      <c r="F74" s="10" t="n"/>
      <c r="G74" s="10" t="n"/>
      <c r="H74" s="10" t="n"/>
    </row>
    <row r="75">
      <c r="A75" s="10" t="n">
        <v>65</v>
      </c>
      <c r="B75" s="10" t="n">
        <v>2</v>
      </c>
      <c r="C75" s="10" t="inlineStr">
        <is>
          <t>U11</t>
        </is>
      </c>
      <c r="D75" s="32" t="n"/>
      <c r="E75" s="15" t="n"/>
      <c r="F75" s="10" t="n"/>
      <c r="G75" s="10" t="n"/>
      <c r="H75" s="10" t="n"/>
    </row>
    <row r="76">
      <c r="A76" s="10" t="n">
        <v>66</v>
      </c>
      <c r="B76" s="10" t="n">
        <v>3</v>
      </c>
      <c r="C76" s="10" t="inlineStr">
        <is>
          <t>U11</t>
        </is>
      </c>
      <c r="D76" s="32" t="n"/>
      <c r="E76" s="15" t="n"/>
      <c r="F76" s="10" t="n"/>
      <c r="G76" s="10" t="n"/>
      <c r="H76" s="10" t="n"/>
    </row>
    <row r="77">
      <c r="A77" s="10" t="n">
        <v>67</v>
      </c>
      <c r="B77" s="10" t="n">
        <v>4</v>
      </c>
      <c r="C77" s="10" t="inlineStr">
        <is>
          <t>U11</t>
        </is>
      </c>
      <c r="D77" s="32" t="n"/>
      <c r="E77" s="15" t="n"/>
      <c r="F77" s="10" t="n"/>
      <c r="G77" s="10" t="n"/>
      <c r="H77" s="10" t="n"/>
    </row>
    <row r="78">
      <c r="A78" s="10" t="n"/>
      <c r="B78" s="10" t="n">
        <v>5</v>
      </c>
      <c r="C78" s="10" t="inlineStr">
        <is>
          <t>U11</t>
        </is>
      </c>
      <c r="D78" s="32" t="n"/>
      <c r="E78" s="15" t="n"/>
      <c r="F78" s="10" t="n"/>
      <c r="G78" s="10" t="n"/>
      <c r="H78" s="10" t="n"/>
    </row>
    <row r="79">
      <c r="A79" s="10" t="n"/>
      <c r="B79" s="10" t="n">
        <v>6</v>
      </c>
      <c r="C79" s="10" t="inlineStr">
        <is>
          <t>U11</t>
        </is>
      </c>
      <c r="D79" s="32" t="n"/>
      <c r="E79" s="15" t="n"/>
      <c r="F79" s="10" t="n"/>
      <c r="G79" s="10" t="n"/>
      <c r="H79" s="10" t="n"/>
    </row>
    <row r="80">
      <c r="A80" s="10" t="n"/>
      <c r="B80" s="10" t="n">
        <v>7</v>
      </c>
      <c r="C80" s="10" t="inlineStr">
        <is>
          <t>U11</t>
        </is>
      </c>
      <c r="D80" s="32" t="n"/>
      <c r="E80" s="15" t="n"/>
      <c r="F80" s="10" t="n"/>
      <c r="G80" s="10" t="n"/>
      <c r="H80" s="10" t="n"/>
    </row>
    <row r="81">
      <c r="A81" s="10" t="n"/>
      <c r="B81" s="10" t="n">
        <v>8</v>
      </c>
      <c r="C81" s="10" t="inlineStr">
        <is>
          <t>U11</t>
        </is>
      </c>
      <c r="D81" s="32" t="n"/>
      <c r="E81" s="15" t="n"/>
      <c r="F81" s="10" t="n"/>
      <c r="G81" s="10" t="n"/>
      <c r="H81" s="10" t="n"/>
    </row>
    <row r="82">
      <c r="A82" s="10" t="n"/>
      <c r="B82" s="10" t="n">
        <v>9</v>
      </c>
      <c r="C82" s="10" t="inlineStr">
        <is>
          <t>U11</t>
        </is>
      </c>
      <c r="D82" s="32" t="n"/>
      <c r="E82" s="15" t="n"/>
      <c r="F82" s="10" t="n"/>
      <c r="G82" s="10" t="n"/>
      <c r="H82" s="10" t="n"/>
    </row>
    <row r="83">
      <c r="A83" s="10" t="n">
        <v>68</v>
      </c>
      <c r="B83" s="10" t="n">
        <v>10</v>
      </c>
      <c r="C83" s="10" t="inlineStr">
        <is>
          <t>U11</t>
        </is>
      </c>
      <c r="D83" s="32" t="n"/>
      <c r="E83" s="15" t="n"/>
      <c r="F83" s="10" t="n"/>
      <c r="G83" s="10" t="n"/>
      <c r="H83" s="10" t="n"/>
    </row>
    <row r="84">
      <c r="A84" s="28" t="n">
        <v>69</v>
      </c>
      <c r="B84" s="28" t="n">
        <v>1</v>
      </c>
      <c r="C84" s="28" t="inlineStr">
        <is>
          <t>U10</t>
        </is>
      </c>
      <c r="D84" s="29" t="n"/>
      <c r="E84" s="30" t="n"/>
      <c r="F84" s="28" t="n"/>
      <c r="G84" s="28" t="n"/>
      <c r="H84" s="28" t="n"/>
    </row>
    <row r="85">
      <c r="A85" s="28" t="n">
        <v>70</v>
      </c>
      <c r="B85" s="28" t="n">
        <v>2</v>
      </c>
      <c r="C85" s="28" t="inlineStr">
        <is>
          <t>U10</t>
        </is>
      </c>
      <c r="D85" s="29" t="n"/>
      <c r="E85" s="30" t="n"/>
      <c r="F85" s="28" t="n"/>
      <c r="G85" s="28" t="n"/>
      <c r="H85" s="28" t="n"/>
    </row>
    <row r="86">
      <c r="A86" s="28" t="n">
        <v>71</v>
      </c>
      <c r="B86" s="28" t="n">
        <v>3</v>
      </c>
      <c r="C86" s="28" t="inlineStr">
        <is>
          <t>U10</t>
        </is>
      </c>
      <c r="D86" s="29" t="n"/>
      <c r="E86" s="30" t="n"/>
      <c r="F86" s="28" t="n"/>
      <c r="G86" s="28" t="n"/>
      <c r="H86" s="28" t="n"/>
    </row>
    <row r="87">
      <c r="A87" s="28" t="n"/>
      <c r="B87" s="28" t="n">
        <v>4</v>
      </c>
      <c r="C87" s="28" t="inlineStr">
        <is>
          <t>U10</t>
        </is>
      </c>
      <c r="D87" s="29" t="n"/>
      <c r="E87" s="30" t="n"/>
      <c r="F87" s="28" t="n"/>
      <c r="G87" s="28" t="n"/>
      <c r="H87" s="28" t="n"/>
    </row>
    <row r="88">
      <c r="A88" s="28" t="n"/>
      <c r="B88" s="28" t="n">
        <v>5</v>
      </c>
      <c r="C88" s="28" t="inlineStr">
        <is>
          <t>U10</t>
        </is>
      </c>
      <c r="D88" s="29" t="n"/>
      <c r="E88" s="30" t="n"/>
      <c r="F88" s="28" t="n"/>
      <c r="G88" s="28" t="n"/>
      <c r="H88" s="28" t="n"/>
    </row>
    <row r="89">
      <c r="A89" s="28" t="n"/>
      <c r="B89" s="28" t="n">
        <v>6</v>
      </c>
      <c r="C89" s="28" t="inlineStr">
        <is>
          <t>U10</t>
        </is>
      </c>
      <c r="D89" s="29" t="n"/>
      <c r="E89" s="30" t="n"/>
      <c r="F89" s="28" t="n"/>
      <c r="G89" s="28" t="n"/>
      <c r="H89" s="28" t="n"/>
    </row>
    <row r="90">
      <c r="A90" s="28" t="n"/>
      <c r="B90" s="28" t="n">
        <v>7</v>
      </c>
      <c r="C90" s="28" t="inlineStr">
        <is>
          <t>U10</t>
        </is>
      </c>
      <c r="D90" s="29" t="n"/>
      <c r="E90" s="30" t="n"/>
      <c r="F90" s="28" t="n"/>
      <c r="G90" s="28" t="n"/>
      <c r="H90" s="28" t="n"/>
    </row>
    <row r="91">
      <c r="A91" s="28" t="n"/>
      <c r="B91" s="28" t="n">
        <v>8</v>
      </c>
      <c r="C91" s="28" t="inlineStr">
        <is>
          <t>U10</t>
        </is>
      </c>
      <c r="D91" s="29" t="n"/>
      <c r="E91" s="30" t="n"/>
      <c r="F91" s="28" t="n"/>
      <c r="G91" s="28" t="n"/>
      <c r="H91" s="28" t="n"/>
    </row>
    <row r="92">
      <c r="A92" s="28" t="n">
        <v>72</v>
      </c>
      <c r="B92" s="28" t="n">
        <v>9</v>
      </c>
      <c r="C92" s="28" t="inlineStr">
        <is>
          <t>U10</t>
        </is>
      </c>
      <c r="D92" s="29" t="n"/>
      <c r="E92" s="30" t="n"/>
      <c r="F92" s="28" t="n"/>
      <c r="G92" s="28" t="n"/>
      <c r="H92" s="28" t="n"/>
    </row>
    <row r="93">
      <c r="A93" s="28" t="n">
        <v>73</v>
      </c>
      <c r="B93" s="28" t="n">
        <v>10</v>
      </c>
      <c r="C93" s="28" t="inlineStr">
        <is>
          <t>U10</t>
        </is>
      </c>
      <c r="D93" s="29" t="n"/>
      <c r="E93" s="30" t="n"/>
      <c r="F93" s="28" t="n"/>
      <c r="G93" s="28" t="n"/>
      <c r="H93" s="28" t="n"/>
    </row>
    <row r="94">
      <c r="A94" s="45" t="n">
        <v>74</v>
      </c>
      <c r="B94" s="45" t="n">
        <v>1</v>
      </c>
      <c r="C94" s="45" t="inlineStr">
        <is>
          <t>U9</t>
        </is>
      </c>
      <c r="D94" s="46" t="n"/>
      <c r="E94" s="47" t="n"/>
      <c r="F94" s="45" t="n"/>
      <c r="G94" s="45" t="n"/>
      <c r="H94" s="45" t="n"/>
    </row>
    <row r="95">
      <c r="A95" s="45" t="n">
        <v>75</v>
      </c>
      <c r="B95" s="45" t="n">
        <v>2</v>
      </c>
      <c r="C95" s="45" t="inlineStr">
        <is>
          <t>U9</t>
        </is>
      </c>
      <c r="D95" s="46" t="n"/>
      <c r="E95" s="47" t="n"/>
      <c r="F95" s="45" t="n"/>
      <c r="G95" s="45" t="n"/>
      <c r="H95" s="45" t="n"/>
    </row>
    <row r="96">
      <c r="A96" s="45" t="n"/>
      <c r="B96" s="45" t="n">
        <v>3</v>
      </c>
      <c r="C96" s="45" t="inlineStr">
        <is>
          <t>U9</t>
        </is>
      </c>
      <c r="D96" s="46" t="n"/>
      <c r="E96" s="47" t="n"/>
      <c r="F96" s="45" t="n"/>
      <c r="G96" s="45" t="n"/>
      <c r="H96" s="45" t="n"/>
    </row>
    <row r="97">
      <c r="A97" s="45" t="n"/>
      <c r="B97" s="45" t="n">
        <v>4</v>
      </c>
      <c r="C97" s="45" t="inlineStr">
        <is>
          <t>U9</t>
        </is>
      </c>
      <c r="D97" s="46" t="n"/>
      <c r="E97" s="47" t="n"/>
      <c r="F97" s="45" t="n"/>
      <c r="G97" s="45" t="n"/>
      <c r="H97" s="45" t="n"/>
    </row>
    <row r="98">
      <c r="A98" s="45" t="n"/>
      <c r="B98" s="45" t="n">
        <v>5</v>
      </c>
      <c r="C98" s="45" t="inlineStr">
        <is>
          <t>U9</t>
        </is>
      </c>
      <c r="D98" s="46" t="n"/>
      <c r="E98" s="47" t="n"/>
      <c r="F98" s="45" t="n"/>
      <c r="G98" s="45" t="n"/>
      <c r="H98" s="45" t="n"/>
    </row>
    <row r="99">
      <c r="A99" s="45" t="n"/>
      <c r="B99" s="45" t="n">
        <v>6</v>
      </c>
      <c r="C99" s="45" t="inlineStr">
        <is>
          <t>U9</t>
        </is>
      </c>
      <c r="D99" s="46" t="n"/>
      <c r="E99" s="47" t="n"/>
      <c r="F99" s="45" t="n"/>
      <c r="G99" s="45" t="n"/>
      <c r="H99" s="45" t="n"/>
    </row>
    <row r="100">
      <c r="A100" s="45" t="n"/>
      <c r="B100" s="45" t="n">
        <v>7</v>
      </c>
      <c r="C100" s="45" t="inlineStr">
        <is>
          <t>U9</t>
        </is>
      </c>
      <c r="D100" s="46" t="n"/>
      <c r="E100" s="47" t="n"/>
      <c r="F100" s="45" t="n"/>
      <c r="G100" s="45" t="n"/>
      <c r="H100" s="45" t="n"/>
    </row>
    <row r="101">
      <c r="A101" s="45" t="n">
        <v>76</v>
      </c>
      <c r="B101" s="45" t="n">
        <v>8</v>
      </c>
      <c r="C101" s="45" t="inlineStr">
        <is>
          <t>U9</t>
        </is>
      </c>
      <c r="D101" s="46" t="n"/>
      <c r="E101" s="47" t="n"/>
      <c r="F101" s="45" t="n"/>
      <c r="G101" s="45" t="n"/>
      <c r="H101" s="45" t="n"/>
    </row>
    <row r="102">
      <c r="A102" s="45" t="n">
        <v>77</v>
      </c>
      <c r="B102" s="45" t="n">
        <v>9</v>
      </c>
      <c r="C102" s="45" t="inlineStr">
        <is>
          <t>U9</t>
        </is>
      </c>
      <c r="D102" s="46" t="n"/>
      <c r="E102" s="47" t="n"/>
      <c r="F102" s="45" t="n"/>
      <c r="G102" s="45" t="n"/>
      <c r="H102" s="45" t="n"/>
    </row>
    <row r="103">
      <c r="A103" s="45" t="n">
        <v>78</v>
      </c>
      <c r="B103" s="45" t="n">
        <v>10</v>
      </c>
      <c r="C103" s="45" t="inlineStr">
        <is>
          <t>U9</t>
        </is>
      </c>
      <c r="D103" s="46" t="n"/>
      <c r="E103" s="47" t="n"/>
      <c r="F103" s="45" t="n"/>
      <c r="G103" s="45" t="n"/>
      <c r="H103" s="45" t="n"/>
    </row>
    <row r="104">
      <c r="A104" s="95" t="n">
        <v>79</v>
      </c>
      <c r="B104" s="95" t="n">
        <v>1</v>
      </c>
      <c r="C104" s="95" t="inlineStr">
        <is>
          <t>U8</t>
        </is>
      </c>
      <c r="D104" s="96" t="n"/>
      <c r="E104" s="97" t="n"/>
      <c r="F104" s="98" t="n"/>
      <c r="G104" s="98" t="n"/>
      <c r="H104" s="98" t="n"/>
    </row>
    <row r="105">
      <c r="A105" s="95" t="n"/>
      <c r="B105" s="95" t="n">
        <v>2</v>
      </c>
      <c r="C105" s="95" t="inlineStr">
        <is>
          <t>U8</t>
        </is>
      </c>
      <c r="D105" s="96" t="n"/>
      <c r="E105" s="97" t="n"/>
      <c r="F105" s="98" t="n"/>
      <c r="G105" s="98" t="n"/>
      <c r="H105" s="98" t="n"/>
    </row>
    <row r="106">
      <c r="A106" s="95" t="n"/>
      <c r="B106" s="95" t="n">
        <v>3</v>
      </c>
      <c r="C106" s="95" t="inlineStr">
        <is>
          <t>U8</t>
        </is>
      </c>
      <c r="D106" s="96" t="n"/>
      <c r="E106" s="97" t="n"/>
      <c r="F106" s="98" t="n"/>
      <c r="G106" s="98" t="n"/>
      <c r="H106" s="98" t="n"/>
    </row>
    <row r="107">
      <c r="A107" s="95" t="n"/>
      <c r="B107" s="95" t="n">
        <v>4</v>
      </c>
      <c r="C107" s="95" t="inlineStr">
        <is>
          <t>U8</t>
        </is>
      </c>
      <c r="D107" s="96" t="n"/>
      <c r="E107" s="97" t="n"/>
      <c r="F107" s="98" t="n"/>
      <c r="G107" s="98" t="n"/>
      <c r="H107" s="98" t="n"/>
    </row>
    <row r="108">
      <c r="A108" s="95" t="n"/>
      <c r="B108" s="95" t="n">
        <v>5</v>
      </c>
      <c r="C108" s="95" t="inlineStr">
        <is>
          <t>U8</t>
        </is>
      </c>
      <c r="D108" s="96" t="n"/>
      <c r="E108" s="97" t="n"/>
      <c r="F108" s="98" t="n"/>
      <c r="G108" s="98" t="n"/>
      <c r="H108" s="98" t="n"/>
    </row>
    <row r="109">
      <c r="A109" s="91" t="n"/>
      <c r="B109" s="91" t="n">
        <v>1</v>
      </c>
      <c r="C109" s="91" t="inlineStr">
        <is>
          <t>U7</t>
        </is>
      </c>
      <c r="D109" s="92" t="n"/>
      <c r="E109" s="93" t="n"/>
      <c r="F109" s="94" t="n"/>
      <c r="G109" s="94" t="n"/>
      <c r="H109" s="94" t="n"/>
    </row>
    <row r="110">
      <c r="A110" s="91" t="n"/>
      <c r="B110" s="91" t="n">
        <v>2</v>
      </c>
      <c r="C110" s="91" t="inlineStr">
        <is>
          <t>U7</t>
        </is>
      </c>
      <c r="D110" s="92" t="n"/>
      <c r="E110" s="93" t="n"/>
      <c r="F110" s="94" t="n"/>
      <c r="G110" s="94" t="n"/>
      <c r="H110" s="94" t="n"/>
    </row>
    <row r="111">
      <c r="A111" s="91" t="n"/>
      <c r="B111" s="91" t="n">
        <v>3</v>
      </c>
      <c r="C111" s="91" t="inlineStr">
        <is>
          <t>U7</t>
        </is>
      </c>
      <c r="D111" s="92" t="n"/>
      <c r="E111" s="93" t="n"/>
      <c r="F111" s="94" t="n"/>
      <c r="G111" s="94" t="n"/>
      <c r="H111" s="94" t="n"/>
    </row>
    <row r="112">
      <c r="A112" s="91" t="n">
        <v>80</v>
      </c>
      <c r="B112" s="91" t="n">
        <v>4</v>
      </c>
      <c r="C112" s="91" t="inlineStr">
        <is>
          <t>U7</t>
        </is>
      </c>
      <c r="D112" s="92" t="n"/>
      <c r="E112" s="93" t="n"/>
      <c r="F112" s="94" t="n"/>
      <c r="G112" s="94" t="n"/>
      <c r="H112" s="94" t="n"/>
    </row>
    <row r="113">
      <c r="A113" s="91" t="n">
        <v>81</v>
      </c>
      <c r="B113" s="91" t="n">
        <v>5</v>
      </c>
      <c r="C113" s="91" t="inlineStr">
        <is>
          <t>U7</t>
        </is>
      </c>
      <c r="D113" s="92" t="n"/>
      <c r="E113" s="93" t="n"/>
      <c r="F113" s="94" t="n"/>
      <c r="G113" s="94" t="n"/>
      <c r="H113" s="94" t="n"/>
    </row>
    <row r="114">
      <c r="A114" s="33" t="n"/>
      <c r="B114" s="33" t="n">
        <v>1</v>
      </c>
      <c r="C114" s="33" t="inlineStr">
        <is>
          <t>TECO 7 CAMP</t>
        </is>
      </c>
      <c r="D114" s="62" t="n">
        <v>46321</v>
      </c>
      <c r="E114" s="85" t="n">
        <v>0.375</v>
      </c>
      <c r="F114" s="34" t="inlineStr">
        <is>
          <t>Neufeld</t>
        </is>
      </c>
      <c r="G114" s="34" t="inlineStr">
        <is>
          <t>CAMP</t>
        </is>
      </c>
      <c r="H114" s="34" t="inlineStr">
        <is>
          <t>Heim</t>
        </is>
      </c>
    </row>
    <row r="115">
      <c r="A115" s="33" t="n"/>
      <c r="B115" s="33" t="n">
        <v>2</v>
      </c>
      <c r="C115" s="33" t="inlineStr">
        <is>
          <t>TECO 7 CAMP</t>
        </is>
      </c>
      <c r="D115" s="62" t="n">
        <v>46322</v>
      </c>
      <c r="E115" s="85" t="n">
        <v>0.375</v>
      </c>
      <c r="F115" s="34" t="inlineStr">
        <is>
          <t>Neufeld</t>
        </is>
      </c>
      <c r="G115" s="34" t="inlineStr">
        <is>
          <t>CAMP</t>
        </is>
      </c>
      <c r="H115" s="34" t="inlineStr">
        <is>
          <t>Heim</t>
        </is>
      </c>
    </row>
    <row r="116">
      <c r="A116" s="33" t="n"/>
      <c r="B116" s="33" t="n">
        <v>3</v>
      </c>
      <c r="C116" s="33" t="inlineStr">
        <is>
          <t>TECO 7 CAMP</t>
        </is>
      </c>
      <c r="D116" s="62" t="n">
        <v>46323</v>
      </c>
      <c r="E116" s="85" t="n">
        <v>0.375</v>
      </c>
      <c r="F116" s="34" t="inlineStr">
        <is>
          <t>Neufeld</t>
        </is>
      </c>
      <c r="G116" s="34" t="inlineStr">
        <is>
          <t>CAMP</t>
        </is>
      </c>
      <c r="H116" s="34" t="inlineStr">
        <is>
          <t>Heim</t>
        </is>
      </c>
    </row>
    <row r="117">
      <c r="A117" s="33" t="n"/>
      <c r="B117" s="33" t="n">
        <v>1</v>
      </c>
      <c r="C117" s="62" t="inlineStr">
        <is>
          <t>REAL MADRID CAMP</t>
        </is>
      </c>
      <c r="D117" s="62" t="n">
        <v>46230</v>
      </c>
      <c r="E117" s="85" t="n">
        <v>0.375</v>
      </c>
      <c r="F117" s="34" t="inlineStr">
        <is>
          <t>Neufeld</t>
        </is>
      </c>
      <c r="G117" s="34" t="inlineStr">
        <is>
          <t>CAMP</t>
        </is>
      </c>
      <c r="H117" s="34" t="inlineStr">
        <is>
          <t>Heim</t>
        </is>
      </c>
    </row>
    <row r="118">
      <c r="A118" s="33" t="n"/>
      <c r="B118" s="33" t="n">
        <v>2</v>
      </c>
      <c r="C118" s="62" t="inlineStr">
        <is>
          <t>REAL MADRID CAMP</t>
        </is>
      </c>
      <c r="D118" s="62" t="n">
        <v>46231</v>
      </c>
      <c r="E118" s="85" t="n">
        <v>0.375</v>
      </c>
      <c r="F118" s="34" t="inlineStr">
        <is>
          <t>Neufeld</t>
        </is>
      </c>
      <c r="G118" s="34" t="inlineStr">
        <is>
          <t>CAMP</t>
        </is>
      </c>
      <c r="H118" s="34" t="inlineStr">
        <is>
          <t>Heim</t>
        </is>
      </c>
    </row>
    <row r="119">
      <c r="A119" s="33" t="n"/>
      <c r="B119" s="33" t="n">
        <v>3</v>
      </c>
      <c r="C119" s="62" t="inlineStr">
        <is>
          <t>REAL MADRID CAMP</t>
        </is>
      </c>
      <c r="D119" s="62" t="n">
        <v>46232</v>
      </c>
      <c r="E119" s="85" t="n">
        <v>0.375</v>
      </c>
      <c r="F119" s="34" t="inlineStr">
        <is>
          <t>Neufeld</t>
        </is>
      </c>
      <c r="G119" s="34" t="inlineStr">
        <is>
          <t>CAMP</t>
        </is>
      </c>
      <c r="H119" s="34" t="inlineStr">
        <is>
          <t>Heim</t>
        </is>
      </c>
    </row>
    <row r="120">
      <c r="A120" s="33" t="n"/>
      <c r="B120" s="33" t="n">
        <v>4</v>
      </c>
      <c r="C120" s="62" t="inlineStr">
        <is>
          <t>REAL MADRID CAMP</t>
        </is>
      </c>
      <c r="D120" s="62" t="n">
        <v>46233</v>
      </c>
      <c r="E120" s="85" t="n">
        <v>0.375</v>
      </c>
      <c r="F120" s="34" t="inlineStr">
        <is>
          <t>Neufeld</t>
        </is>
      </c>
      <c r="G120" s="34" t="inlineStr">
        <is>
          <t>CAMP</t>
        </is>
      </c>
      <c r="H120" s="34" t="inlineStr">
        <is>
          <t>Heim</t>
        </is>
      </c>
    </row>
    <row r="121">
      <c r="A121" s="33" t="n"/>
      <c r="B121" s="33" t="n">
        <v>5</v>
      </c>
      <c r="C121" s="62" t="inlineStr">
        <is>
          <t>REAL MADRID CAMP</t>
        </is>
      </c>
      <c r="D121" s="62" t="n">
        <v>46234</v>
      </c>
      <c r="E121" s="85" t="n">
        <v>0.375</v>
      </c>
      <c r="F121" s="34" t="inlineStr">
        <is>
          <t>Neufeld</t>
        </is>
      </c>
      <c r="G121" s="34" t="inlineStr">
        <is>
          <t>CAMP</t>
        </is>
      </c>
      <c r="H121" s="34" t="inlineStr">
        <is>
          <t>Heim</t>
        </is>
      </c>
    </row>
    <row r="122">
      <c r="A122" s="43" t="n">
        <v>83</v>
      </c>
      <c r="B122" s="43" t="n">
        <v>2</v>
      </c>
      <c r="C122" s="43" t="inlineStr">
        <is>
          <t>GGG</t>
        </is>
      </c>
      <c r="D122" s="63" t="n">
        <v>46256</v>
      </c>
      <c r="E122" s="86" t="n">
        <v>0.375</v>
      </c>
      <c r="F122" s="44" t="inlineStr">
        <is>
          <t>Neufeld</t>
        </is>
      </c>
      <c r="G122" s="10" t="inlineStr">
        <is>
          <t>viele Gegner</t>
        </is>
      </c>
      <c r="H122" s="44" t="inlineStr">
        <is>
          <t>Heim</t>
        </is>
      </c>
    </row>
  </sheetData>
  <autoFilter ref="A1:H93">
    <sortState ref="A2:H93">
      <sortCondition ref="A1:A93"/>
    </sortState>
  </autoFilter>
  <pageMargins left="0.25" right="0.25" top="0.75" bottom="0.75" header="0.3" footer="0.3"/>
  <pageSetup orientation="landscape" paperSize="9" scale="42"/>
  <rowBreaks count="2" manualBreakCount="2">
    <brk id="49" min="0" max="16383" man="1"/>
    <brk id="57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7"/>
  <sheetViews>
    <sheetView tabSelected="1" workbookViewId="0">
      <selection activeCell="H6" sqref="H6"/>
    </sheetView>
  </sheetViews>
  <sheetFormatPr baseColWidth="10" defaultRowHeight="14.4"/>
  <cols>
    <col width="11.5546875" customWidth="1" style="87" min="1" max="1"/>
    <col width="11.44140625" customWidth="1" style="125" min="2" max="2"/>
    <col width="11.44140625" customWidth="1" style="126" min="3" max="3"/>
    <col width="8.33203125" bestFit="1" customWidth="1" style="126" min="4" max="4"/>
    <col width="21.6640625" bestFit="1" customWidth="1" style="126" min="5" max="5"/>
    <col width="32.109375" bestFit="1" customWidth="1" style="87" min="6" max="6"/>
    <col width="30.88671875" bestFit="1" customWidth="1" style="123" min="7" max="7"/>
    <col width="12.5546875" bestFit="1" customWidth="1" style="123" min="8" max="8"/>
    <col width="11.5546875" customWidth="1" style="87" min="10" max="10"/>
  </cols>
  <sheetData>
    <row r="1">
      <c r="A1" s="87" t="inlineStr">
        <is>
          <t>TITEL</t>
        </is>
      </c>
      <c r="B1" s="125" t="inlineStr">
        <is>
          <t>DATUM</t>
        </is>
      </c>
      <c r="C1" s="126" t="inlineStr">
        <is>
          <t>STARTZEIT</t>
        </is>
      </c>
      <c r="D1" s="126" t="inlineStr">
        <is>
          <t>ENDZEIT</t>
        </is>
      </c>
      <c r="E1" s="126" t="inlineStr">
        <is>
          <t>ORT</t>
        </is>
      </c>
      <c r="F1" s="87" t="inlineStr">
        <is>
          <t>BESCHREIBUNG</t>
        </is>
      </c>
      <c r="G1" t="inlineStr">
        <is>
          <t>TYP</t>
        </is>
      </c>
      <c r="H1" t="inlineStr">
        <is>
          <t>GEGNER</t>
        </is>
      </c>
      <c r="I1" t="inlineStr">
        <is>
          <t>LIGA</t>
        </is>
      </c>
      <c r="J1" s="87" t="inlineStr">
        <is>
          <t>STATUS</t>
        </is>
      </c>
      <c r="K1" s="87" t="inlineStr">
        <is>
          <t>SPIELART</t>
        </is>
      </c>
      <c r="L1" t="inlineStr">
        <is>
          <t>ART</t>
        </is>
      </c>
    </row>
    <row r="2">
      <c r="B2" s="125" t="n">
        <v>46220</v>
      </c>
      <c r="C2" s="126" t="n">
        <v>0.7916666666666666</v>
      </c>
      <c r="D2" s="126">
        <f>IF(I2 = "KM",C2+"1:45",IF(I2="U23",C2+"1:45",IF(I2 = "U16",C2+"1:45",IF(I2 = "U15",C2+"1:30",IF(I2 = "U14",C2+"1:30",IF(I2 = "U13",C2+"1:35",IF(I2 = "U12",C2+"1:10",IF(I2 = "U11",C2+"1:10",IF(I2 = "U10",C2+"1:03",C2+"3:00")))))))))</f>
        <v/>
      </c>
      <c r="E2" s="126" t="inlineStr">
        <is>
          <t>ROHRBACH</t>
        </is>
      </c>
      <c r="G2" t="inlineStr">
        <is>
          <t>Auswärts</t>
        </is>
      </c>
      <c r="H2" t="inlineStr">
        <is>
          <t>Rohrbach</t>
        </is>
      </c>
      <c r="I2" t="inlineStr">
        <is>
          <t>KM</t>
        </is>
      </c>
      <c r="J2" s="87" t="inlineStr">
        <is>
          <t>aktiv</t>
        </is>
      </c>
      <c r="K2" t="inlineStr">
        <is>
          <t>Freundschaft</t>
        </is>
      </c>
      <c r="L2" t="inlineStr">
        <is>
          <t>Spiel</t>
        </is>
      </c>
    </row>
    <row r="3">
      <c r="B3" s="125" t="n">
        <v>46241</v>
      </c>
      <c r="C3" s="126" t="n">
        <v>0.7916666666666666</v>
      </c>
      <c r="D3" s="126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E3" s="126" t="inlineStr">
        <is>
          <t>NEUFELD</t>
        </is>
      </c>
      <c r="G3" t="inlineStr">
        <is>
          <t>Heim</t>
        </is>
      </c>
      <c r="H3" t="inlineStr">
        <is>
          <t>Bad Fischau</t>
        </is>
      </c>
      <c r="I3" t="inlineStr">
        <is>
          <t>KM</t>
        </is>
      </c>
      <c r="J3" s="87" t="inlineStr">
        <is>
          <t>aktiv</t>
        </is>
      </c>
      <c r="K3" t="inlineStr">
        <is>
          <t>Freundschaft</t>
        </is>
      </c>
      <c r="L3" t="inlineStr">
        <is>
          <t>Spiel</t>
        </is>
      </c>
    </row>
    <row r="4">
      <c r="B4" s="125" t="n">
        <v>46199</v>
      </c>
      <c r="C4" s="126" t="n">
        <v>0.75</v>
      </c>
      <c r="D4" s="126">
        <f>IF(I4 = "KM",C4+"1:45",IF(I4="U23",C4+"1:45",IF(I4 = "U16",C4+"1:45",IF(I4 = "U15",C4+"1:30",IF(I4 = "U14",C4+"1:30",IF(I4 = "U13",C4+"1:35",IF(I4 = "U12",C4+"1:10",IF(I4 = "U11",C4+"1:10",IF(I4 = "U10",C4+"1:03",C4+"3:00")))))))))</f>
        <v/>
      </c>
      <c r="E4" s="126" t="inlineStr">
        <is>
          <t>WIMPASSING</t>
        </is>
      </c>
      <c r="G4" t="inlineStr">
        <is>
          <t>Heim</t>
        </is>
      </c>
      <c r="H4" t="inlineStr">
        <is>
          <t>SK Rapid Wien</t>
        </is>
      </c>
      <c r="I4" t="inlineStr">
        <is>
          <t>U16</t>
        </is>
      </c>
      <c r="J4" s="87" t="inlineStr">
        <is>
          <t>aktiv</t>
        </is>
      </c>
      <c r="K4" t="inlineStr">
        <is>
          <t>Freundschaft</t>
        </is>
      </c>
      <c r="L4" t="inlineStr">
        <is>
          <t>Spiel</t>
        </is>
      </c>
    </row>
    <row r="5">
      <c r="B5" s="125" t="n">
        <v>46199</v>
      </c>
      <c r="C5" s="126" t="n">
        <v>0.6666666666666666</v>
      </c>
      <c r="D5" s="126">
        <f>IF(I5 = "KM",C5+"1:45",IF(I5="U23",C5+"1:45",IF(I5 = "U16",C5+"1:45",IF(I5 = "U15",C5+"1:30",IF(I5 = "U14",C5+"1:30",IF(I5 = "U13",C5+"1:35",IF(I5 = "U12",C5+"1:10",IF(I5 = "U11",C5+"1:10",IF(I5 = "U10",C5+"1:03",C5+"3:00")))))))))</f>
        <v/>
      </c>
      <c r="E5" s="126" t="inlineStr">
        <is>
          <t>WIMPASSING</t>
        </is>
      </c>
      <c r="G5" t="inlineStr">
        <is>
          <t>Heim</t>
        </is>
      </c>
      <c r="H5" t="inlineStr">
        <is>
          <t>SK Rapid Wien</t>
        </is>
      </c>
      <c r="I5" t="inlineStr">
        <is>
          <t>U15</t>
        </is>
      </c>
      <c r="J5" s="87" t="inlineStr">
        <is>
          <t>aktiv</t>
        </is>
      </c>
      <c r="K5" t="inlineStr">
        <is>
          <t>Freundschaft</t>
        </is>
      </c>
      <c r="L5" t="inlineStr">
        <is>
          <t>Spiel</t>
        </is>
      </c>
    </row>
    <row r="6">
      <c r="B6" s="125" t="n">
        <v>36526</v>
      </c>
      <c r="C6" s="126" t="n">
        <v>0</v>
      </c>
      <c r="D6" s="126" t="n">
        <v>0.07291666666666667</v>
      </c>
      <c r="I6">
        <f>'Nach Mannschaften sortiert'!C6</f>
        <v/>
      </c>
      <c r="J6" s="87" t="inlineStr">
        <is>
          <t>inaktiv</t>
        </is>
      </c>
      <c r="K6" t="inlineStr">
        <is>
          <t>Liga</t>
        </is>
      </c>
      <c r="L6" t="inlineStr">
        <is>
          <t>Spiel</t>
        </is>
      </c>
    </row>
    <row r="7">
      <c r="B7" s="125" t="n">
        <v>36527</v>
      </c>
      <c r="C7" s="126" t="n">
        <v>0</v>
      </c>
      <c r="D7" s="126" t="n">
        <v>0.07291666666666667</v>
      </c>
      <c r="I7">
        <f>'Nach Mannschaften sortiert'!C7</f>
        <v/>
      </c>
      <c r="J7" s="87" t="inlineStr">
        <is>
          <t>inaktiv</t>
        </is>
      </c>
      <c r="K7" t="inlineStr">
        <is>
          <t>Liga</t>
        </is>
      </c>
      <c r="L7" t="inlineStr">
        <is>
          <t>Spiel</t>
        </is>
      </c>
    </row>
    <row r="8">
      <c r="B8" s="125" t="n">
        <v>36528</v>
      </c>
      <c r="C8" s="126" t="n">
        <v>0</v>
      </c>
      <c r="D8" s="126" t="n">
        <v>0.07291666666666667</v>
      </c>
      <c r="I8">
        <f>'Nach Mannschaften sortiert'!C8</f>
        <v/>
      </c>
      <c r="J8" s="87" t="inlineStr">
        <is>
          <t>inaktiv</t>
        </is>
      </c>
      <c r="K8" t="inlineStr">
        <is>
          <t>Liga</t>
        </is>
      </c>
      <c r="L8" t="inlineStr">
        <is>
          <t>Spiel</t>
        </is>
      </c>
    </row>
    <row r="9">
      <c r="B9" s="125" t="n">
        <v>36529</v>
      </c>
      <c r="C9" s="126" t="n">
        <v>0</v>
      </c>
      <c r="D9" s="126" t="n">
        <v>0.07291666666666667</v>
      </c>
      <c r="I9">
        <f>'Nach Mannschaften sortiert'!C9</f>
        <v/>
      </c>
      <c r="J9" s="87" t="inlineStr">
        <is>
          <t>inaktiv</t>
        </is>
      </c>
      <c r="K9" t="inlineStr">
        <is>
          <t>Liga</t>
        </is>
      </c>
      <c r="L9" t="inlineStr">
        <is>
          <t>Spiel</t>
        </is>
      </c>
    </row>
    <row r="10">
      <c r="B10" s="125" t="n">
        <v>36530</v>
      </c>
      <c r="C10" s="126" t="n">
        <v>0</v>
      </c>
      <c r="D10" s="126" t="n">
        <v>0.07291666666666667</v>
      </c>
      <c r="I10">
        <f>'Nach Mannschaften sortiert'!C10</f>
        <v/>
      </c>
      <c r="J10" s="87" t="inlineStr">
        <is>
          <t>inaktiv</t>
        </is>
      </c>
      <c r="K10" t="inlineStr">
        <is>
          <t>Liga</t>
        </is>
      </c>
      <c r="L10" t="inlineStr">
        <is>
          <t>Spiel</t>
        </is>
      </c>
    </row>
    <row r="11">
      <c r="B11" s="125" t="n">
        <v>36531</v>
      </c>
      <c r="C11" s="126" t="n">
        <v>0</v>
      </c>
      <c r="D11" s="126" t="n">
        <v>0.07291666666666667</v>
      </c>
      <c r="I11">
        <f>'Nach Mannschaften sortiert'!C11</f>
        <v/>
      </c>
      <c r="J11" s="87" t="inlineStr">
        <is>
          <t>inaktiv</t>
        </is>
      </c>
      <c r="K11" t="inlineStr">
        <is>
          <t>Liga</t>
        </is>
      </c>
      <c r="L11" t="inlineStr">
        <is>
          <t>Spiel</t>
        </is>
      </c>
    </row>
    <row r="12">
      <c r="B12" s="125" t="n">
        <v>36532</v>
      </c>
      <c r="C12" s="126" t="n">
        <v>0</v>
      </c>
      <c r="D12" s="126" t="n">
        <v>0.07291666666666667</v>
      </c>
      <c r="I12">
        <f>'Nach Mannschaften sortiert'!C12</f>
        <v/>
      </c>
      <c r="J12" s="87" t="inlineStr">
        <is>
          <t>inaktiv</t>
        </is>
      </c>
      <c r="K12" t="inlineStr">
        <is>
          <t>Liga</t>
        </is>
      </c>
      <c r="L12" t="inlineStr">
        <is>
          <t>Spiel</t>
        </is>
      </c>
    </row>
    <row r="13">
      <c r="B13" s="125" t="n">
        <v>36533</v>
      </c>
      <c r="C13" s="126" t="n">
        <v>0</v>
      </c>
      <c r="D13" s="126" t="n">
        <v>0.07291666666666667</v>
      </c>
      <c r="I13">
        <f>'Nach Mannschaften sortiert'!C13</f>
        <v/>
      </c>
      <c r="J13" s="87" t="inlineStr">
        <is>
          <t>inaktiv</t>
        </is>
      </c>
      <c r="K13" t="inlineStr">
        <is>
          <t>Liga</t>
        </is>
      </c>
      <c r="L13" t="inlineStr">
        <is>
          <t>Spiel</t>
        </is>
      </c>
    </row>
    <row r="14">
      <c r="B14" s="125" t="n">
        <v>36534</v>
      </c>
      <c r="C14" s="126" t="n">
        <v>0</v>
      </c>
      <c r="D14" s="126" t="n">
        <v>0.07291666666666667</v>
      </c>
      <c r="I14">
        <f>'Nach Mannschaften sortiert'!C14</f>
        <v/>
      </c>
      <c r="J14" s="87" t="inlineStr">
        <is>
          <t>inaktiv</t>
        </is>
      </c>
      <c r="K14" t="inlineStr">
        <is>
          <t>Liga</t>
        </is>
      </c>
      <c r="L14" t="inlineStr">
        <is>
          <t>Spiel</t>
        </is>
      </c>
    </row>
    <row r="15">
      <c r="B15" s="125" t="n">
        <v>36535</v>
      </c>
      <c r="C15" s="126" t="n">
        <v>0</v>
      </c>
      <c r="D15" s="126" t="n">
        <v>0.07291666666666667</v>
      </c>
      <c r="I15">
        <f>'Nach Mannschaften sortiert'!C15</f>
        <v/>
      </c>
      <c r="J15" s="87" t="inlineStr">
        <is>
          <t>inaktiv</t>
        </is>
      </c>
      <c r="K15" t="inlineStr">
        <is>
          <t>Liga</t>
        </is>
      </c>
      <c r="L15" t="inlineStr">
        <is>
          <t>Spiel</t>
        </is>
      </c>
    </row>
    <row r="16">
      <c r="B16" s="125" t="n">
        <v>36536</v>
      </c>
      <c r="C16" s="126" t="n">
        <v>0</v>
      </c>
      <c r="D16" s="126" t="n">
        <v>0.07291666666666667</v>
      </c>
      <c r="I16">
        <f>'Nach Mannschaften sortiert'!C16</f>
        <v/>
      </c>
      <c r="J16" s="87" t="inlineStr">
        <is>
          <t>inaktiv</t>
        </is>
      </c>
      <c r="K16" t="inlineStr">
        <is>
          <t>Liga</t>
        </is>
      </c>
      <c r="L16" t="inlineStr">
        <is>
          <t>Spiel</t>
        </is>
      </c>
    </row>
    <row r="17">
      <c r="B17" s="125" t="n">
        <v>36537</v>
      </c>
      <c r="C17" s="126" t="n">
        <v>0</v>
      </c>
      <c r="D17" s="126" t="n">
        <v>0.07291666666666667</v>
      </c>
      <c r="I17">
        <f>'Nach Mannschaften sortiert'!C17</f>
        <v/>
      </c>
      <c r="J17" s="87" t="inlineStr">
        <is>
          <t>inaktiv</t>
        </is>
      </c>
      <c r="K17" t="inlineStr">
        <is>
          <t>Liga</t>
        </is>
      </c>
      <c r="L17" t="inlineStr">
        <is>
          <t>Spiel</t>
        </is>
      </c>
    </row>
    <row r="18">
      <c r="B18" s="125" t="n">
        <v>36538</v>
      </c>
      <c r="C18" s="126" t="n">
        <v>0</v>
      </c>
      <c r="D18" s="126" t="n">
        <v>0.07291666666666667</v>
      </c>
      <c r="I18">
        <f>'Nach Mannschaften sortiert'!C18</f>
        <v/>
      </c>
      <c r="J18" s="87" t="inlineStr">
        <is>
          <t>inaktiv</t>
        </is>
      </c>
      <c r="K18" t="inlineStr">
        <is>
          <t>Liga</t>
        </is>
      </c>
      <c r="L18" t="inlineStr">
        <is>
          <t>Spiel</t>
        </is>
      </c>
    </row>
    <row r="19">
      <c r="B19" s="125" t="n">
        <v>36539</v>
      </c>
      <c r="C19" s="126" t="n">
        <v>0</v>
      </c>
      <c r="D19" s="126" t="n">
        <v>0.07291666666666667</v>
      </c>
      <c r="I19">
        <f>'Nach Mannschaften sortiert'!C19</f>
        <v/>
      </c>
      <c r="J19" s="87" t="inlineStr">
        <is>
          <t>inaktiv</t>
        </is>
      </c>
      <c r="K19" t="inlineStr">
        <is>
          <t>Liga</t>
        </is>
      </c>
      <c r="L19" t="inlineStr">
        <is>
          <t>Spiel</t>
        </is>
      </c>
    </row>
    <row r="20">
      <c r="B20" s="125" t="n">
        <v>36540</v>
      </c>
      <c r="C20" s="126" t="n">
        <v>0</v>
      </c>
      <c r="D20" s="126" t="n">
        <v>0.07291666666666667</v>
      </c>
      <c r="I20">
        <f>'Nach Mannschaften sortiert'!C20</f>
        <v/>
      </c>
      <c r="J20" s="87" t="inlineStr">
        <is>
          <t>inaktiv</t>
        </is>
      </c>
      <c r="K20" t="inlineStr">
        <is>
          <t>Liga</t>
        </is>
      </c>
      <c r="L20" t="inlineStr">
        <is>
          <t>Spiel</t>
        </is>
      </c>
    </row>
    <row r="21">
      <c r="B21" s="125" t="n">
        <v>36541</v>
      </c>
      <c r="C21" s="126" t="n">
        <v>0</v>
      </c>
      <c r="D21" s="126" t="n">
        <v>0.07291666666666667</v>
      </c>
      <c r="I21">
        <f>'Nach Mannschaften sortiert'!C21</f>
        <v/>
      </c>
      <c r="J21" s="87" t="inlineStr">
        <is>
          <t>inaktiv</t>
        </is>
      </c>
      <c r="K21" t="inlineStr">
        <is>
          <t>Liga</t>
        </is>
      </c>
      <c r="L21" t="inlineStr">
        <is>
          <t>Spiel</t>
        </is>
      </c>
    </row>
    <row r="22">
      <c r="B22" s="125" t="n">
        <v>36542</v>
      </c>
      <c r="C22" s="126" t="n">
        <v>0</v>
      </c>
      <c r="D22" s="126" t="n">
        <v>0.07291666666666667</v>
      </c>
      <c r="I22">
        <f>'Nach Mannschaften sortiert'!C22</f>
        <v/>
      </c>
      <c r="J22" s="87" t="inlineStr">
        <is>
          <t>inaktiv</t>
        </is>
      </c>
      <c r="K22" t="inlineStr">
        <is>
          <t>Liga</t>
        </is>
      </c>
      <c r="L22" t="inlineStr">
        <is>
          <t>Spiel</t>
        </is>
      </c>
    </row>
    <row r="23">
      <c r="B23" s="125" t="n">
        <v>36543</v>
      </c>
      <c r="C23" s="126" t="n">
        <v>0</v>
      </c>
      <c r="D23" s="126" t="n">
        <v>0.07291666666666667</v>
      </c>
      <c r="I23">
        <f>'Nach Mannschaften sortiert'!C23</f>
        <v/>
      </c>
      <c r="J23" s="87" t="inlineStr">
        <is>
          <t>inaktiv</t>
        </is>
      </c>
      <c r="K23" t="inlineStr">
        <is>
          <t>Liga</t>
        </is>
      </c>
      <c r="L23" t="inlineStr">
        <is>
          <t>Spiel</t>
        </is>
      </c>
    </row>
    <row r="24">
      <c r="B24" s="125" t="n">
        <v>36544</v>
      </c>
      <c r="C24" s="126" t="n">
        <v>0</v>
      </c>
      <c r="D24" s="126" t="n">
        <v>0.07291666666666667</v>
      </c>
      <c r="I24">
        <f>'Nach Mannschaften sortiert'!C24</f>
        <v/>
      </c>
      <c r="J24" s="87" t="inlineStr">
        <is>
          <t>inaktiv</t>
        </is>
      </c>
      <c r="K24" t="inlineStr">
        <is>
          <t>Liga</t>
        </is>
      </c>
      <c r="L24" t="inlineStr">
        <is>
          <t>Spiel</t>
        </is>
      </c>
    </row>
    <row r="25">
      <c r="B25" s="125" t="n">
        <v>36545</v>
      </c>
      <c r="C25" s="126" t="n">
        <v>0</v>
      </c>
      <c r="D25" s="126" t="n">
        <v>0.07291666666666667</v>
      </c>
      <c r="I25">
        <f>'Nach Mannschaften sortiert'!C25</f>
        <v/>
      </c>
      <c r="J25" s="87" t="inlineStr">
        <is>
          <t>inaktiv</t>
        </is>
      </c>
      <c r="K25" t="inlineStr">
        <is>
          <t>Liga</t>
        </is>
      </c>
      <c r="L25" t="inlineStr">
        <is>
          <t>Spiel</t>
        </is>
      </c>
    </row>
    <row r="26">
      <c r="B26" s="125" t="n">
        <v>36546</v>
      </c>
      <c r="C26" s="126" t="n">
        <v>0</v>
      </c>
      <c r="D26" s="126" t="n">
        <v>0.07291666666666667</v>
      </c>
      <c r="I26">
        <f>'Nach Mannschaften sortiert'!C26</f>
        <v/>
      </c>
      <c r="J26" s="87" t="inlineStr">
        <is>
          <t>inaktiv</t>
        </is>
      </c>
      <c r="K26" t="inlineStr">
        <is>
          <t>Liga</t>
        </is>
      </c>
      <c r="L26" t="inlineStr">
        <is>
          <t>Spiel</t>
        </is>
      </c>
    </row>
    <row r="27">
      <c r="B27" s="125" t="n">
        <v>36547</v>
      </c>
      <c r="C27" s="126" t="n">
        <v>0</v>
      </c>
      <c r="D27" s="126" t="n">
        <v>0.07291666666666667</v>
      </c>
      <c r="I27">
        <f>'Nach Mannschaften sortiert'!C27</f>
        <v/>
      </c>
      <c r="J27" s="87" t="inlineStr">
        <is>
          <t>inaktiv</t>
        </is>
      </c>
      <c r="K27" t="inlineStr">
        <is>
          <t>Liga</t>
        </is>
      </c>
      <c r="L27" t="inlineStr">
        <is>
          <t>Spiel</t>
        </is>
      </c>
    </row>
    <row r="28">
      <c r="B28" s="125" t="n">
        <v>36548</v>
      </c>
      <c r="C28" s="126" t="n">
        <v>0</v>
      </c>
      <c r="D28" s="126" t="n">
        <v>0.07291666666666667</v>
      </c>
      <c r="I28">
        <f>'Nach Mannschaften sortiert'!C28</f>
        <v/>
      </c>
      <c r="J28" s="87" t="inlineStr">
        <is>
          <t>inaktiv</t>
        </is>
      </c>
      <c r="K28" t="inlineStr">
        <is>
          <t>Liga</t>
        </is>
      </c>
      <c r="L28" t="inlineStr">
        <is>
          <t>Spiel</t>
        </is>
      </c>
    </row>
    <row r="29">
      <c r="B29" s="125" t="n">
        <v>36549</v>
      </c>
      <c r="C29" s="126" t="n">
        <v>0</v>
      </c>
      <c r="D29" s="126" t="n">
        <v>0.07291666666666667</v>
      </c>
      <c r="I29">
        <f>'Nach Mannschaften sortiert'!C29</f>
        <v/>
      </c>
      <c r="J29" s="87" t="inlineStr">
        <is>
          <t>inaktiv</t>
        </is>
      </c>
      <c r="K29" t="inlineStr">
        <is>
          <t>Liga</t>
        </is>
      </c>
      <c r="L29" t="inlineStr">
        <is>
          <t>Spiel</t>
        </is>
      </c>
    </row>
    <row r="30">
      <c r="B30" s="125" t="n">
        <v>36550</v>
      </c>
      <c r="C30" s="126" t="n">
        <v>0</v>
      </c>
      <c r="D30" s="126" t="n">
        <v>0.07291666666666667</v>
      </c>
      <c r="I30">
        <f>'Nach Mannschaften sortiert'!C30</f>
        <v/>
      </c>
      <c r="J30" s="87" t="inlineStr">
        <is>
          <t>inaktiv</t>
        </is>
      </c>
      <c r="K30" t="inlineStr">
        <is>
          <t>Liga</t>
        </is>
      </c>
      <c r="L30" t="inlineStr">
        <is>
          <t>Spiel</t>
        </is>
      </c>
    </row>
    <row r="31">
      <c r="B31" s="125" t="n">
        <v>36551</v>
      </c>
      <c r="C31" s="126" t="n">
        <v>0</v>
      </c>
      <c r="D31" s="126" t="n">
        <v>0.07291666666666667</v>
      </c>
      <c r="I31">
        <f>'Nach Mannschaften sortiert'!C31</f>
        <v/>
      </c>
      <c r="J31" s="87" t="inlineStr">
        <is>
          <t>inaktiv</t>
        </is>
      </c>
      <c r="K31" t="inlineStr">
        <is>
          <t>Liga</t>
        </is>
      </c>
      <c r="L31" t="inlineStr">
        <is>
          <t>Spiel</t>
        </is>
      </c>
    </row>
    <row r="32">
      <c r="B32" s="125" t="n">
        <v>36552</v>
      </c>
      <c r="C32" s="126" t="n">
        <v>0</v>
      </c>
      <c r="D32" s="126" t="n">
        <v>0.07291666666666667</v>
      </c>
      <c r="I32">
        <f>'Nach Mannschaften sortiert'!C32</f>
        <v/>
      </c>
      <c r="J32" s="87" t="inlineStr">
        <is>
          <t>inaktiv</t>
        </is>
      </c>
      <c r="K32" t="inlineStr">
        <is>
          <t>Liga</t>
        </is>
      </c>
      <c r="L32" t="inlineStr">
        <is>
          <t>Spiel</t>
        </is>
      </c>
    </row>
    <row r="33">
      <c r="B33" s="125" t="n">
        <v>36553</v>
      </c>
      <c r="C33" s="126" t="n">
        <v>0</v>
      </c>
      <c r="D33" s="126" t="n">
        <v>0.07291666666666667</v>
      </c>
      <c r="I33">
        <f>'Nach Mannschaften sortiert'!C33</f>
        <v/>
      </c>
      <c r="J33" s="87" t="inlineStr">
        <is>
          <t>inaktiv</t>
        </is>
      </c>
      <c r="K33" t="inlineStr">
        <is>
          <t>Liga</t>
        </is>
      </c>
      <c r="L33" t="inlineStr">
        <is>
          <t>Spiel</t>
        </is>
      </c>
    </row>
    <row r="34">
      <c r="B34" s="125" t="n">
        <v>36554</v>
      </c>
      <c r="C34" s="126" t="n">
        <v>0</v>
      </c>
      <c r="D34" s="126" t="n">
        <v>0.07291666666666667</v>
      </c>
      <c r="I34">
        <f>'Nach Mannschaften sortiert'!C34</f>
        <v/>
      </c>
      <c r="J34" s="87" t="inlineStr">
        <is>
          <t>inaktiv</t>
        </is>
      </c>
      <c r="K34" t="inlineStr">
        <is>
          <t>Liga</t>
        </is>
      </c>
      <c r="L34" t="inlineStr">
        <is>
          <t>Spiel</t>
        </is>
      </c>
    </row>
    <row r="35">
      <c r="B35" s="125" t="n">
        <v>36555</v>
      </c>
      <c r="C35" s="126" t="n">
        <v>0</v>
      </c>
      <c r="D35" s="126" t="n">
        <v>0.07291666666666667</v>
      </c>
      <c r="I35">
        <f>'Nach Mannschaften sortiert'!C35</f>
        <v/>
      </c>
      <c r="J35" s="87" t="inlineStr">
        <is>
          <t>inaktiv</t>
        </is>
      </c>
      <c r="K35" t="inlineStr">
        <is>
          <t>Liga</t>
        </is>
      </c>
      <c r="L35" t="inlineStr">
        <is>
          <t>Spiel</t>
        </is>
      </c>
    </row>
    <row r="36">
      <c r="B36" s="125" t="n">
        <v>36556</v>
      </c>
      <c r="C36" s="126" t="n">
        <v>0</v>
      </c>
      <c r="D36" s="126" t="n">
        <v>0.07291666666666667</v>
      </c>
      <c r="I36">
        <f>'Nach Mannschaften sortiert'!C36</f>
        <v/>
      </c>
      <c r="J36" s="87" t="inlineStr">
        <is>
          <t>inaktiv</t>
        </is>
      </c>
      <c r="K36" t="inlineStr">
        <is>
          <t>Liga</t>
        </is>
      </c>
      <c r="L36" t="inlineStr">
        <is>
          <t>Spiel</t>
        </is>
      </c>
    </row>
    <row r="37">
      <c r="B37" s="125" t="n">
        <v>36557</v>
      </c>
      <c r="C37" s="126" t="n">
        <v>0</v>
      </c>
      <c r="D37" s="126" t="n">
        <v>0.07291666666666667</v>
      </c>
      <c r="I37">
        <f>'Nach Mannschaften sortiert'!C37</f>
        <v/>
      </c>
      <c r="J37" s="87" t="inlineStr">
        <is>
          <t>inaktiv</t>
        </is>
      </c>
      <c r="K37" t="inlineStr">
        <is>
          <t>Liga</t>
        </is>
      </c>
      <c r="L37" t="inlineStr">
        <is>
          <t>Spiel</t>
        </is>
      </c>
    </row>
    <row r="38">
      <c r="B38" s="125" t="n">
        <v>36558</v>
      </c>
      <c r="C38" s="126" t="n">
        <v>0</v>
      </c>
      <c r="D38" s="126" t="n">
        <v>0.07291666666666667</v>
      </c>
      <c r="I38">
        <f>'Nach Mannschaften sortiert'!C38</f>
        <v/>
      </c>
      <c r="J38" s="87" t="inlineStr">
        <is>
          <t>inaktiv</t>
        </is>
      </c>
      <c r="K38" t="inlineStr">
        <is>
          <t>Liga</t>
        </is>
      </c>
      <c r="L38" t="inlineStr">
        <is>
          <t>Spiel</t>
        </is>
      </c>
    </row>
    <row r="39">
      <c r="B39" s="125" t="n">
        <v>36559</v>
      </c>
      <c r="C39" s="126" t="n">
        <v>0</v>
      </c>
      <c r="D39" s="126" t="n">
        <v>0.07291666666666667</v>
      </c>
      <c r="I39">
        <f>'Nach Mannschaften sortiert'!C39</f>
        <v/>
      </c>
      <c r="J39" s="87" t="inlineStr">
        <is>
          <t>inaktiv</t>
        </is>
      </c>
      <c r="K39" t="inlineStr">
        <is>
          <t>Liga</t>
        </is>
      </c>
      <c r="L39" t="inlineStr">
        <is>
          <t>Spiel</t>
        </is>
      </c>
    </row>
    <row r="40">
      <c r="B40" s="125" t="n">
        <v>36560</v>
      </c>
      <c r="C40" s="126" t="n">
        <v>0</v>
      </c>
      <c r="D40" s="126" t="n">
        <v>0.07291666666666667</v>
      </c>
      <c r="I40">
        <f>'Nach Mannschaften sortiert'!C40</f>
        <v/>
      </c>
      <c r="J40" s="87" t="inlineStr">
        <is>
          <t>inaktiv</t>
        </is>
      </c>
      <c r="K40" t="inlineStr">
        <is>
          <t>Liga</t>
        </is>
      </c>
      <c r="L40" t="inlineStr">
        <is>
          <t>Spiel</t>
        </is>
      </c>
    </row>
    <row r="41">
      <c r="B41" s="125" t="n">
        <v>36561</v>
      </c>
      <c r="C41" s="126" t="n">
        <v>0</v>
      </c>
      <c r="D41" s="126" t="n">
        <v>0.07291666666666667</v>
      </c>
      <c r="I41">
        <f>'Nach Mannschaften sortiert'!C41</f>
        <v/>
      </c>
      <c r="J41" s="87" t="inlineStr">
        <is>
          <t>inaktiv</t>
        </is>
      </c>
      <c r="K41" t="inlineStr">
        <is>
          <t>Liga</t>
        </is>
      </c>
      <c r="L41" t="inlineStr">
        <is>
          <t>Spiel</t>
        </is>
      </c>
    </row>
    <row r="42">
      <c r="B42" s="125" t="n">
        <v>36562</v>
      </c>
      <c r="C42" s="126" t="n">
        <v>0</v>
      </c>
      <c r="D42" s="126" t="n">
        <v>0.07291666666666667</v>
      </c>
      <c r="I42">
        <f>'Nach Mannschaften sortiert'!C42</f>
        <v/>
      </c>
      <c r="J42" s="87" t="inlineStr">
        <is>
          <t>inaktiv</t>
        </is>
      </c>
      <c r="K42" t="inlineStr">
        <is>
          <t>Liga</t>
        </is>
      </c>
      <c r="L42" t="inlineStr">
        <is>
          <t>Spiel</t>
        </is>
      </c>
    </row>
    <row r="43">
      <c r="B43" s="125" t="n">
        <v>36563</v>
      </c>
      <c r="C43" s="126" t="n">
        <v>0</v>
      </c>
      <c r="D43" s="126" t="n">
        <v>0.07291666666666667</v>
      </c>
      <c r="I43">
        <f>'Nach Mannschaften sortiert'!C43</f>
        <v/>
      </c>
      <c r="J43" s="87" t="inlineStr">
        <is>
          <t>inaktiv</t>
        </is>
      </c>
      <c r="K43" t="inlineStr">
        <is>
          <t>Liga</t>
        </is>
      </c>
      <c r="L43" t="inlineStr">
        <is>
          <t>Spiel</t>
        </is>
      </c>
    </row>
    <row r="44">
      <c r="B44" s="125" t="n">
        <v>36564</v>
      </c>
      <c r="C44" s="126" t="n">
        <v>0</v>
      </c>
      <c r="D44" s="126" t="n">
        <v>0.07291666666666667</v>
      </c>
      <c r="I44">
        <f>'Nach Mannschaften sortiert'!C44</f>
        <v/>
      </c>
      <c r="J44" s="87" t="inlineStr">
        <is>
          <t>inaktiv</t>
        </is>
      </c>
      <c r="K44" t="inlineStr">
        <is>
          <t>Liga</t>
        </is>
      </c>
      <c r="L44" t="inlineStr">
        <is>
          <t>Spiel</t>
        </is>
      </c>
    </row>
    <row r="45">
      <c r="B45" s="125" t="n">
        <v>36565</v>
      </c>
      <c r="C45" s="126" t="n">
        <v>0</v>
      </c>
      <c r="D45" s="126" t="n">
        <v>0.07291666666666667</v>
      </c>
      <c r="I45">
        <f>'Nach Mannschaften sortiert'!C45</f>
        <v/>
      </c>
      <c r="J45" s="87" t="inlineStr">
        <is>
          <t>inaktiv</t>
        </is>
      </c>
      <c r="K45" t="inlineStr">
        <is>
          <t>Liga</t>
        </is>
      </c>
      <c r="L45" t="inlineStr">
        <is>
          <t>Spiel</t>
        </is>
      </c>
    </row>
    <row r="46">
      <c r="B46" s="125" t="n">
        <v>36566</v>
      </c>
      <c r="C46" s="126" t="n">
        <v>0</v>
      </c>
      <c r="D46" s="126" t="n">
        <v>0.07291666666666667</v>
      </c>
      <c r="I46">
        <f>'Nach Mannschaften sortiert'!C46</f>
        <v/>
      </c>
      <c r="J46" s="87" t="inlineStr">
        <is>
          <t>inaktiv</t>
        </is>
      </c>
      <c r="K46" t="inlineStr">
        <is>
          <t>Liga</t>
        </is>
      </c>
      <c r="L46" t="inlineStr">
        <is>
          <t>Spiel</t>
        </is>
      </c>
    </row>
    <row r="47">
      <c r="B47" s="125" t="n">
        <v>36567</v>
      </c>
      <c r="C47" s="126" t="n">
        <v>0</v>
      </c>
      <c r="D47" s="126" t="n">
        <v>0.07291666666666667</v>
      </c>
      <c r="I47">
        <f>'Nach Mannschaften sortiert'!C47</f>
        <v/>
      </c>
      <c r="J47" s="87" t="inlineStr">
        <is>
          <t>inaktiv</t>
        </is>
      </c>
      <c r="K47" t="inlineStr">
        <is>
          <t>Liga</t>
        </is>
      </c>
      <c r="L47" t="inlineStr">
        <is>
          <t>Spiel</t>
        </is>
      </c>
    </row>
    <row r="48">
      <c r="B48" s="125" t="n">
        <v>36568</v>
      </c>
      <c r="C48" s="126" t="n">
        <v>0</v>
      </c>
      <c r="D48" s="126" t="n">
        <v>0.07291666666666667</v>
      </c>
      <c r="I48">
        <f>'Nach Mannschaften sortiert'!C48</f>
        <v/>
      </c>
      <c r="J48" s="87" t="inlineStr">
        <is>
          <t>inaktiv</t>
        </is>
      </c>
      <c r="K48" t="inlineStr">
        <is>
          <t>Liga</t>
        </is>
      </c>
      <c r="L48" t="inlineStr">
        <is>
          <t>Spiel</t>
        </is>
      </c>
    </row>
    <row r="49">
      <c r="B49" s="125" t="n">
        <v>36569</v>
      </c>
      <c r="C49" s="126" t="n">
        <v>0</v>
      </c>
      <c r="D49" s="126" t="n">
        <v>0.07291666666666667</v>
      </c>
      <c r="I49">
        <f>'Nach Mannschaften sortiert'!C49</f>
        <v/>
      </c>
      <c r="J49" s="87" t="inlineStr">
        <is>
          <t>inaktiv</t>
        </is>
      </c>
      <c r="K49" t="inlineStr">
        <is>
          <t>Liga</t>
        </is>
      </c>
      <c r="L49" t="inlineStr">
        <is>
          <t>Spiel</t>
        </is>
      </c>
    </row>
    <row r="50">
      <c r="B50" s="125" t="n">
        <v>36570</v>
      </c>
      <c r="C50" s="126" t="n">
        <v>0</v>
      </c>
      <c r="D50" s="126" t="n">
        <v>0.07291666666666667</v>
      </c>
      <c r="I50">
        <f>'Nach Mannschaften sortiert'!C50</f>
        <v/>
      </c>
      <c r="J50" s="87" t="inlineStr">
        <is>
          <t>inaktiv</t>
        </is>
      </c>
      <c r="K50" t="inlineStr">
        <is>
          <t>Liga</t>
        </is>
      </c>
      <c r="L50" t="inlineStr">
        <is>
          <t>Spiel</t>
        </is>
      </c>
    </row>
    <row r="51">
      <c r="B51" s="125" t="n">
        <v>36571</v>
      </c>
      <c r="C51" s="126" t="n">
        <v>0</v>
      </c>
      <c r="D51" s="126" t="n">
        <v>0.07291666666666667</v>
      </c>
      <c r="I51">
        <f>'Nach Mannschaften sortiert'!C51</f>
        <v/>
      </c>
      <c r="J51" s="87" t="inlineStr">
        <is>
          <t>inaktiv</t>
        </is>
      </c>
      <c r="K51" t="inlineStr">
        <is>
          <t>Liga</t>
        </is>
      </c>
      <c r="L51" t="inlineStr">
        <is>
          <t>Spiel</t>
        </is>
      </c>
    </row>
    <row r="52">
      <c r="B52" s="125" t="n">
        <v>36572</v>
      </c>
      <c r="C52" s="126" t="n">
        <v>0</v>
      </c>
      <c r="D52" s="126" t="n">
        <v>0.07291666666666667</v>
      </c>
      <c r="I52">
        <f>'Nach Mannschaften sortiert'!C52</f>
        <v/>
      </c>
      <c r="J52" s="87" t="inlineStr">
        <is>
          <t>inaktiv</t>
        </is>
      </c>
      <c r="K52" t="inlineStr">
        <is>
          <t>Liga</t>
        </is>
      </c>
      <c r="L52" t="inlineStr">
        <is>
          <t>Spiel</t>
        </is>
      </c>
    </row>
    <row r="53">
      <c r="B53" s="125" t="n">
        <v>36573</v>
      </c>
      <c r="C53" s="126" t="n">
        <v>0</v>
      </c>
      <c r="D53" s="126" t="n">
        <v>0.07291666666666667</v>
      </c>
      <c r="I53">
        <f>'Nach Mannschaften sortiert'!C53</f>
        <v/>
      </c>
      <c r="J53" s="87" t="inlineStr">
        <is>
          <t>inaktiv</t>
        </is>
      </c>
      <c r="K53" t="inlineStr">
        <is>
          <t>Liga</t>
        </is>
      </c>
      <c r="L53" t="inlineStr">
        <is>
          <t>Spiel</t>
        </is>
      </c>
    </row>
    <row r="54">
      <c r="B54" s="125" t="n">
        <v>36574</v>
      </c>
      <c r="C54" s="126" t="n">
        <v>0</v>
      </c>
      <c r="D54" s="126" t="n">
        <v>0.07291666666666667</v>
      </c>
      <c r="I54">
        <f>'Nach Mannschaften sortiert'!C54</f>
        <v/>
      </c>
      <c r="J54" s="87" t="inlineStr">
        <is>
          <t>inaktiv</t>
        </is>
      </c>
      <c r="K54" t="inlineStr">
        <is>
          <t>Liga</t>
        </is>
      </c>
      <c r="L54" t="inlineStr">
        <is>
          <t>Spiel</t>
        </is>
      </c>
    </row>
    <row r="55">
      <c r="B55" s="125" t="n">
        <v>36575</v>
      </c>
      <c r="C55" s="126" t="n">
        <v>0</v>
      </c>
      <c r="D55" s="126" t="n">
        <v>0.07291666666666667</v>
      </c>
      <c r="I55">
        <f>'Nach Mannschaften sortiert'!C55</f>
        <v/>
      </c>
      <c r="J55" s="87" t="inlineStr">
        <is>
          <t>inaktiv</t>
        </is>
      </c>
      <c r="K55" t="inlineStr">
        <is>
          <t>Liga</t>
        </is>
      </c>
      <c r="L55" t="inlineStr">
        <is>
          <t>Spiel</t>
        </is>
      </c>
    </row>
    <row r="56">
      <c r="B56" s="125" t="n">
        <v>36576</v>
      </c>
      <c r="C56" s="126" t="n">
        <v>0</v>
      </c>
      <c r="D56" s="126" t="n">
        <v>0.07291666666666667</v>
      </c>
      <c r="I56">
        <f>'Nach Mannschaften sortiert'!C56</f>
        <v/>
      </c>
      <c r="J56" s="87" t="inlineStr">
        <is>
          <t>inaktiv</t>
        </is>
      </c>
      <c r="K56" t="inlineStr">
        <is>
          <t>Liga</t>
        </is>
      </c>
      <c r="L56" t="inlineStr">
        <is>
          <t>Spiel</t>
        </is>
      </c>
    </row>
    <row r="57">
      <c r="B57" s="125" t="n">
        <v>36577</v>
      </c>
      <c r="C57" s="126" t="n">
        <v>0</v>
      </c>
      <c r="D57" s="126" t="n">
        <v>0.07291666666666667</v>
      </c>
      <c r="I57">
        <f>'Nach Mannschaften sortiert'!C57</f>
        <v/>
      </c>
      <c r="J57" s="87" t="inlineStr">
        <is>
          <t>inaktiv</t>
        </is>
      </c>
      <c r="K57" t="inlineStr">
        <is>
          <t>Liga</t>
        </is>
      </c>
      <c r="L57" t="inlineStr">
        <is>
          <t>Spiel</t>
        </is>
      </c>
    </row>
    <row r="58">
      <c r="B58" s="125" t="n">
        <v>36578</v>
      </c>
      <c r="C58" s="126" t="n">
        <v>0</v>
      </c>
      <c r="D58" s="126" t="n">
        <v>0.07291666666666667</v>
      </c>
      <c r="I58">
        <f>'Nach Mannschaften sortiert'!C58</f>
        <v/>
      </c>
      <c r="J58" s="87" t="inlineStr">
        <is>
          <t>inaktiv</t>
        </is>
      </c>
      <c r="K58" t="inlineStr">
        <is>
          <t>Liga</t>
        </is>
      </c>
      <c r="L58" t="inlineStr">
        <is>
          <t>Spiel</t>
        </is>
      </c>
    </row>
    <row r="59">
      <c r="B59" s="125" t="n">
        <v>36579</v>
      </c>
      <c r="C59" s="126" t="n">
        <v>0</v>
      </c>
      <c r="D59" s="126" t="n">
        <v>0.07291666666666667</v>
      </c>
      <c r="I59">
        <f>'Nach Mannschaften sortiert'!C59</f>
        <v/>
      </c>
      <c r="J59" s="87" t="inlineStr">
        <is>
          <t>inaktiv</t>
        </is>
      </c>
      <c r="K59" t="inlineStr">
        <is>
          <t>Liga</t>
        </is>
      </c>
      <c r="L59" t="inlineStr">
        <is>
          <t>Spiel</t>
        </is>
      </c>
    </row>
    <row r="60">
      <c r="B60" s="125" t="n">
        <v>36580</v>
      </c>
      <c r="C60" s="126" t="n">
        <v>0</v>
      </c>
      <c r="D60" s="126" t="n">
        <v>0.07291666666666667</v>
      </c>
      <c r="I60">
        <f>'Nach Mannschaften sortiert'!C60</f>
        <v/>
      </c>
      <c r="J60" s="87" t="inlineStr">
        <is>
          <t>inaktiv</t>
        </is>
      </c>
      <c r="K60" t="inlineStr">
        <is>
          <t>Liga</t>
        </is>
      </c>
      <c r="L60" t="inlineStr">
        <is>
          <t>Spiel</t>
        </is>
      </c>
    </row>
    <row r="61">
      <c r="B61" s="125" t="n">
        <v>36581</v>
      </c>
      <c r="C61" s="126" t="n">
        <v>0</v>
      </c>
      <c r="D61" s="126" t="n">
        <v>0.07291666666666667</v>
      </c>
      <c r="I61">
        <f>'Nach Mannschaften sortiert'!C61</f>
        <v/>
      </c>
      <c r="J61" s="87" t="inlineStr">
        <is>
          <t>inaktiv</t>
        </is>
      </c>
      <c r="K61" t="inlineStr">
        <is>
          <t>Liga</t>
        </is>
      </c>
      <c r="L61" t="inlineStr">
        <is>
          <t>Spiel</t>
        </is>
      </c>
    </row>
    <row r="62">
      <c r="B62" s="125" t="n">
        <v>36582</v>
      </c>
      <c r="C62" s="126" t="n">
        <v>0</v>
      </c>
      <c r="D62" s="126" t="n">
        <v>0.07291666666666667</v>
      </c>
      <c r="I62">
        <f>'Nach Mannschaften sortiert'!C62</f>
        <v/>
      </c>
      <c r="J62" s="87" t="inlineStr">
        <is>
          <t>inaktiv</t>
        </is>
      </c>
      <c r="K62" t="inlineStr">
        <is>
          <t>Liga</t>
        </is>
      </c>
      <c r="L62" t="inlineStr">
        <is>
          <t>Spiel</t>
        </is>
      </c>
    </row>
    <row r="63">
      <c r="B63" s="125" t="n">
        <v>36583</v>
      </c>
      <c r="C63" s="126" t="n">
        <v>0</v>
      </c>
      <c r="D63" s="126" t="n">
        <v>0.07291666666666667</v>
      </c>
      <c r="I63">
        <f>'Nach Mannschaften sortiert'!C63</f>
        <v/>
      </c>
      <c r="J63" s="87" t="inlineStr">
        <is>
          <t>inaktiv</t>
        </is>
      </c>
      <c r="K63" t="inlineStr">
        <is>
          <t>Liga</t>
        </is>
      </c>
      <c r="L63" t="inlineStr">
        <is>
          <t>Spiel</t>
        </is>
      </c>
    </row>
    <row r="64">
      <c r="B64" s="125" t="n">
        <v>36584</v>
      </c>
      <c r="C64" s="126" t="n">
        <v>0</v>
      </c>
      <c r="D64" s="126" t="n">
        <v>0.07291666666666667</v>
      </c>
      <c r="I64">
        <f>'Nach Mannschaften sortiert'!C64</f>
        <v/>
      </c>
      <c r="J64" s="87" t="inlineStr">
        <is>
          <t>inaktiv</t>
        </is>
      </c>
      <c r="K64" t="inlineStr">
        <is>
          <t>Liga</t>
        </is>
      </c>
      <c r="L64" t="inlineStr">
        <is>
          <t>Spiel</t>
        </is>
      </c>
    </row>
    <row r="65">
      <c r="B65" s="125" t="n">
        <v>36585</v>
      </c>
      <c r="C65" s="126" t="n">
        <v>0</v>
      </c>
      <c r="D65" s="126" t="n">
        <v>0.07291666666666667</v>
      </c>
      <c r="I65">
        <f>'Nach Mannschaften sortiert'!C65</f>
        <v/>
      </c>
      <c r="J65" s="87" t="inlineStr">
        <is>
          <t>inaktiv</t>
        </is>
      </c>
      <c r="K65" t="inlineStr">
        <is>
          <t>Liga</t>
        </is>
      </c>
      <c r="L65" t="inlineStr">
        <is>
          <t>Spiel</t>
        </is>
      </c>
    </row>
    <row r="66">
      <c r="B66" s="125" t="n">
        <v>36586</v>
      </c>
      <c r="C66" s="126" t="n">
        <v>0</v>
      </c>
      <c r="D66" s="126" t="n">
        <v>0.07291666666666667</v>
      </c>
      <c r="I66">
        <f>'Nach Mannschaften sortiert'!C66</f>
        <v/>
      </c>
      <c r="J66" s="87" t="inlineStr">
        <is>
          <t>inaktiv</t>
        </is>
      </c>
      <c r="K66" t="inlineStr">
        <is>
          <t>Liga</t>
        </is>
      </c>
      <c r="L66" t="inlineStr">
        <is>
          <t>Spiel</t>
        </is>
      </c>
    </row>
    <row r="67">
      <c r="B67" s="125" t="n">
        <v>36587</v>
      </c>
      <c r="C67" s="126" t="n">
        <v>0</v>
      </c>
      <c r="D67" s="126" t="n">
        <v>0.07291666666666667</v>
      </c>
      <c r="I67">
        <f>'Nach Mannschaften sortiert'!C67</f>
        <v/>
      </c>
      <c r="J67" s="87" t="inlineStr">
        <is>
          <t>inaktiv</t>
        </is>
      </c>
      <c r="K67" t="inlineStr">
        <is>
          <t>Liga</t>
        </is>
      </c>
      <c r="L67" t="inlineStr">
        <is>
          <t>Spiel</t>
        </is>
      </c>
    </row>
    <row r="68">
      <c r="B68" s="125" t="n">
        <v>36588</v>
      </c>
      <c r="C68" s="126" t="n">
        <v>0</v>
      </c>
      <c r="D68" s="126" t="n">
        <v>0.07291666666666667</v>
      </c>
      <c r="I68">
        <f>'Nach Mannschaften sortiert'!C68</f>
        <v/>
      </c>
      <c r="J68" s="87" t="inlineStr">
        <is>
          <t>inaktiv</t>
        </is>
      </c>
      <c r="K68" t="inlineStr">
        <is>
          <t>Liga</t>
        </is>
      </c>
      <c r="L68" t="inlineStr">
        <is>
          <t>Spiel</t>
        </is>
      </c>
    </row>
    <row r="69">
      <c r="B69" s="125" t="n">
        <v>36589</v>
      </c>
      <c r="C69" s="126" t="n">
        <v>0</v>
      </c>
      <c r="D69" s="126" t="n">
        <v>0.07291666666666667</v>
      </c>
      <c r="I69">
        <f>'Nach Mannschaften sortiert'!C69</f>
        <v/>
      </c>
      <c r="J69" s="87" t="inlineStr">
        <is>
          <t>inaktiv</t>
        </is>
      </c>
      <c r="K69" t="inlineStr">
        <is>
          <t>Liga</t>
        </is>
      </c>
      <c r="L69" t="inlineStr">
        <is>
          <t>Spiel</t>
        </is>
      </c>
    </row>
    <row r="70">
      <c r="B70" s="125" t="n">
        <v>36590</v>
      </c>
      <c r="C70" s="126" t="n">
        <v>0</v>
      </c>
      <c r="D70" s="126" t="n">
        <v>0.07291666666666667</v>
      </c>
      <c r="I70">
        <f>'Nach Mannschaften sortiert'!C70</f>
        <v/>
      </c>
      <c r="J70" s="87" t="inlineStr">
        <is>
          <t>inaktiv</t>
        </is>
      </c>
      <c r="K70" t="inlineStr">
        <is>
          <t>Liga</t>
        </is>
      </c>
      <c r="L70" t="inlineStr">
        <is>
          <t>Spiel</t>
        </is>
      </c>
    </row>
    <row r="71">
      <c r="B71" s="125" t="n">
        <v>36591</v>
      </c>
      <c r="C71" s="126" t="n">
        <v>0</v>
      </c>
      <c r="D71" s="126" t="n">
        <v>0.07291666666666667</v>
      </c>
      <c r="I71">
        <f>'Nach Mannschaften sortiert'!C71</f>
        <v/>
      </c>
      <c r="J71" s="87" t="inlineStr">
        <is>
          <t>inaktiv</t>
        </is>
      </c>
      <c r="K71" t="inlineStr">
        <is>
          <t>Liga</t>
        </is>
      </c>
      <c r="L71" t="inlineStr">
        <is>
          <t>Spiel</t>
        </is>
      </c>
    </row>
    <row r="72">
      <c r="B72" s="125" t="n">
        <v>36592</v>
      </c>
      <c r="C72" s="126" t="n">
        <v>0</v>
      </c>
      <c r="D72" s="126" t="n">
        <v>0.07291666666666667</v>
      </c>
      <c r="I72">
        <f>'Nach Mannschaften sortiert'!C72</f>
        <v/>
      </c>
      <c r="J72" s="87" t="inlineStr">
        <is>
          <t>inaktiv</t>
        </is>
      </c>
      <c r="K72" t="inlineStr">
        <is>
          <t>Liga</t>
        </is>
      </c>
      <c r="L72" t="inlineStr">
        <is>
          <t>Spiel</t>
        </is>
      </c>
    </row>
    <row r="73">
      <c r="B73" s="125" t="n">
        <v>36593</v>
      </c>
      <c r="C73" s="126" t="n">
        <v>0</v>
      </c>
      <c r="D73" s="126" t="n">
        <v>0.07291666666666667</v>
      </c>
      <c r="I73">
        <f>'Nach Mannschaften sortiert'!C73</f>
        <v/>
      </c>
      <c r="J73" s="87" t="inlineStr">
        <is>
          <t>inaktiv</t>
        </is>
      </c>
      <c r="K73" t="inlineStr">
        <is>
          <t>Liga</t>
        </is>
      </c>
      <c r="L73" t="inlineStr">
        <is>
          <t>Spiel</t>
        </is>
      </c>
    </row>
    <row r="74">
      <c r="B74" s="125" t="n">
        <v>36594</v>
      </c>
      <c r="C74" s="126" t="n">
        <v>0</v>
      </c>
      <c r="D74" s="126" t="n">
        <v>0.07291666666666667</v>
      </c>
      <c r="I74">
        <f>'Nach Mannschaften sortiert'!C74</f>
        <v/>
      </c>
      <c r="J74" s="87" t="inlineStr">
        <is>
          <t>inaktiv</t>
        </is>
      </c>
      <c r="K74" t="inlineStr">
        <is>
          <t>Liga</t>
        </is>
      </c>
      <c r="L74" t="inlineStr">
        <is>
          <t>Spiel</t>
        </is>
      </c>
    </row>
    <row r="75">
      <c r="B75" s="125" t="n">
        <v>36595</v>
      </c>
      <c r="C75" s="126" t="n">
        <v>0</v>
      </c>
      <c r="D75" s="126" t="n">
        <v>0.07291666666666667</v>
      </c>
      <c r="I75">
        <f>'Nach Mannschaften sortiert'!C75</f>
        <v/>
      </c>
      <c r="J75" s="87" t="inlineStr">
        <is>
          <t>inaktiv</t>
        </is>
      </c>
      <c r="K75" t="inlineStr">
        <is>
          <t>Liga</t>
        </is>
      </c>
      <c r="L75" t="inlineStr">
        <is>
          <t>Spiel</t>
        </is>
      </c>
    </row>
    <row r="76">
      <c r="B76" s="125" t="n">
        <v>36596</v>
      </c>
      <c r="C76" s="126" t="n">
        <v>0</v>
      </c>
      <c r="D76" s="126" t="n">
        <v>0.07291666666666667</v>
      </c>
      <c r="I76">
        <f>'Nach Mannschaften sortiert'!C76</f>
        <v/>
      </c>
      <c r="J76" s="87" t="inlineStr">
        <is>
          <t>inaktiv</t>
        </is>
      </c>
      <c r="K76" t="inlineStr">
        <is>
          <t>Liga</t>
        </is>
      </c>
      <c r="L76" t="inlineStr">
        <is>
          <t>Spiel</t>
        </is>
      </c>
    </row>
    <row r="77">
      <c r="B77" s="125" t="n">
        <v>36597</v>
      </c>
      <c r="C77" s="126" t="n">
        <v>0</v>
      </c>
      <c r="D77" s="126" t="n">
        <v>0.07291666666666667</v>
      </c>
      <c r="I77">
        <f>'Nach Mannschaften sortiert'!C77</f>
        <v/>
      </c>
      <c r="J77" s="87" t="inlineStr">
        <is>
          <t>inaktiv</t>
        </is>
      </c>
      <c r="K77" t="inlineStr">
        <is>
          <t>Liga</t>
        </is>
      </c>
      <c r="L77" t="inlineStr">
        <is>
          <t>Spiel</t>
        </is>
      </c>
    </row>
    <row r="78">
      <c r="B78" s="125" t="n">
        <v>36598</v>
      </c>
      <c r="C78" s="126" t="n">
        <v>0</v>
      </c>
      <c r="D78" s="126" t="n">
        <v>0.07291666666666667</v>
      </c>
      <c r="I78">
        <f>'Nach Mannschaften sortiert'!C78</f>
        <v/>
      </c>
      <c r="J78" s="87" t="inlineStr">
        <is>
          <t>inaktiv</t>
        </is>
      </c>
      <c r="K78" t="inlineStr">
        <is>
          <t>Liga</t>
        </is>
      </c>
      <c r="L78" t="inlineStr">
        <is>
          <t>Spiel</t>
        </is>
      </c>
    </row>
    <row r="79">
      <c r="B79" s="125" t="n">
        <v>36599</v>
      </c>
      <c r="C79" s="126" t="n">
        <v>0</v>
      </c>
      <c r="D79" s="126" t="n">
        <v>0.07291666666666667</v>
      </c>
      <c r="I79">
        <f>'Nach Mannschaften sortiert'!C79</f>
        <v/>
      </c>
      <c r="J79" s="87" t="inlineStr">
        <is>
          <t>inaktiv</t>
        </is>
      </c>
      <c r="K79" t="inlineStr">
        <is>
          <t>Liga</t>
        </is>
      </c>
      <c r="L79" t="inlineStr">
        <is>
          <t>Spiel</t>
        </is>
      </c>
    </row>
    <row r="80">
      <c r="B80" s="125" t="n">
        <v>36600</v>
      </c>
      <c r="C80" s="126" t="n">
        <v>0</v>
      </c>
      <c r="D80" s="126" t="n">
        <v>0.07291666666666667</v>
      </c>
      <c r="I80">
        <f>'Nach Mannschaften sortiert'!C80</f>
        <v/>
      </c>
      <c r="J80" s="87" t="inlineStr">
        <is>
          <t>inaktiv</t>
        </is>
      </c>
      <c r="K80" t="inlineStr">
        <is>
          <t>Liga</t>
        </is>
      </c>
      <c r="L80" t="inlineStr">
        <is>
          <t>Spiel</t>
        </is>
      </c>
    </row>
    <row r="81">
      <c r="B81" s="125" t="n">
        <v>36601</v>
      </c>
      <c r="C81" s="126" t="n">
        <v>0</v>
      </c>
      <c r="D81" s="126" t="n">
        <v>0.07291666666666667</v>
      </c>
      <c r="I81">
        <f>'Nach Mannschaften sortiert'!C81</f>
        <v/>
      </c>
      <c r="J81" s="87" t="inlineStr">
        <is>
          <t>inaktiv</t>
        </is>
      </c>
      <c r="K81" t="inlineStr">
        <is>
          <t>Liga</t>
        </is>
      </c>
      <c r="L81" t="inlineStr">
        <is>
          <t>Spiel</t>
        </is>
      </c>
    </row>
    <row r="82">
      <c r="B82" s="125" t="n">
        <v>36602</v>
      </c>
      <c r="C82" s="126" t="n">
        <v>0</v>
      </c>
      <c r="D82" s="126" t="n">
        <v>0.07291666666666667</v>
      </c>
      <c r="I82">
        <f>'Nach Mannschaften sortiert'!C82</f>
        <v/>
      </c>
      <c r="J82" s="87" t="inlineStr">
        <is>
          <t>inaktiv</t>
        </is>
      </c>
      <c r="K82" t="inlineStr">
        <is>
          <t>Liga</t>
        </is>
      </c>
      <c r="L82" t="inlineStr">
        <is>
          <t>Spiel</t>
        </is>
      </c>
    </row>
    <row r="83">
      <c r="B83" s="125" t="n">
        <v>36603</v>
      </c>
      <c r="C83" s="126" t="n">
        <v>0</v>
      </c>
      <c r="D83" s="126" t="n">
        <v>0.07291666666666667</v>
      </c>
      <c r="I83">
        <f>'Nach Mannschaften sortiert'!C83</f>
        <v/>
      </c>
      <c r="J83" s="87" t="inlineStr">
        <is>
          <t>inaktiv</t>
        </is>
      </c>
      <c r="K83" t="inlineStr">
        <is>
          <t>Liga</t>
        </is>
      </c>
      <c r="L83" t="inlineStr">
        <is>
          <t>Spiel</t>
        </is>
      </c>
    </row>
    <row r="84">
      <c r="B84" s="125" t="n">
        <v>36604</v>
      </c>
      <c r="C84" s="126" t="n">
        <v>0</v>
      </c>
      <c r="D84" s="126" t="n">
        <v>0.07291666666666667</v>
      </c>
      <c r="I84">
        <f>'Nach Mannschaften sortiert'!C84</f>
        <v/>
      </c>
      <c r="J84" s="87" t="inlineStr">
        <is>
          <t>inaktiv</t>
        </is>
      </c>
      <c r="K84" t="inlineStr">
        <is>
          <t>Liga</t>
        </is>
      </c>
      <c r="L84" t="inlineStr">
        <is>
          <t>Spiel</t>
        </is>
      </c>
    </row>
    <row r="85">
      <c r="B85" s="125" t="n">
        <v>36605</v>
      </c>
      <c r="C85" s="126" t="n">
        <v>0</v>
      </c>
      <c r="D85" s="126" t="n">
        <v>0.07291666666666667</v>
      </c>
      <c r="I85">
        <f>'Nach Mannschaften sortiert'!C85</f>
        <v/>
      </c>
      <c r="J85" s="87" t="inlineStr">
        <is>
          <t>inaktiv</t>
        </is>
      </c>
      <c r="K85" t="inlineStr">
        <is>
          <t>Liga</t>
        </is>
      </c>
      <c r="L85" t="inlineStr">
        <is>
          <t>Spiel</t>
        </is>
      </c>
    </row>
    <row r="86">
      <c r="B86" s="125" t="n">
        <v>36606</v>
      </c>
      <c r="C86" s="126" t="n">
        <v>0</v>
      </c>
      <c r="D86" s="126" t="n">
        <v>0.07291666666666667</v>
      </c>
      <c r="I86">
        <f>'Nach Mannschaften sortiert'!C86</f>
        <v/>
      </c>
      <c r="J86" s="87" t="inlineStr">
        <is>
          <t>inaktiv</t>
        </is>
      </c>
      <c r="K86" t="inlineStr">
        <is>
          <t>Liga</t>
        </is>
      </c>
      <c r="L86" t="inlineStr">
        <is>
          <t>Spiel</t>
        </is>
      </c>
    </row>
    <row r="87">
      <c r="B87" s="125" t="n">
        <v>36607</v>
      </c>
      <c r="C87" s="126" t="n">
        <v>0</v>
      </c>
      <c r="D87" s="126" t="n">
        <v>0.07291666666666667</v>
      </c>
      <c r="I87">
        <f>'Nach Mannschaften sortiert'!C87</f>
        <v/>
      </c>
      <c r="J87" s="87" t="inlineStr">
        <is>
          <t>inaktiv</t>
        </is>
      </c>
      <c r="K87" t="inlineStr">
        <is>
          <t>Liga</t>
        </is>
      </c>
      <c r="L87" t="inlineStr">
        <is>
          <t>Spiel</t>
        </is>
      </c>
    </row>
    <row r="88">
      <c r="B88" s="125" t="n">
        <v>36608</v>
      </c>
      <c r="C88" s="126" t="n">
        <v>0</v>
      </c>
      <c r="D88" s="126" t="n">
        <v>0.07291666666666667</v>
      </c>
      <c r="I88">
        <f>'Nach Mannschaften sortiert'!C88</f>
        <v/>
      </c>
      <c r="J88" s="87" t="inlineStr">
        <is>
          <t>inaktiv</t>
        </is>
      </c>
      <c r="K88" t="inlineStr">
        <is>
          <t>Liga</t>
        </is>
      </c>
      <c r="L88" t="inlineStr">
        <is>
          <t>Spiel</t>
        </is>
      </c>
    </row>
    <row r="89">
      <c r="B89" s="125" t="n">
        <v>36609</v>
      </c>
      <c r="C89" s="126" t="n">
        <v>0</v>
      </c>
      <c r="D89" s="126" t="n">
        <v>0.07291666666666667</v>
      </c>
      <c r="I89">
        <f>'Nach Mannschaften sortiert'!C89</f>
        <v/>
      </c>
      <c r="J89" s="87" t="inlineStr">
        <is>
          <t>inaktiv</t>
        </is>
      </c>
      <c r="K89" t="inlineStr">
        <is>
          <t>Liga</t>
        </is>
      </c>
      <c r="L89" t="inlineStr">
        <is>
          <t>Spiel</t>
        </is>
      </c>
    </row>
    <row r="90">
      <c r="B90" s="125" t="n">
        <v>36610</v>
      </c>
      <c r="C90" s="126" t="n">
        <v>0</v>
      </c>
      <c r="D90" s="126" t="n">
        <v>0.07291666666666667</v>
      </c>
      <c r="I90">
        <f>'Nach Mannschaften sortiert'!C90</f>
        <v/>
      </c>
      <c r="J90" s="87" t="inlineStr">
        <is>
          <t>inaktiv</t>
        </is>
      </c>
      <c r="K90" t="inlineStr">
        <is>
          <t>Liga</t>
        </is>
      </c>
      <c r="L90" t="inlineStr">
        <is>
          <t>Spiel</t>
        </is>
      </c>
    </row>
    <row r="91">
      <c r="B91" s="125" t="n">
        <v>36611</v>
      </c>
      <c r="C91" s="126" t="n">
        <v>0</v>
      </c>
      <c r="D91" s="126" t="n">
        <v>0.07291666666666667</v>
      </c>
      <c r="I91">
        <f>'Nach Mannschaften sortiert'!C91</f>
        <v/>
      </c>
      <c r="J91" s="87" t="inlineStr">
        <is>
          <t>inaktiv</t>
        </is>
      </c>
      <c r="K91" t="inlineStr">
        <is>
          <t>Liga</t>
        </is>
      </c>
      <c r="L91" t="inlineStr">
        <is>
          <t>Spiel</t>
        </is>
      </c>
    </row>
    <row r="92">
      <c r="B92" s="125" t="n">
        <v>36612</v>
      </c>
      <c r="C92" s="126" t="n">
        <v>0</v>
      </c>
      <c r="D92" s="126" t="n">
        <v>0.07291666666666667</v>
      </c>
      <c r="I92">
        <f>'Nach Mannschaften sortiert'!C92</f>
        <v/>
      </c>
      <c r="J92" s="87" t="inlineStr">
        <is>
          <t>inaktiv</t>
        </is>
      </c>
      <c r="K92" t="inlineStr">
        <is>
          <t>Liga</t>
        </is>
      </c>
      <c r="L92" t="inlineStr">
        <is>
          <t>Spiel</t>
        </is>
      </c>
    </row>
    <row r="93">
      <c r="B93" s="125" t="n">
        <v>36613</v>
      </c>
      <c r="C93" s="126" t="n">
        <v>0</v>
      </c>
      <c r="D93" s="126" t="n">
        <v>0.07291666666666667</v>
      </c>
      <c r="I93">
        <f>'Nach Mannschaften sortiert'!C93</f>
        <v/>
      </c>
      <c r="J93" s="87" t="inlineStr">
        <is>
          <t>inaktiv</t>
        </is>
      </c>
      <c r="K93" t="inlineStr">
        <is>
          <t>Liga</t>
        </is>
      </c>
      <c r="L93" t="inlineStr">
        <is>
          <t>Spiel</t>
        </is>
      </c>
    </row>
    <row r="94">
      <c r="B94" s="125" t="n">
        <v>36614</v>
      </c>
      <c r="C94" s="126" t="n">
        <v>0</v>
      </c>
      <c r="D94" s="126" t="n">
        <v>0.07291666666666667</v>
      </c>
      <c r="I94">
        <f>'Nach Mannschaften sortiert'!C94</f>
        <v/>
      </c>
      <c r="J94" s="87" t="inlineStr">
        <is>
          <t>inaktiv</t>
        </is>
      </c>
      <c r="K94" t="inlineStr">
        <is>
          <t>Liga</t>
        </is>
      </c>
      <c r="L94" t="inlineStr">
        <is>
          <t>Spiel</t>
        </is>
      </c>
    </row>
    <row r="95">
      <c r="B95" s="125" t="n">
        <v>36615</v>
      </c>
      <c r="C95" s="126" t="n">
        <v>0</v>
      </c>
      <c r="D95" s="126" t="n">
        <v>0.07291666666666667</v>
      </c>
      <c r="I95">
        <f>'Nach Mannschaften sortiert'!C95</f>
        <v/>
      </c>
      <c r="J95" s="87" t="inlineStr">
        <is>
          <t>inaktiv</t>
        </is>
      </c>
      <c r="K95" t="inlineStr">
        <is>
          <t>Liga</t>
        </is>
      </c>
      <c r="L95" t="inlineStr">
        <is>
          <t>Spiel</t>
        </is>
      </c>
    </row>
    <row r="96">
      <c r="B96" s="125" t="n">
        <v>36616</v>
      </c>
      <c r="C96" s="126" t="n">
        <v>0</v>
      </c>
      <c r="D96" s="126" t="n">
        <v>0.07291666666666667</v>
      </c>
      <c r="I96">
        <f>'Nach Mannschaften sortiert'!C96</f>
        <v/>
      </c>
      <c r="J96" s="87" t="inlineStr">
        <is>
          <t>inaktiv</t>
        </is>
      </c>
      <c r="K96" t="inlineStr">
        <is>
          <t>Liga</t>
        </is>
      </c>
      <c r="L96" t="inlineStr">
        <is>
          <t>Spiel</t>
        </is>
      </c>
    </row>
    <row r="97">
      <c r="B97" s="125" t="n">
        <v>36617</v>
      </c>
      <c r="C97" s="126" t="n">
        <v>0</v>
      </c>
      <c r="D97" s="126" t="n">
        <v>0.07291666666666667</v>
      </c>
      <c r="I97">
        <f>'Nach Mannschaften sortiert'!C97</f>
        <v/>
      </c>
      <c r="J97" s="87" t="inlineStr">
        <is>
          <t>inaktiv</t>
        </is>
      </c>
      <c r="K97" t="inlineStr">
        <is>
          <t>Liga</t>
        </is>
      </c>
      <c r="L97" t="inlineStr">
        <is>
          <t>Spiel</t>
        </is>
      </c>
    </row>
    <row r="98">
      <c r="B98" s="125" t="n">
        <v>36618</v>
      </c>
      <c r="C98" s="126" t="n">
        <v>0</v>
      </c>
      <c r="D98" s="126" t="n">
        <v>0.07291666666666667</v>
      </c>
      <c r="I98">
        <f>'Nach Mannschaften sortiert'!C98</f>
        <v/>
      </c>
      <c r="J98" s="87" t="inlineStr">
        <is>
          <t>inaktiv</t>
        </is>
      </c>
      <c r="K98" t="inlineStr">
        <is>
          <t>Liga</t>
        </is>
      </c>
      <c r="L98" t="inlineStr">
        <is>
          <t>Spiel</t>
        </is>
      </c>
    </row>
    <row r="99">
      <c r="B99" s="125" t="n">
        <v>36619</v>
      </c>
      <c r="C99" s="126" t="n">
        <v>0</v>
      </c>
      <c r="D99" s="126" t="n">
        <v>0.07291666666666667</v>
      </c>
      <c r="I99">
        <f>'Nach Mannschaften sortiert'!C99</f>
        <v/>
      </c>
      <c r="J99" s="87" t="inlineStr">
        <is>
          <t>inaktiv</t>
        </is>
      </c>
      <c r="K99" t="inlineStr">
        <is>
          <t>Liga</t>
        </is>
      </c>
      <c r="L99" t="inlineStr">
        <is>
          <t>Spiel</t>
        </is>
      </c>
    </row>
    <row r="100">
      <c r="B100" s="125" t="n">
        <v>36620</v>
      </c>
      <c r="C100" s="126" t="n">
        <v>0</v>
      </c>
      <c r="D100" s="126" t="n">
        <v>0.07291666666666667</v>
      </c>
      <c r="I100">
        <f>'Nach Mannschaften sortiert'!C100</f>
        <v/>
      </c>
      <c r="J100" s="87" t="inlineStr">
        <is>
          <t>inaktiv</t>
        </is>
      </c>
      <c r="K100" t="inlineStr">
        <is>
          <t>Liga</t>
        </is>
      </c>
      <c r="L100" t="inlineStr">
        <is>
          <t>Spiel</t>
        </is>
      </c>
    </row>
    <row r="101">
      <c r="B101" s="125" t="n">
        <v>36621</v>
      </c>
      <c r="C101" s="126" t="n">
        <v>0</v>
      </c>
      <c r="D101" s="126" t="n">
        <v>0.07291666666666667</v>
      </c>
      <c r="I101">
        <f>'Nach Mannschaften sortiert'!C101</f>
        <v/>
      </c>
      <c r="J101" s="87" t="inlineStr">
        <is>
          <t>inaktiv</t>
        </is>
      </c>
      <c r="K101" t="inlineStr">
        <is>
          <t>Liga</t>
        </is>
      </c>
      <c r="L101" t="inlineStr">
        <is>
          <t>Spiel</t>
        </is>
      </c>
    </row>
    <row r="102">
      <c r="B102" s="125" t="n">
        <v>36622</v>
      </c>
      <c r="C102" s="126" t="n">
        <v>0</v>
      </c>
      <c r="D102" s="126" t="n">
        <v>0.07291666666666667</v>
      </c>
      <c r="I102">
        <f>'Nach Mannschaften sortiert'!C102</f>
        <v/>
      </c>
      <c r="J102" s="87" t="inlineStr">
        <is>
          <t>inaktiv</t>
        </is>
      </c>
      <c r="K102" t="inlineStr">
        <is>
          <t>Liga</t>
        </is>
      </c>
      <c r="L102" t="inlineStr">
        <is>
          <t>Spiel</t>
        </is>
      </c>
    </row>
    <row r="103">
      <c r="B103" s="125" t="n">
        <v>36623</v>
      </c>
      <c r="C103" s="126" t="n">
        <v>0</v>
      </c>
      <c r="D103" s="126" t="n">
        <v>0.07291666666666667</v>
      </c>
      <c r="I103">
        <f>'Nach Mannschaften sortiert'!C103</f>
        <v/>
      </c>
      <c r="J103" s="87" t="inlineStr">
        <is>
          <t>inaktiv</t>
        </is>
      </c>
      <c r="K103" t="inlineStr">
        <is>
          <t>Liga</t>
        </is>
      </c>
      <c r="L103" t="inlineStr">
        <is>
          <t>Spiel</t>
        </is>
      </c>
    </row>
    <row r="104">
      <c r="B104" s="125" t="n">
        <v>36624</v>
      </c>
      <c r="C104" s="126" t="n">
        <v>0</v>
      </c>
      <c r="D104" s="126" t="n">
        <v>0.07291666666666667</v>
      </c>
      <c r="I104">
        <f>'Nach Mannschaften sortiert'!C104</f>
        <v/>
      </c>
      <c r="J104" s="87" t="inlineStr">
        <is>
          <t>inaktiv</t>
        </is>
      </c>
      <c r="K104" t="inlineStr">
        <is>
          <t>Liga</t>
        </is>
      </c>
      <c r="L104" t="inlineStr">
        <is>
          <t>Spiel</t>
        </is>
      </c>
    </row>
    <row r="105">
      <c r="B105" s="125" t="n">
        <v>36625</v>
      </c>
      <c r="C105" s="126" t="n">
        <v>0</v>
      </c>
      <c r="D105" s="126" t="n">
        <v>0.07291666666666667</v>
      </c>
      <c r="I105">
        <f>'Nach Mannschaften sortiert'!C105</f>
        <v/>
      </c>
      <c r="J105" s="87" t="inlineStr">
        <is>
          <t>inaktiv</t>
        </is>
      </c>
      <c r="K105" t="inlineStr">
        <is>
          <t>Liga</t>
        </is>
      </c>
      <c r="L105" t="inlineStr">
        <is>
          <t>Spiel</t>
        </is>
      </c>
    </row>
    <row r="106">
      <c r="B106" s="125" t="n">
        <v>36626</v>
      </c>
      <c r="C106" s="126" t="n">
        <v>0</v>
      </c>
      <c r="D106" s="126" t="n">
        <v>0.07291666666666667</v>
      </c>
      <c r="I106">
        <f>'Nach Mannschaften sortiert'!C106</f>
        <v/>
      </c>
      <c r="J106" s="87" t="inlineStr">
        <is>
          <t>inaktiv</t>
        </is>
      </c>
      <c r="K106" t="inlineStr">
        <is>
          <t>Liga</t>
        </is>
      </c>
      <c r="L106" t="inlineStr">
        <is>
          <t>Spiel</t>
        </is>
      </c>
    </row>
    <row r="107">
      <c r="B107" s="125" t="n">
        <v>36627</v>
      </c>
      <c r="C107" s="126" t="n">
        <v>0</v>
      </c>
      <c r="D107" s="126" t="n">
        <v>0.07291666666666667</v>
      </c>
      <c r="I107">
        <f>'Nach Mannschaften sortiert'!C107</f>
        <v/>
      </c>
      <c r="J107" s="87" t="inlineStr">
        <is>
          <t>inaktiv</t>
        </is>
      </c>
      <c r="K107" t="inlineStr">
        <is>
          <t>Liga</t>
        </is>
      </c>
      <c r="L107" t="inlineStr">
        <is>
          <t>Spiel</t>
        </is>
      </c>
    </row>
    <row r="108">
      <c r="B108" s="125" t="n">
        <v>36628</v>
      </c>
      <c r="C108" s="126" t="n">
        <v>0</v>
      </c>
      <c r="D108" s="126" t="n">
        <v>0.07291666666666667</v>
      </c>
      <c r="I108">
        <f>'Nach Mannschaften sortiert'!C108</f>
        <v/>
      </c>
      <c r="J108" s="87" t="inlineStr">
        <is>
          <t>inaktiv</t>
        </is>
      </c>
      <c r="K108" t="inlineStr">
        <is>
          <t>Liga</t>
        </is>
      </c>
      <c r="L108" t="inlineStr">
        <is>
          <t>Spiel</t>
        </is>
      </c>
    </row>
    <row r="109">
      <c r="B109" s="125" t="n">
        <v>36629</v>
      </c>
      <c r="C109" s="126" t="n">
        <v>0</v>
      </c>
      <c r="D109" s="126" t="n">
        <v>0.07291666666666667</v>
      </c>
      <c r="I109">
        <f>'Nach Mannschaften sortiert'!C109</f>
        <v/>
      </c>
      <c r="J109" s="87" t="inlineStr">
        <is>
          <t>inaktiv</t>
        </is>
      </c>
      <c r="K109" t="inlineStr">
        <is>
          <t>Liga</t>
        </is>
      </c>
      <c r="L109" t="inlineStr">
        <is>
          <t>Spiel</t>
        </is>
      </c>
    </row>
    <row r="110">
      <c r="B110" s="125" t="n">
        <v>36630</v>
      </c>
      <c r="C110" s="126" t="n">
        <v>0</v>
      </c>
      <c r="D110" s="126" t="n">
        <v>0.07291666666666667</v>
      </c>
      <c r="I110">
        <f>'Nach Mannschaften sortiert'!C110</f>
        <v/>
      </c>
      <c r="J110" s="87" t="inlineStr">
        <is>
          <t>inaktiv</t>
        </is>
      </c>
      <c r="K110" t="inlineStr">
        <is>
          <t>Liga</t>
        </is>
      </c>
      <c r="L110" t="inlineStr">
        <is>
          <t>Spiel</t>
        </is>
      </c>
    </row>
    <row r="111">
      <c r="B111" s="125" t="n">
        <v>36631</v>
      </c>
      <c r="C111" s="126" t="n">
        <v>0</v>
      </c>
      <c r="D111" s="126" t="n">
        <v>0.07291666666666667</v>
      </c>
      <c r="I111">
        <f>'Nach Mannschaften sortiert'!C111</f>
        <v/>
      </c>
      <c r="J111" s="87" t="inlineStr">
        <is>
          <t>inaktiv</t>
        </is>
      </c>
      <c r="K111" t="inlineStr">
        <is>
          <t>Liga</t>
        </is>
      </c>
      <c r="L111" t="inlineStr">
        <is>
          <t>Spiel</t>
        </is>
      </c>
    </row>
    <row r="112">
      <c r="B112" s="125" t="n">
        <v>36632</v>
      </c>
      <c r="C112" s="126" t="n">
        <v>0</v>
      </c>
      <c r="D112" s="126" t="n">
        <v>0.07291666666666667</v>
      </c>
      <c r="I112">
        <f>'Nach Mannschaften sortiert'!C112</f>
        <v/>
      </c>
      <c r="J112" s="87" t="inlineStr">
        <is>
          <t>inaktiv</t>
        </is>
      </c>
      <c r="K112" t="inlineStr">
        <is>
          <t>Liga</t>
        </is>
      </c>
      <c r="L112" t="inlineStr">
        <is>
          <t>Spiel</t>
        </is>
      </c>
    </row>
    <row r="113">
      <c r="B113" s="125" t="n">
        <v>36633</v>
      </c>
      <c r="C113" s="126" t="n">
        <v>0</v>
      </c>
      <c r="D113" s="126" t="n">
        <v>0.07291666666666667</v>
      </c>
      <c r="I113">
        <f>'Nach Mannschaften sortiert'!C113</f>
        <v/>
      </c>
      <c r="J113" s="87" t="inlineStr">
        <is>
          <t>inaktiv</t>
        </is>
      </c>
      <c r="K113" t="inlineStr">
        <is>
          <t>Liga</t>
        </is>
      </c>
      <c r="L113" t="inlineStr">
        <is>
          <t>Spiel</t>
        </is>
      </c>
    </row>
    <row r="114">
      <c r="B114" s="125">
        <f>'Nach Mannschaften sortiert'!D114</f>
        <v/>
      </c>
      <c r="C114" s="126" t="n">
        <v>0.375</v>
      </c>
      <c r="D114" s="126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E114" s="126" t="inlineStr">
        <is>
          <t>Neufeld</t>
        </is>
      </c>
      <c r="G114" t="inlineStr">
        <is>
          <t>Heim</t>
        </is>
      </c>
      <c r="H114" t="inlineStr">
        <is>
          <t>CAMP</t>
        </is>
      </c>
      <c r="I114" t="inlineStr">
        <is>
          <t>TECO 7 CAMP</t>
        </is>
      </c>
      <c r="J114" s="87" t="inlineStr">
        <is>
          <t>aktiv</t>
        </is>
      </c>
      <c r="K114" t="inlineStr">
        <is>
          <t>Camp</t>
        </is>
      </c>
      <c r="L114" t="inlineStr">
        <is>
          <t>Camp</t>
        </is>
      </c>
    </row>
    <row r="115">
      <c r="B115" s="125">
        <f>'Nach Mannschaften sortiert'!D115</f>
        <v/>
      </c>
      <c r="C115" s="126" t="n">
        <v>0.375</v>
      </c>
      <c r="D115" s="126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E115" s="126" t="inlineStr">
        <is>
          <t>Neufeld</t>
        </is>
      </c>
      <c r="G115" t="inlineStr">
        <is>
          <t>Heim</t>
        </is>
      </c>
      <c r="H115" t="inlineStr">
        <is>
          <t>CAMP</t>
        </is>
      </c>
      <c r="I115" t="inlineStr">
        <is>
          <t>TECO 7 CAMP</t>
        </is>
      </c>
      <c r="J115" s="87" t="inlineStr">
        <is>
          <t>aktiv</t>
        </is>
      </c>
      <c r="K115" t="inlineStr">
        <is>
          <t>Camp</t>
        </is>
      </c>
      <c r="L115" t="inlineStr">
        <is>
          <t>Camp</t>
        </is>
      </c>
    </row>
    <row r="116">
      <c r="B116" s="125">
        <f>'Nach Mannschaften sortiert'!D116</f>
        <v/>
      </c>
      <c r="C116" s="126" t="n">
        <v>0.375</v>
      </c>
      <c r="D116" s="126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E116" s="126" t="inlineStr">
        <is>
          <t>Neufeld</t>
        </is>
      </c>
      <c r="G116" t="inlineStr">
        <is>
          <t>Heim</t>
        </is>
      </c>
      <c r="H116" t="inlineStr">
        <is>
          <t>CAMP</t>
        </is>
      </c>
      <c r="I116" t="inlineStr">
        <is>
          <t>TECO 7 CAMP</t>
        </is>
      </c>
      <c r="J116" s="87" t="inlineStr">
        <is>
          <t>aktiv</t>
        </is>
      </c>
      <c r="K116" t="inlineStr">
        <is>
          <t>Camp</t>
        </is>
      </c>
      <c r="L116" t="inlineStr">
        <is>
          <t>Camp</t>
        </is>
      </c>
    </row>
    <row r="117">
      <c r="B117" s="125">
        <f>'Nach Mannschaften sortiert'!D117</f>
        <v/>
      </c>
      <c r="C117" s="126" t="n">
        <v>0.375</v>
      </c>
      <c r="D117" s="126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E117" s="126" t="inlineStr">
        <is>
          <t>Neufeld</t>
        </is>
      </c>
      <c r="G117" t="inlineStr">
        <is>
          <t>Heim</t>
        </is>
      </c>
      <c r="H117" t="inlineStr">
        <is>
          <t>CAMP</t>
        </is>
      </c>
      <c r="I117" t="inlineStr">
        <is>
          <t>REAL MADRID CAMP</t>
        </is>
      </c>
      <c r="J117" s="87" t="inlineStr">
        <is>
          <t>aktiv</t>
        </is>
      </c>
      <c r="K117" t="inlineStr">
        <is>
          <t>Camp</t>
        </is>
      </c>
      <c r="L117" t="inlineStr">
        <is>
          <t>Camp</t>
        </is>
      </c>
    </row>
    <row r="118">
      <c r="B118" s="125">
        <f>'Nach Mannschaften sortiert'!D118</f>
        <v/>
      </c>
      <c r="C118" s="126" t="n">
        <v>0.375</v>
      </c>
      <c r="D118" s="126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E118" s="126" t="inlineStr">
        <is>
          <t>Neufeld</t>
        </is>
      </c>
      <c r="G118" t="inlineStr">
        <is>
          <t>Heim</t>
        </is>
      </c>
      <c r="H118" t="inlineStr">
        <is>
          <t>CAMP</t>
        </is>
      </c>
      <c r="I118" t="inlineStr">
        <is>
          <t>REAL MADRID CAMP</t>
        </is>
      </c>
      <c r="J118" s="87" t="inlineStr">
        <is>
          <t>aktiv</t>
        </is>
      </c>
      <c r="K118" t="inlineStr">
        <is>
          <t>Camp</t>
        </is>
      </c>
      <c r="L118" t="inlineStr">
        <is>
          <t>Camp</t>
        </is>
      </c>
    </row>
    <row r="119">
      <c r="B119" s="125">
        <f>'Nach Mannschaften sortiert'!D119</f>
        <v/>
      </c>
      <c r="C119" s="126" t="n">
        <v>0.375</v>
      </c>
      <c r="D119" s="126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E119" s="126" t="inlineStr">
        <is>
          <t>Neufeld</t>
        </is>
      </c>
      <c r="G119" t="inlineStr">
        <is>
          <t>Heim</t>
        </is>
      </c>
      <c r="H119" t="inlineStr">
        <is>
          <t>CAMP</t>
        </is>
      </c>
      <c r="I119" t="inlineStr">
        <is>
          <t>REAL MADRID CAMP</t>
        </is>
      </c>
      <c r="J119" s="87" t="inlineStr">
        <is>
          <t>aktiv</t>
        </is>
      </c>
      <c r="K119" t="inlineStr">
        <is>
          <t>Camp</t>
        </is>
      </c>
      <c r="L119" t="inlineStr">
        <is>
          <t>Camp</t>
        </is>
      </c>
    </row>
    <row r="120">
      <c r="B120" s="125">
        <f>'Nach Mannschaften sortiert'!D120</f>
        <v/>
      </c>
      <c r="C120" s="126" t="n">
        <v>0.375</v>
      </c>
      <c r="D120" s="126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E120" s="126" t="inlineStr">
        <is>
          <t>Neufeld</t>
        </is>
      </c>
      <c r="G120" t="inlineStr">
        <is>
          <t>Heim</t>
        </is>
      </c>
      <c r="H120" t="inlineStr">
        <is>
          <t>CAMP</t>
        </is>
      </c>
      <c r="I120" t="inlineStr">
        <is>
          <t>REAL MADRID CAMP</t>
        </is>
      </c>
      <c r="J120" s="87" t="inlineStr">
        <is>
          <t>aktiv</t>
        </is>
      </c>
      <c r="K120" t="inlineStr">
        <is>
          <t>Camp</t>
        </is>
      </c>
      <c r="L120" t="inlineStr">
        <is>
          <t>Camp</t>
        </is>
      </c>
    </row>
    <row r="121">
      <c r="B121" s="125">
        <f>'Nach Mannschaften sortiert'!D121</f>
        <v/>
      </c>
      <c r="C121" s="126" t="n">
        <v>0.375</v>
      </c>
      <c r="D121" s="126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E121" s="126" t="inlineStr">
        <is>
          <t>Neufeld</t>
        </is>
      </c>
      <c r="G121" t="inlineStr">
        <is>
          <t>Heim</t>
        </is>
      </c>
      <c r="H121" t="inlineStr">
        <is>
          <t>CAMP</t>
        </is>
      </c>
      <c r="I121" t="inlineStr">
        <is>
          <t>REAL MADRID CAMP</t>
        </is>
      </c>
      <c r="J121" s="87" t="inlineStr">
        <is>
          <t>aktiv</t>
        </is>
      </c>
      <c r="K121" t="inlineStr">
        <is>
          <t>Camp</t>
        </is>
      </c>
      <c r="L121" t="inlineStr">
        <is>
          <t>Camp</t>
        </is>
      </c>
    </row>
    <row r="122" s="123">
      <c r="A122" s="87" t="n"/>
      <c r="B122" s="125" t="n">
        <v>46237</v>
      </c>
      <c r="C122" s="126" t="n">
        <v>0.375</v>
      </c>
      <c r="D122" s="126" t="n">
        <v>0.625</v>
      </c>
      <c r="E122" s="126" t="inlineStr">
        <is>
          <t>Neufeld</t>
        </is>
      </c>
      <c r="F122" s="87" t="n"/>
      <c r="G122" t="inlineStr">
        <is>
          <t>Heim</t>
        </is>
      </c>
      <c r="H122" t="inlineStr">
        <is>
          <t>CAMP</t>
        </is>
      </c>
      <c r="I122" t="inlineStr">
        <is>
          <t>MÄDCHEN CAMP</t>
        </is>
      </c>
      <c r="J122" s="87" t="inlineStr">
        <is>
          <t>aktiv</t>
        </is>
      </c>
      <c r="K122" t="inlineStr">
        <is>
          <t>Camp</t>
        </is>
      </c>
      <c r="L122" t="inlineStr">
        <is>
          <t>Camp</t>
        </is>
      </c>
    </row>
    <row r="123" s="123">
      <c r="A123" s="87" t="n"/>
      <c r="B123" s="125" t="n">
        <v>46238</v>
      </c>
      <c r="C123" s="126" t="n">
        <v>0.375</v>
      </c>
      <c r="D123" s="126" t="n">
        <v>0.625</v>
      </c>
      <c r="E123" s="126" t="inlineStr">
        <is>
          <t>Neufeld</t>
        </is>
      </c>
      <c r="F123" s="87" t="n"/>
      <c r="G123" t="inlineStr">
        <is>
          <t>Heim</t>
        </is>
      </c>
      <c r="H123" t="inlineStr">
        <is>
          <t>CAMP</t>
        </is>
      </c>
      <c r="I123" t="inlineStr">
        <is>
          <t>MÄDCHEN CAMP</t>
        </is>
      </c>
      <c r="J123" s="87" t="inlineStr">
        <is>
          <t>aktiv</t>
        </is>
      </c>
      <c r="K123" t="inlineStr">
        <is>
          <t>Camp</t>
        </is>
      </c>
      <c r="L123" t="inlineStr">
        <is>
          <t>Camp</t>
        </is>
      </c>
    </row>
    <row r="124" s="123">
      <c r="A124" s="87" t="n"/>
      <c r="B124" s="125" t="n">
        <v>46239</v>
      </c>
      <c r="C124" s="126" t="n">
        <v>0.375</v>
      </c>
      <c r="D124" s="126" t="n">
        <v>0.625</v>
      </c>
      <c r="E124" s="126" t="inlineStr">
        <is>
          <t>Neufeld</t>
        </is>
      </c>
      <c r="F124" s="87" t="n"/>
      <c r="G124" t="inlineStr">
        <is>
          <t>Heim</t>
        </is>
      </c>
      <c r="H124" t="inlineStr">
        <is>
          <t>CAMP</t>
        </is>
      </c>
      <c r="I124" t="inlineStr">
        <is>
          <t>MÄDCHEN CAMP</t>
        </is>
      </c>
      <c r="J124" s="87" t="inlineStr">
        <is>
          <t>aktiv</t>
        </is>
      </c>
      <c r="K124" t="inlineStr">
        <is>
          <t>Camp</t>
        </is>
      </c>
      <c r="L124" t="inlineStr">
        <is>
          <t>Camp</t>
        </is>
      </c>
    </row>
    <row r="125">
      <c r="B125" s="125">
        <f>'Nach Mannschaften sortiert'!D122</f>
        <v/>
      </c>
      <c r="C125" s="126">
        <f>'Nach Mannschaften sortiert'!E122</f>
        <v/>
      </c>
      <c r="D125" s="126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E125" s="126" t="inlineStr">
        <is>
          <t>Neufeld</t>
        </is>
      </c>
      <c r="G125" t="inlineStr">
        <is>
          <t>Heim</t>
        </is>
      </c>
      <c r="H125">
        <f>'Nach Mannschaften sortiert'!G122</f>
        <v/>
      </c>
      <c r="I125">
        <f>'Nach Mannschaften sortiert'!C122</f>
        <v/>
      </c>
      <c r="J125" s="87" t="inlineStr">
        <is>
          <t>aktiv</t>
        </is>
      </c>
      <c r="K125" t="inlineStr">
        <is>
          <t>Turnier</t>
        </is>
      </c>
      <c r="L125" t="inlineStr">
        <is>
          <t>Turnier</t>
        </is>
      </c>
    </row>
    <row r="126">
      <c r="B126" t="inlineStr">
        <is>
          <t>26.06.2026</t>
        </is>
      </c>
      <c r="C126" t="inlineStr">
        <is>
          <t>10:00</t>
        </is>
      </c>
      <c r="D126" t="inlineStr">
        <is>
          <t>11:30</t>
        </is>
      </c>
      <c r="E126" s="126" t="inlineStr">
        <is>
          <t>Neufeld</t>
        </is>
      </c>
      <c r="G126" t="inlineStr">
        <is>
          <t>Heim</t>
        </is>
      </c>
      <c r="H126" t="inlineStr">
        <is>
          <t>FC Arsenal</t>
        </is>
      </c>
      <c r="I126" t="inlineStr">
        <is>
          <t>U14</t>
        </is>
      </c>
      <c r="J126" t="inlineStr">
        <is>
          <t>Aktiv</t>
        </is>
      </c>
      <c r="L126" t="inlineStr">
        <is>
          <t>Spiel</t>
        </is>
      </c>
    </row>
    <row r="127">
      <c r="B127" t="inlineStr">
        <is>
          <t>28.06.2026</t>
        </is>
      </c>
      <c r="C127" t="inlineStr">
        <is>
          <t>10:00</t>
        </is>
      </c>
      <c r="D127" t="inlineStr">
        <is>
          <t>12:00</t>
        </is>
      </c>
      <c r="E127" t="inlineStr">
        <is>
          <t>Neufeld</t>
        </is>
      </c>
      <c r="F127" t="inlineStr">
        <is>
          <t>Testspiel</t>
        </is>
      </c>
      <c r="G127" t="inlineStr">
        <is>
          <t>Heim</t>
        </is>
      </c>
      <c r="H127" t="inlineStr">
        <is>
          <t>Real Madrid</t>
        </is>
      </c>
      <c r="I127" t="inlineStr">
        <is>
          <t>U9</t>
        </is>
      </c>
      <c r="J127" t="inlineStr">
        <is>
          <t>Aktiv</t>
        </is>
      </c>
      <c r="L127" t="inlineStr">
        <is>
          <t>Spiel</t>
        </is>
      </c>
    </row>
  </sheetData>
  <pageMargins left="0.7" right="0.7" top="0.787401575" bottom="0.7874015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:C16"/>
    </sheetView>
  </sheetViews>
  <sheetFormatPr baseColWidth="10" defaultRowHeight="14.4"/>
  <cols>
    <col width="28.109375" bestFit="1" customWidth="1" style="123" min="1" max="1"/>
    <col hidden="1" width="16.77734375" customWidth="1" style="123" min="2" max="2"/>
    <col width="48.33203125" bestFit="1" customWidth="1" style="123" min="3" max="3"/>
  </cols>
  <sheetData>
    <row r="1" ht="19.95" customHeight="1" s="123">
      <c r="A1" s="89" t="inlineStr">
        <is>
          <t>Kategorie</t>
        </is>
      </c>
      <c r="B1" s="89" t="n"/>
      <c r="C1" s="89" t="inlineStr">
        <is>
          <t>ABOLINK</t>
        </is>
      </c>
    </row>
    <row r="2" ht="19.95" customHeight="1" s="123">
      <c r="A2" s="89" t="inlineStr">
        <is>
          <t>Alle Spiele des ASV Neufeld</t>
        </is>
      </c>
      <c r="B2" s="89" t="inlineStr">
        <is>
          <t>alle_spiele.ics</t>
        </is>
      </c>
      <c r="C2" s="89">
        <f>"https://dtb-asv.github.io/asv-neufeld/"&amp;B2</f>
        <v/>
      </c>
    </row>
    <row r="3" ht="19.95" customHeight="1" s="123">
      <c r="A3" s="89" t="inlineStr">
        <is>
          <t>Alle Heimspiele des ASV Neufelds</t>
        </is>
      </c>
      <c r="B3" s="89" t="inlineStr">
        <is>
          <t>heimspiele.ics</t>
        </is>
      </c>
      <c r="C3" s="89">
        <f>"https://dtb-asv.github.io/asv-neufeld/"&amp;B3</f>
        <v/>
      </c>
    </row>
    <row r="4" ht="19.95" customHeight="1" s="123">
      <c r="A4" s="89" t="inlineStr">
        <is>
          <t>Alle Auswärtsspiele des ASV Neufelds</t>
        </is>
      </c>
      <c r="B4" s="89" t="inlineStr">
        <is>
          <t>auswaertsspiele.ics</t>
        </is>
      </c>
      <c r="C4" s="89">
        <f>"https://dtb-asv.github.io/asv-neufeld/"&amp;B4</f>
        <v/>
      </c>
    </row>
    <row r="5" ht="19.95" customHeight="1" s="123">
      <c r="A5" s="89" t="inlineStr">
        <is>
          <t>Alle Spiele der Kampfmannschaft</t>
        </is>
      </c>
      <c r="B5" s="89" t="inlineStr">
        <is>
          <t>KM.ics</t>
        </is>
      </c>
      <c r="C5" s="89">
        <f>"https://dtb-asv.github.io/asv-neufeld/"&amp;B5</f>
        <v/>
      </c>
    </row>
    <row r="6" ht="19.95" customHeight="1" s="123">
      <c r="A6" s="89" t="inlineStr">
        <is>
          <t xml:space="preserve">Alle Spiele der U23 </t>
        </is>
      </c>
      <c r="B6" s="89" t="inlineStr">
        <is>
          <t>U23.ics</t>
        </is>
      </c>
      <c r="C6" s="89">
        <f>"https://dtb-asv.github.io/asv-neufeld/"&amp;B6</f>
        <v/>
      </c>
    </row>
    <row r="7" ht="19.95" customHeight="1" s="123">
      <c r="A7" s="89" t="inlineStr">
        <is>
          <t>Alle Spiele der U16</t>
        </is>
      </c>
      <c r="B7" s="89" t="inlineStr">
        <is>
          <t>U16.ics</t>
        </is>
      </c>
      <c r="C7" s="89">
        <f>"https://dtb-asv.github.io/asv-neufeld/"&amp;B7</f>
        <v/>
      </c>
    </row>
    <row r="8" ht="19.95" customHeight="1" s="123">
      <c r="A8" s="89" t="inlineStr">
        <is>
          <t>Alle Spiele der U15</t>
        </is>
      </c>
      <c r="B8" s="89" t="inlineStr">
        <is>
          <t>U15.ics</t>
        </is>
      </c>
      <c r="C8" s="89">
        <f>"https://dtb-asv.github.io/asv-neufeld/"&amp;B8</f>
        <v/>
      </c>
    </row>
    <row r="9" ht="19.95" customHeight="1" s="123">
      <c r="A9" s="89" t="inlineStr">
        <is>
          <t>Alle Spiele der U14</t>
        </is>
      </c>
      <c r="B9" s="89" t="inlineStr">
        <is>
          <t>U14.ics</t>
        </is>
      </c>
      <c r="C9" s="89">
        <f>"https://dtb-asv.github.io/asv-neufeld/"&amp;B9</f>
        <v/>
      </c>
    </row>
    <row r="10" ht="19.95" customHeight="1" s="123">
      <c r="A10" s="89" t="inlineStr">
        <is>
          <t>Alle Spiele der U13</t>
        </is>
      </c>
      <c r="B10" s="89" t="inlineStr">
        <is>
          <t>U13.ics</t>
        </is>
      </c>
      <c r="C10" s="89">
        <f>"https://dtb-asv.github.io/asv-neufeld/"&amp;B10</f>
        <v/>
      </c>
    </row>
    <row r="11" ht="19.95" customHeight="1" s="123">
      <c r="A11" s="89" t="inlineStr">
        <is>
          <t>Alle Spiele der U12</t>
        </is>
      </c>
      <c r="B11" s="89" t="inlineStr">
        <is>
          <t>U12.ics</t>
        </is>
      </c>
      <c r="C11" s="89">
        <f>"https://dtb-asv.github.io/asv-neufeld/"&amp;B11</f>
        <v/>
      </c>
    </row>
    <row r="12" ht="19.95" customHeight="1" s="123">
      <c r="A12" s="89" t="inlineStr">
        <is>
          <t>Alle Spiele der U11</t>
        </is>
      </c>
      <c r="B12" s="89" t="inlineStr">
        <is>
          <t>U11.ics</t>
        </is>
      </c>
      <c r="C12" s="89">
        <f>"https://dtb-asv.github.io/asv-neufeld/"&amp;B12</f>
        <v/>
      </c>
    </row>
    <row r="13" ht="19.95" customHeight="1" s="123">
      <c r="A13" s="89" t="inlineStr">
        <is>
          <t>Alle Spiele der U10</t>
        </is>
      </c>
      <c r="B13" s="89" t="inlineStr">
        <is>
          <t>U10.ics</t>
        </is>
      </c>
      <c r="C13" s="89">
        <f>"https://dtb-asv.github.io/asv-neufeld/"&amp;B13</f>
        <v/>
      </c>
    </row>
    <row r="14" ht="19.95" customHeight="1" s="123">
      <c r="A14" s="89" t="inlineStr">
        <is>
          <t>Alle Spiele der U9</t>
        </is>
      </c>
      <c r="B14" s="89" t="inlineStr">
        <is>
          <t>U9.ics</t>
        </is>
      </c>
      <c r="C14" s="89">
        <f>"https://dtb-asv.github.io/asv-neufeld/"&amp;B14</f>
        <v/>
      </c>
    </row>
    <row r="15" ht="19.95" customHeight="1" s="123">
      <c r="A15" s="89" t="inlineStr">
        <is>
          <t>Alle Spiele der U8</t>
        </is>
      </c>
      <c r="B15" s="89" t="inlineStr">
        <is>
          <t xml:space="preserve"> U8.ics</t>
        </is>
      </c>
      <c r="C15" s="89">
        <f>"https://dtb-asv.github.io/asv-neufeld/"&amp;B15</f>
        <v/>
      </c>
    </row>
    <row r="16" ht="19.95" customHeight="1" s="123">
      <c r="A16" s="89" t="inlineStr">
        <is>
          <t>Alle Spiele der U7</t>
        </is>
      </c>
      <c r="B16" s="89" t="inlineStr">
        <is>
          <t xml:space="preserve"> U7.ics</t>
        </is>
      </c>
      <c r="C16" s="89">
        <f>"https://dtb-asv.github.io/asv-neufeld/"&amp;B16</f>
        <v/>
      </c>
    </row>
    <row r="17">
      <c r="B17" t="inlineStr">
        <is>
          <t xml:space="preserve"> Camp.ics</t>
        </is>
      </c>
      <c r="C17">
        <f>"https://dtb-asv.github.io/asv-neufeld/"&amp;B17</f>
        <v/>
      </c>
    </row>
    <row r="18">
      <c r="B18" t="inlineStr">
        <is>
          <t xml:space="preserve"> GGG.ics</t>
        </is>
      </c>
      <c r="C18">
        <f>"https://dtb-asv.github.io/asv-neufeld/"&amp;B18</f>
        <v/>
      </c>
    </row>
    <row r="21">
      <c r="B21" s="88" t="n"/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G21" sqref="G21"/>
    </sheetView>
  </sheetViews>
  <sheetFormatPr baseColWidth="10" defaultRowHeight="14.4"/>
  <cols>
    <col width="21.109375" customWidth="1" style="123" min="1" max="1"/>
    <col width="20.88671875" customWidth="1" style="123" min="2" max="2"/>
    <col width="13" bestFit="1" customWidth="1" style="123" min="3" max="4"/>
    <col width="13.44140625" bestFit="1" customWidth="1" style="123" min="5" max="5"/>
    <col width="14.109375" bestFit="1" customWidth="1" style="123" min="6" max="6"/>
    <col width="14.33203125" bestFit="1" customWidth="1" style="123" min="7" max="7"/>
    <col width="13" bestFit="1" customWidth="1" style="123" min="8" max="8"/>
    <col width="19.5546875" customWidth="1" style="123" min="9" max="9"/>
  </cols>
  <sheetData>
    <row r="1" ht="18.6" customHeight="1" s="123" thickBot="1">
      <c r="A1" s="122" t="inlineStr">
        <is>
          <t>TRAININGSORTE/TAGE</t>
        </is>
      </c>
    </row>
    <row r="2" ht="31.8" customHeight="1" s="123" thickTop="1">
      <c r="A2" s="35" t="inlineStr">
        <is>
          <t>MANNSCHAFT</t>
        </is>
      </c>
      <c r="B2" s="35" t="inlineStr">
        <is>
          <t>TRAINER</t>
        </is>
      </c>
      <c r="C2" s="35" t="inlineStr">
        <is>
          <t>MONTAG</t>
        </is>
      </c>
      <c r="D2" s="35" t="inlineStr">
        <is>
          <t>DIENSTAG</t>
        </is>
      </c>
      <c r="E2" s="35" t="inlineStr">
        <is>
          <t>MITTWOCH</t>
        </is>
      </c>
      <c r="F2" s="35" t="inlineStr">
        <is>
          <t>DONNERSTAG</t>
        </is>
      </c>
      <c r="G2" s="35" t="inlineStr">
        <is>
          <t>FREITAG</t>
        </is>
      </c>
      <c r="H2" s="35" t="inlineStr">
        <is>
          <t>SAMSTAG</t>
        </is>
      </c>
      <c r="I2" s="117" t="inlineStr">
        <is>
          <t>WENN KM-TRAINING MUSS DAS HAUPTFELD AB 18:45 FREI SEIN</t>
        </is>
      </c>
      <c r="J2" s="42" t="n"/>
    </row>
    <row r="3" ht="31.2" customHeight="1" s="123">
      <c r="A3" s="38" t="inlineStr">
        <is>
          <t>FKG</t>
        </is>
      </c>
      <c r="B3" s="39" t="inlineStr">
        <is>
          <t>RONNIE ARCHAM</t>
        </is>
      </c>
      <c r="C3" s="64" t="n"/>
      <c r="D3" s="64" t="n"/>
      <c r="E3" s="65" t="inlineStr">
        <is>
          <t>16:00 - 16:45</t>
        </is>
      </c>
      <c r="F3" s="64" t="n"/>
      <c r="G3" s="64" t="n"/>
      <c r="H3" s="66" t="n"/>
      <c r="I3" s="118" t="n"/>
      <c r="J3" s="42" t="n"/>
    </row>
    <row r="4" ht="31.2" customHeight="1" s="123">
      <c r="A4" s="38" t="inlineStr">
        <is>
          <t>U7</t>
        </is>
      </c>
      <c r="B4" s="39" t="inlineStr">
        <is>
          <t>ÖMER TÜRKES TAHA MAHSUMI</t>
        </is>
      </c>
      <c r="C4" s="64" t="n"/>
      <c r="D4" s="67" t="inlineStr">
        <is>
          <t>17:30 - 18:30</t>
        </is>
      </c>
      <c r="E4" s="64" t="n"/>
      <c r="F4" s="67" t="inlineStr">
        <is>
          <t>17:30 - 18:30</t>
        </is>
      </c>
      <c r="G4" s="64" t="n"/>
      <c r="H4" s="66" t="n"/>
      <c r="I4" s="118" t="n"/>
      <c r="J4" s="42" t="n"/>
    </row>
    <row r="5" ht="31.2" customHeight="1" s="123">
      <c r="A5" s="38" t="inlineStr">
        <is>
          <t>U8</t>
        </is>
      </c>
      <c r="B5" s="39" t="inlineStr">
        <is>
          <t>TOBIAS BERGER SEBASTIAN PUTRIC</t>
        </is>
      </c>
      <c r="C5" s="65" t="inlineStr">
        <is>
          <t>16:30 - 18:00</t>
        </is>
      </c>
      <c r="D5" s="64" t="n"/>
      <c r="E5" s="64" t="n"/>
      <c r="F5" s="65" t="inlineStr">
        <is>
          <t>17: 00 - 18:30</t>
        </is>
      </c>
      <c r="G5" s="64" t="n"/>
      <c r="H5" s="66" t="n"/>
      <c r="I5" s="118" t="n"/>
      <c r="J5" s="42" t="n"/>
    </row>
    <row r="6" ht="31.2" customHeight="1" s="123">
      <c r="A6" s="38" t="inlineStr">
        <is>
          <t>U9</t>
        </is>
      </c>
      <c r="B6" s="39" t="inlineStr">
        <is>
          <t>THOMAS BRANDL DANIEL HOFBAUER</t>
        </is>
      </c>
      <c r="C6" s="68" t="n"/>
      <c r="D6" s="69" t="inlineStr">
        <is>
          <t>17:00 - 18:30</t>
        </is>
      </c>
      <c r="E6" s="68" t="n"/>
      <c r="F6" s="69" t="inlineStr">
        <is>
          <t>17:00 - 18:30</t>
        </is>
      </c>
      <c r="G6" s="68" t="n"/>
      <c r="H6" s="66" t="n"/>
      <c r="I6" s="118" t="n"/>
      <c r="J6" s="42" t="n"/>
    </row>
    <row r="7" ht="31.2" customHeight="1" s="123">
      <c r="A7" s="38" t="inlineStr">
        <is>
          <t>U11</t>
        </is>
      </c>
      <c r="B7" s="39" t="inlineStr">
        <is>
          <t>MARIO MAGLER RONNIE ARCHAM</t>
        </is>
      </c>
      <c r="C7" s="69" t="inlineStr">
        <is>
          <t>17:00 - 18:30</t>
        </is>
      </c>
      <c r="D7" s="64" t="n"/>
      <c r="E7" s="69" t="inlineStr">
        <is>
          <t>17:00 - 18:30</t>
        </is>
      </c>
      <c r="F7" s="64" t="n"/>
      <c r="G7" s="69" t="inlineStr">
        <is>
          <t>17:00 - 18:30</t>
        </is>
      </c>
      <c r="H7" s="66" t="n"/>
      <c r="I7" s="118" t="n"/>
      <c r="J7" s="42" t="n"/>
    </row>
    <row r="8" ht="31.2" customHeight="1" s="123">
      <c r="A8" s="38" t="inlineStr">
        <is>
          <t>U13</t>
        </is>
      </c>
      <c r="B8" s="39" t="inlineStr">
        <is>
          <t>THOMAS PÖSCHL LENZ HONC</t>
        </is>
      </c>
      <c r="C8" s="70" t="inlineStr">
        <is>
          <t>17:00 - 18:30</t>
        </is>
      </c>
      <c r="D8" s="64" t="n"/>
      <c r="E8" s="69" t="inlineStr">
        <is>
          <t>17:00 - 18:30</t>
        </is>
      </c>
      <c r="F8" s="68" t="n"/>
      <c r="G8" s="65" t="inlineStr">
        <is>
          <t>17:00 - 18:30</t>
        </is>
      </c>
      <c r="H8" s="66" t="n"/>
      <c r="I8" s="118" t="n"/>
      <c r="J8" s="42" t="n"/>
    </row>
    <row r="9" ht="31.5" customHeight="1" s="123">
      <c r="A9" s="38" t="inlineStr">
        <is>
          <t>U14</t>
        </is>
      </c>
      <c r="B9" s="39" t="inlineStr">
        <is>
          <t>GERNOT SEVELDA MARKUS DORINGER</t>
        </is>
      </c>
      <c r="C9" s="69" t="inlineStr">
        <is>
          <t>17:00 - 18:30</t>
        </is>
      </c>
      <c r="D9" s="64" t="n"/>
      <c r="E9" s="64" t="n"/>
      <c r="F9" s="70" t="inlineStr">
        <is>
          <t>17:00 - 18:30</t>
        </is>
      </c>
      <c r="G9" s="69" t="inlineStr">
        <is>
          <t>17:00 - 18:30</t>
        </is>
      </c>
      <c r="H9" s="71" t="inlineStr">
        <is>
          <t>10:00 - 11:00</t>
        </is>
      </c>
      <c r="I9" s="118" t="n"/>
      <c r="J9" s="42" t="n"/>
    </row>
    <row r="10" ht="31.2" customHeight="1" s="123">
      <c r="A10" s="36" t="inlineStr">
        <is>
          <t>U15</t>
        </is>
      </c>
      <c r="B10" s="39" t="inlineStr">
        <is>
          <t>SERDAR EKINCI HUBERT OBERHOFER</t>
        </is>
      </c>
      <c r="C10" s="64" t="n"/>
      <c r="D10" s="70" t="inlineStr">
        <is>
          <t>18:30 - 20:15</t>
        </is>
      </c>
      <c r="E10" s="64" t="n"/>
      <c r="F10" s="69" t="inlineStr">
        <is>
          <t>18:00 - 19:30</t>
        </is>
      </c>
      <c r="G10" s="69" t="inlineStr">
        <is>
          <t>18:30 - 20:15</t>
        </is>
      </c>
      <c r="H10" s="66" t="n"/>
      <c r="I10" s="118" t="n"/>
      <c r="J10" s="42" t="n"/>
    </row>
    <row r="11" ht="31.8" customHeight="1" s="123" thickBot="1">
      <c r="A11" s="37" t="inlineStr">
        <is>
          <t>U16</t>
        </is>
      </c>
      <c r="B11" s="41" t="inlineStr">
        <is>
          <t>JOSCH KÖGL</t>
        </is>
      </c>
      <c r="C11" s="64" t="n"/>
      <c r="D11" s="72" t="n"/>
      <c r="E11" s="73" t="inlineStr">
        <is>
          <t>17:15 - 19:00</t>
        </is>
      </c>
      <c r="F11" s="83" t="n"/>
      <c r="G11" s="74" t="inlineStr">
        <is>
          <t>WIMPASSING</t>
        </is>
      </c>
      <c r="H11" s="75" t="n"/>
      <c r="I11" s="119" t="n"/>
      <c r="J11" s="42" t="n"/>
    </row>
    <row r="12" ht="18.6" customHeight="1" s="123" thickTop="1">
      <c r="A12" s="38" t="inlineStr">
        <is>
          <t>U23</t>
        </is>
      </c>
      <c r="B12" s="40" t="inlineStr">
        <is>
          <t>DINGES STEFAN</t>
        </is>
      </c>
      <c r="C12" s="76" t="inlineStr">
        <is>
          <t>18:45 - 20:15</t>
        </is>
      </c>
      <c r="D12" s="77" t="n"/>
      <c r="E12" s="76" t="inlineStr">
        <is>
          <t>18:45 - 20:15</t>
        </is>
      </c>
      <c r="F12" s="76" t="inlineStr">
        <is>
          <t>18:45 - 20:15</t>
        </is>
      </c>
      <c r="G12" s="77" t="n"/>
      <c r="H12" s="78" t="n"/>
    </row>
    <row r="13" ht="18.6" customHeight="1" s="123" thickBot="1">
      <c r="A13" s="38" t="inlineStr">
        <is>
          <t>KM</t>
        </is>
      </c>
      <c r="B13" s="41" t="inlineStr">
        <is>
          <t>PLENINGER STEFAN</t>
        </is>
      </c>
      <c r="C13" s="79" t="inlineStr">
        <is>
          <t>18:45 - 20:15</t>
        </is>
      </c>
      <c r="D13" s="72" t="n"/>
      <c r="E13" s="79" t="inlineStr">
        <is>
          <t>18:45 - 20:15</t>
        </is>
      </c>
      <c r="F13" s="79" t="inlineStr">
        <is>
          <t>18:45 - 20:15</t>
        </is>
      </c>
      <c r="G13" s="72" t="n"/>
      <c r="H13" s="75" t="n"/>
    </row>
    <row r="14" ht="19.2" customHeight="1" s="123" thickBot="1" thickTop="1">
      <c r="A14" s="38" t="inlineStr">
        <is>
          <t>JUNIOREN/SENIOREN</t>
        </is>
      </c>
      <c r="B14" s="38" t="n"/>
      <c r="C14" s="80" t="n"/>
      <c r="D14" s="81" t="inlineStr">
        <is>
          <t>18:45 - 20:15</t>
        </is>
      </c>
      <c r="E14" s="80" t="n"/>
      <c r="F14" s="80" t="n"/>
      <c r="G14" s="80" t="n"/>
      <c r="H14" s="82" t="n"/>
    </row>
    <row r="15" ht="16.8" customHeight="1" s="123" thickBot="1" thickTop="1">
      <c r="A15" s="120" t="inlineStr">
        <is>
          <t>HAUPTFELD</t>
        </is>
      </c>
      <c r="B15" s="115" t="n"/>
      <c r="C15" s="115" t="n"/>
      <c r="D15" s="115" t="n"/>
      <c r="E15" s="115" t="n"/>
      <c r="F15" s="115" t="n"/>
      <c r="G15" s="115" t="n"/>
      <c r="H15" s="116" t="n"/>
    </row>
    <row r="16" ht="16.8" customHeight="1" s="123" thickBot="1" thickTop="1">
      <c r="A16" s="121" t="inlineStr">
        <is>
          <t>TRAININGSPLATZ</t>
        </is>
      </c>
      <c r="B16" s="115" t="n"/>
      <c r="C16" s="115" t="n"/>
      <c r="D16" s="115" t="n"/>
      <c r="E16" s="115" t="n"/>
      <c r="F16" s="115" t="n"/>
      <c r="G16" s="115" t="n"/>
      <c r="H16" s="116" t="n"/>
    </row>
    <row r="17" ht="16.8" customHeight="1" s="123" thickBot="1" thickTop="1">
      <c r="A17" s="124" t="inlineStr">
        <is>
          <t>HINTERM TOR</t>
        </is>
      </c>
      <c r="B17" s="115" t="n"/>
      <c r="C17" s="115" t="n"/>
      <c r="D17" s="115" t="n"/>
      <c r="E17" s="115" t="n"/>
      <c r="F17" s="115" t="n"/>
      <c r="G17" s="115" t="n"/>
      <c r="H17" s="116" t="n"/>
    </row>
    <row r="18" ht="16.8" customHeight="1" s="123" thickBot="1" thickTop="1">
      <c r="A18" s="114" t="inlineStr">
        <is>
          <t>SPIELGEMEINSCHAFTEN MIT WIMPASSING</t>
        </is>
      </c>
      <c r="B18" s="115" t="n"/>
      <c r="C18" s="115" t="n"/>
      <c r="D18" s="115" t="n"/>
      <c r="E18" s="115" t="n"/>
      <c r="F18" s="115" t="n"/>
      <c r="G18" s="115" t="n"/>
      <c r="H18" s="116" t="n"/>
    </row>
    <row r="19" ht="15" customHeight="1" s="123" thickTop="1"/>
  </sheetData>
  <mergeCells count="6">
    <mergeCell ref="A18:H18"/>
    <mergeCell ref="I2:I11"/>
    <mergeCell ref="A15:H15"/>
    <mergeCell ref="A16:H16"/>
    <mergeCell ref="A1:H1"/>
    <mergeCell ref="A17:H17"/>
  </mergeCells>
  <pageMargins left="0.2362204724409449" right="0.2362204724409449" top="0.1574803149606299" bottom="0.1968503937007874" header="0.3149606299212598" footer="0.3149606299212598"/>
  <pageSetup orientation="landscape" paperSize="9"/>
</worksheet>
</file>

<file path=xl/worksheets/sheet5.xml><?xml version="1.0" encoding="utf-8"?>
<worksheet xmlns="http://schemas.openxmlformats.org/spreadsheetml/2006/main">
  <sheetPr filterMode="1">
    <outlinePr summaryBelow="1" summaryRight="1"/>
    <pageSetUpPr/>
  </sheetPr>
  <dimension ref="A1:H84"/>
  <sheetViews>
    <sheetView workbookViewId="0">
      <selection activeCell="E81" sqref="E81"/>
    </sheetView>
  </sheetViews>
  <sheetFormatPr baseColWidth="10" defaultRowHeight="14.4"/>
  <cols>
    <col width="25.33203125" bestFit="1" customWidth="1" style="123" min="1" max="1"/>
    <col width="11.33203125" bestFit="1" customWidth="1" style="123" min="2" max="2"/>
    <col width="15.88671875" bestFit="1" customWidth="1" style="123" min="3" max="3"/>
    <col width="27" bestFit="1" customWidth="1" style="48" min="4" max="4"/>
    <col width="27" customWidth="1" style="126" min="5" max="5"/>
    <col width="17.109375" bestFit="1" customWidth="1" style="123" min="6" max="6"/>
    <col width="21.5546875" bestFit="1" customWidth="1" style="123" min="7" max="7"/>
    <col width="18.44140625" bestFit="1" customWidth="1" style="123" min="8" max="8"/>
  </cols>
  <sheetData>
    <row r="1">
      <c r="A1" s="57">
        <f>'Nach Mannschaften sortiert'!A1</f>
        <v/>
      </c>
      <c r="B1" s="57">
        <f>'Nach Mannschaften sortiert'!B1</f>
        <v/>
      </c>
      <c r="C1" s="57">
        <f>'Nach Mannschaften sortiert'!C1</f>
        <v/>
      </c>
      <c r="D1" s="58">
        <f>'Nach Mannschaften sortiert'!D1</f>
        <v/>
      </c>
      <c r="E1" s="127">
        <f>'Nach Mannschaften sortiert'!E1</f>
        <v/>
      </c>
      <c r="F1" s="57">
        <f>'Nach Mannschaften sortiert'!F1</f>
        <v/>
      </c>
      <c r="G1" s="57">
        <f>'Nach Mannschaften sortiert'!G1</f>
        <v/>
      </c>
      <c r="H1" s="57">
        <f>'Nach Mannschaften sortiert'!H1</f>
        <v/>
      </c>
    </row>
    <row r="2" hidden="1" s="123">
      <c r="A2" s="57">
        <f>'Nach Mannschaften sortiert'!A6</f>
        <v/>
      </c>
      <c r="B2" s="57">
        <f>'Nach Mannschaften sortiert'!B6</f>
        <v/>
      </c>
      <c r="C2" s="57">
        <f>'Nach Mannschaften sortiert'!C6</f>
        <v/>
      </c>
      <c r="D2" s="58">
        <f>'Nach Mannschaften sortiert'!D6</f>
        <v/>
      </c>
      <c r="E2" s="127">
        <f>'Nach Mannschaften sortiert'!E6</f>
        <v/>
      </c>
      <c r="F2" s="57">
        <f>'Nach Mannschaften sortiert'!F6</f>
        <v/>
      </c>
      <c r="G2" s="57">
        <f>'Nach Mannschaften sortiert'!G6</f>
        <v/>
      </c>
      <c r="H2" s="57">
        <f>'Nach Mannschaften sortiert'!H6</f>
        <v/>
      </c>
    </row>
    <row r="3">
      <c r="A3" s="57">
        <f>'Nach Mannschaften sortiert'!A7</f>
        <v/>
      </c>
      <c r="B3" s="57">
        <f>'Nach Mannschaften sortiert'!B7</f>
        <v/>
      </c>
      <c r="C3" s="57">
        <f>'Nach Mannschaften sortiert'!C7</f>
        <v/>
      </c>
      <c r="D3" s="58">
        <f>'Nach Mannschaften sortiert'!D7</f>
        <v/>
      </c>
      <c r="E3" s="127">
        <f>'Nach Mannschaften sortiert'!E7</f>
        <v/>
      </c>
      <c r="F3" s="57">
        <f>'Nach Mannschaften sortiert'!F7</f>
        <v/>
      </c>
      <c r="G3" s="57">
        <f>'Nach Mannschaften sortiert'!G7</f>
        <v/>
      </c>
      <c r="H3" s="57">
        <f>'Nach Mannschaften sortiert'!H7</f>
        <v/>
      </c>
    </row>
    <row r="4" hidden="1" s="123">
      <c r="A4" s="57">
        <f>'Nach Mannschaften sortiert'!A8</f>
        <v/>
      </c>
      <c r="B4" s="57">
        <f>'Nach Mannschaften sortiert'!B8</f>
        <v/>
      </c>
      <c r="C4" s="57">
        <f>'Nach Mannschaften sortiert'!C8</f>
        <v/>
      </c>
      <c r="D4" s="58">
        <f>'Nach Mannschaften sortiert'!D8</f>
        <v/>
      </c>
      <c r="E4" s="127">
        <f>'Nach Mannschaften sortiert'!E8</f>
        <v/>
      </c>
      <c r="F4" s="57">
        <f>'Nach Mannschaften sortiert'!F8</f>
        <v/>
      </c>
      <c r="G4" s="57">
        <f>'Nach Mannschaften sortiert'!G8</f>
        <v/>
      </c>
      <c r="H4" s="57">
        <f>'Nach Mannschaften sortiert'!H8</f>
        <v/>
      </c>
    </row>
    <row r="5">
      <c r="A5" s="57">
        <f>'Nach Mannschaften sortiert'!A50</f>
        <v/>
      </c>
      <c r="B5" s="57">
        <f>'Nach Mannschaften sortiert'!B50</f>
        <v/>
      </c>
      <c r="C5" s="57">
        <f>'Nach Mannschaften sortiert'!C50</f>
        <v/>
      </c>
      <c r="D5" s="58">
        <f>'Nach Mannschaften sortiert'!D50</f>
        <v/>
      </c>
      <c r="E5" s="127">
        <f>'Nach Mannschaften sortiert'!E50</f>
        <v/>
      </c>
      <c r="F5" s="57">
        <f>'Nach Mannschaften sortiert'!F50</f>
        <v/>
      </c>
      <c r="G5" s="57">
        <f>'Nach Mannschaften sortiert'!G50</f>
        <v/>
      </c>
      <c r="H5" s="57">
        <f>'Nach Mannschaften sortiert'!H50</f>
        <v/>
      </c>
    </row>
    <row r="6" hidden="1" s="123">
      <c r="A6" s="57">
        <f>'Nach Mannschaften sortiert'!A10</f>
        <v/>
      </c>
      <c r="B6" s="57">
        <f>'Nach Mannschaften sortiert'!B10</f>
        <v/>
      </c>
      <c r="C6" s="57">
        <f>'Nach Mannschaften sortiert'!C10</f>
        <v/>
      </c>
      <c r="D6" s="58">
        <f>'Nach Mannschaften sortiert'!D10</f>
        <v/>
      </c>
      <c r="E6" s="127">
        <f>'Nach Mannschaften sortiert'!E10</f>
        <v/>
      </c>
      <c r="F6" s="57">
        <f>'Nach Mannschaften sortiert'!F10</f>
        <v/>
      </c>
      <c r="G6" s="57">
        <f>'Nach Mannschaften sortiert'!G10</f>
        <v/>
      </c>
      <c r="H6" s="57">
        <f>'Nach Mannschaften sortiert'!H10</f>
        <v/>
      </c>
    </row>
    <row r="7">
      <c r="A7" s="57">
        <f>'Nach Mannschaften sortiert'!A58</f>
        <v/>
      </c>
      <c r="B7" s="57">
        <f>'Nach Mannschaften sortiert'!B58</f>
        <v/>
      </c>
      <c r="C7" s="57">
        <f>'Nach Mannschaften sortiert'!C58</f>
        <v/>
      </c>
      <c r="D7" s="58">
        <f>'Nach Mannschaften sortiert'!D58</f>
        <v/>
      </c>
      <c r="E7" s="127">
        <f>'Nach Mannschaften sortiert'!E58</f>
        <v/>
      </c>
      <c r="F7" s="57">
        <f>'Nach Mannschaften sortiert'!F58</f>
        <v/>
      </c>
      <c r="G7" s="57">
        <f>'Nach Mannschaften sortiert'!G58</f>
        <v/>
      </c>
      <c r="H7" s="57">
        <f>'Nach Mannschaften sortiert'!H58</f>
        <v/>
      </c>
    </row>
    <row r="8" hidden="1" s="123">
      <c r="A8" s="57">
        <f>'Nach Mannschaften sortiert'!A12</f>
        <v/>
      </c>
      <c r="B8" s="57">
        <f>'Nach Mannschaften sortiert'!B12</f>
        <v/>
      </c>
      <c r="C8" s="57">
        <f>'Nach Mannschaften sortiert'!C12</f>
        <v/>
      </c>
      <c r="D8" s="58">
        <f>'Nach Mannschaften sortiert'!D12</f>
        <v/>
      </c>
      <c r="E8" s="127">
        <f>'Nach Mannschaften sortiert'!E12</f>
        <v/>
      </c>
      <c r="F8" s="57">
        <f>'Nach Mannschaften sortiert'!F12</f>
        <v/>
      </c>
      <c r="G8" s="57">
        <f>'Nach Mannschaften sortiert'!G12</f>
        <v/>
      </c>
      <c r="H8" s="57">
        <f>'Nach Mannschaften sortiert'!H12</f>
        <v/>
      </c>
    </row>
    <row r="9">
      <c r="A9" s="55">
        <f>'Nach Mannschaften sortiert'!A104</f>
        <v/>
      </c>
      <c r="B9" s="55">
        <f>'Nach Mannschaften sortiert'!B104</f>
        <v/>
      </c>
      <c r="C9" s="55">
        <f>'Nach Mannschaften sortiert'!C104</f>
        <v/>
      </c>
      <c r="D9" s="56">
        <f>'Nach Mannschaften sortiert'!D104</f>
        <v/>
      </c>
      <c r="E9" s="128">
        <f>'Nach Mannschaften sortiert'!E104</f>
        <v/>
      </c>
      <c r="F9" s="55">
        <f>'Nach Mannschaften sortiert'!F104</f>
        <v/>
      </c>
      <c r="G9" s="55">
        <f>'Nach Mannschaften sortiert'!G104</f>
        <v/>
      </c>
      <c r="H9" s="55">
        <f>'Nach Mannschaften sortiert'!H104</f>
        <v/>
      </c>
    </row>
    <row r="10" hidden="1" s="123">
      <c r="A10" s="57">
        <f>'Nach Mannschaften sortiert'!A14</f>
        <v/>
      </c>
      <c r="B10" s="57">
        <f>'Nach Mannschaften sortiert'!B14</f>
        <v/>
      </c>
      <c r="C10" s="57">
        <f>'Nach Mannschaften sortiert'!C14</f>
        <v/>
      </c>
      <c r="D10" s="58">
        <f>'Nach Mannschaften sortiert'!D14</f>
        <v/>
      </c>
      <c r="E10" s="127">
        <f>'Nach Mannschaften sortiert'!E14</f>
        <v/>
      </c>
      <c r="F10" s="57">
        <f>'Nach Mannschaften sortiert'!F14</f>
        <v/>
      </c>
      <c r="G10" s="57">
        <f>'Nach Mannschaften sortiert'!G14</f>
        <v/>
      </c>
      <c r="H10" s="57">
        <f>'Nach Mannschaften sortiert'!H14</f>
        <v/>
      </c>
    </row>
    <row r="11">
      <c r="A11" s="55">
        <f>'Nach Mannschaften sortiert'!A112</f>
        <v/>
      </c>
      <c r="B11" s="55">
        <f>'Nach Mannschaften sortiert'!B112</f>
        <v/>
      </c>
      <c r="C11" s="55">
        <f>'Nach Mannschaften sortiert'!C112</f>
        <v/>
      </c>
      <c r="D11" s="56">
        <f>'Nach Mannschaften sortiert'!D112</f>
        <v/>
      </c>
      <c r="E11" s="128">
        <f>'Nach Mannschaften sortiert'!E112</f>
        <v/>
      </c>
      <c r="F11" s="55">
        <f>'Nach Mannschaften sortiert'!F112</f>
        <v/>
      </c>
      <c r="G11" s="55">
        <f>'Nach Mannschaften sortiert'!G112</f>
        <v/>
      </c>
      <c r="H11" s="55">
        <f>'Nach Mannschaften sortiert'!H112</f>
        <v/>
      </c>
    </row>
    <row r="12" hidden="1" s="123">
      <c r="A12" s="57">
        <f>'Nach Mannschaften sortiert'!A16</f>
        <v/>
      </c>
      <c r="B12" s="57">
        <f>'Nach Mannschaften sortiert'!B16</f>
        <v/>
      </c>
      <c r="C12" s="57">
        <f>'Nach Mannschaften sortiert'!C16</f>
        <v/>
      </c>
      <c r="D12" s="58">
        <f>'Nach Mannschaften sortiert'!D16</f>
        <v/>
      </c>
      <c r="E12" s="127">
        <f>'Nach Mannschaften sortiert'!E16</f>
        <v/>
      </c>
      <c r="F12" s="57">
        <f>'Nach Mannschaften sortiert'!F16</f>
        <v/>
      </c>
      <c r="G12" s="57">
        <f>'Nach Mannschaften sortiert'!G16</f>
        <v/>
      </c>
      <c r="H12" s="57">
        <f>'Nach Mannschaften sortiert'!H16</f>
        <v/>
      </c>
    </row>
    <row r="13" hidden="1" s="123">
      <c r="A13" s="57">
        <f>'Nach Mannschaften sortiert'!A17</f>
        <v/>
      </c>
      <c r="B13" s="57">
        <f>'Nach Mannschaften sortiert'!B17</f>
        <v/>
      </c>
      <c r="C13" s="57">
        <f>'Nach Mannschaften sortiert'!C17</f>
        <v/>
      </c>
      <c r="D13" s="58">
        <f>'Nach Mannschaften sortiert'!D17</f>
        <v/>
      </c>
      <c r="E13" s="127">
        <f>'Nach Mannschaften sortiert'!E17</f>
        <v/>
      </c>
      <c r="F13" s="57">
        <f>'Nach Mannschaften sortiert'!F17</f>
        <v/>
      </c>
      <c r="G13" s="57">
        <f>'Nach Mannschaften sortiert'!G17</f>
        <v/>
      </c>
      <c r="H13" s="57">
        <f>'Nach Mannschaften sortiert'!H17</f>
        <v/>
      </c>
    </row>
    <row r="14">
      <c r="A14" s="55">
        <f>'Nach Mannschaften sortiert'!A113</f>
        <v/>
      </c>
      <c r="B14" s="55">
        <f>'Nach Mannschaften sortiert'!B113</f>
        <v/>
      </c>
      <c r="C14" s="55">
        <f>'Nach Mannschaften sortiert'!C113</f>
        <v/>
      </c>
      <c r="D14" s="56">
        <f>'Nach Mannschaften sortiert'!D113</f>
        <v/>
      </c>
      <c r="E14" s="128">
        <f>'Nach Mannschaften sortiert'!E113</f>
        <v/>
      </c>
      <c r="F14" s="55">
        <f>'Nach Mannschaften sortiert'!F113</f>
        <v/>
      </c>
      <c r="G14" s="55">
        <f>'Nach Mannschaften sortiert'!G113</f>
        <v/>
      </c>
      <c r="H14" s="55">
        <f>'Nach Mannschaften sortiert'!H113</f>
        <v/>
      </c>
    </row>
    <row r="15" hidden="1" s="123">
      <c r="A15" s="57">
        <f>'Nach Mannschaften sortiert'!A32</f>
        <v/>
      </c>
      <c r="B15" s="57">
        <f>'Nach Mannschaften sortiert'!B32</f>
        <v/>
      </c>
      <c r="C15" s="57">
        <f>'Nach Mannschaften sortiert'!C32</f>
        <v/>
      </c>
      <c r="D15" s="58">
        <f>'Nach Mannschaften sortiert'!D32</f>
        <v/>
      </c>
      <c r="E15" s="127">
        <f>'Nach Mannschaften sortiert'!E32</f>
        <v/>
      </c>
      <c r="F15" s="57">
        <f>'Nach Mannschaften sortiert'!F32</f>
        <v/>
      </c>
      <c r="G15" s="57">
        <f>'Nach Mannschaften sortiert'!G32</f>
        <v/>
      </c>
      <c r="H15" s="57">
        <f>'Nach Mannschaften sortiert'!H32</f>
        <v/>
      </c>
    </row>
    <row r="16" hidden="1" s="123">
      <c r="A16" s="51">
        <f>'Nach Mannschaften sortiert'!A33</f>
        <v/>
      </c>
      <c r="B16" s="51">
        <f>'Nach Mannschaften sortiert'!B33</f>
        <v/>
      </c>
      <c r="C16" s="51">
        <f>'Nach Mannschaften sortiert'!C33</f>
        <v/>
      </c>
      <c r="D16" s="52">
        <f>'Nach Mannschaften sortiert'!D33</f>
        <v/>
      </c>
      <c r="E16" s="129">
        <f>'Nach Mannschaften sortiert'!E33</f>
        <v/>
      </c>
      <c r="F16" s="51">
        <f>'Nach Mannschaften sortiert'!F33</f>
        <v/>
      </c>
      <c r="G16" s="51">
        <f>'Nach Mannschaften sortiert'!G33</f>
        <v/>
      </c>
      <c r="H16" s="51">
        <f>'Nach Mannschaften sortiert'!H33</f>
        <v/>
      </c>
    </row>
    <row r="17" hidden="1" s="123">
      <c r="A17" s="57">
        <f>'Nach Mannschaften sortiert'!A34</f>
        <v/>
      </c>
      <c r="B17" s="57">
        <f>'Nach Mannschaften sortiert'!B34</f>
        <v/>
      </c>
      <c r="C17" s="57">
        <f>'Nach Mannschaften sortiert'!C34</f>
        <v/>
      </c>
      <c r="D17" s="58">
        <f>'Nach Mannschaften sortiert'!D34</f>
        <v/>
      </c>
      <c r="E17" s="127">
        <f>'Nach Mannschaften sortiert'!E34</f>
        <v/>
      </c>
      <c r="F17" s="57">
        <f>'Nach Mannschaften sortiert'!F34</f>
        <v/>
      </c>
      <c r="G17" s="57">
        <f>'Nach Mannschaften sortiert'!G34</f>
        <v/>
      </c>
      <c r="H17" s="57">
        <f>'Nach Mannschaften sortiert'!H34</f>
        <v/>
      </c>
    </row>
    <row r="18">
      <c r="A18" s="57">
        <f>'Nach Mannschaften sortiert'!A9</f>
        <v/>
      </c>
      <c r="B18" s="57">
        <f>'Nach Mannschaften sortiert'!B9</f>
        <v/>
      </c>
      <c r="C18" s="57">
        <f>'Nach Mannschaften sortiert'!C9</f>
        <v/>
      </c>
      <c r="D18" s="58">
        <f>'Nach Mannschaften sortiert'!D9</f>
        <v/>
      </c>
      <c r="E18" s="127">
        <f>'Nach Mannschaften sortiert'!E9</f>
        <v/>
      </c>
      <c r="F18" s="57">
        <f>'Nach Mannschaften sortiert'!F9</f>
        <v/>
      </c>
      <c r="G18" s="57">
        <f>'Nach Mannschaften sortiert'!G9</f>
        <v/>
      </c>
      <c r="H18" s="57">
        <f>'Nach Mannschaften sortiert'!H9</f>
        <v/>
      </c>
    </row>
    <row r="19" hidden="1" s="123">
      <c r="A19" s="57">
        <f>'Nach Mannschaften sortiert'!A36</f>
        <v/>
      </c>
      <c r="B19" s="57">
        <f>'Nach Mannschaften sortiert'!B36</f>
        <v/>
      </c>
      <c r="C19" s="57">
        <f>'Nach Mannschaften sortiert'!C36</f>
        <v/>
      </c>
      <c r="D19" s="58">
        <f>'Nach Mannschaften sortiert'!D36</f>
        <v/>
      </c>
      <c r="E19" s="127">
        <f>'Nach Mannschaften sortiert'!E36</f>
        <v/>
      </c>
      <c r="F19" s="57">
        <f>'Nach Mannschaften sortiert'!F36</f>
        <v/>
      </c>
      <c r="G19" s="57">
        <f>'Nach Mannschaften sortiert'!G36</f>
        <v/>
      </c>
      <c r="H19" s="57">
        <f>'Nach Mannschaften sortiert'!H36</f>
        <v/>
      </c>
    </row>
    <row r="20" hidden="1" s="123">
      <c r="A20" s="49">
        <f>'Nach Mannschaften sortiert'!A37</f>
        <v/>
      </c>
      <c r="B20" s="49">
        <f>'Nach Mannschaften sortiert'!B37</f>
        <v/>
      </c>
      <c r="C20" s="49">
        <f>'Nach Mannschaften sortiert'!C37</f>
        <v/>
      </c>
      <c r="D20" s="50">
        <f>'Nach Mannschaften sortiert'!D37</f>
        <v/>
      </c>
      <c r="E20" s="130">
        <f>'Nach Mannschaften sortiert'!E37</f>
        <v/>
      </c>
      <c r="F20" s="49">
        <f>'Nach Mannschaften sortiert'!F37</f>
        <v/>
      </c>
      <c r="G20" s="49">
        <f>'Nach Mannschaften sortiert'!G37</f>
        <v/>
      </c>
      <c r="H20" s="49">
        <f>'Nach Mannschaften sortiert'!H37</f>
        <v/>
      </c>
    </row>
    <row r="21" hidden="1" s="123">
      <c r="A21" s="57">
        <f>'Nach Mannschaften sortiert'!A38</f>
        <v/>
      </c>
      <c r="B21" s="57">
        <f>'Nach Mannschaften sortiert'!B38</f>
        <v/>
      </c>
      <c r="C21" s="57">
        <f>'Nach Mannschaften sortiert'!C38</f>
        <v/>
      </c>
      <c r="D21" s="58">
        <f>'Nach Mannschaften sortiert'!D38</f>
        <v/>
      </c>
      <c r="E21" s="127">
        <f>'Nach Mannschaften sortiert'!E38</f>
        <v/>
      </c>
      <c r="F21" s="57">
        <f>'Nach Mannschaften sortiert'!F38</f>
        <v/>
      </c>
      <c r="G21" s="57">
        <f>'Nach Mannschaften sortiert'!G38</f>
        <v/>
      </c>
      <c r="H21" s="57">
        <f>'Nach Mannschaften sortiert'!H38</f>
        <v/>
      </c>
    </row>
    <row r="22" hidden="1" s="123">
      <c r="A22" s="51">
        <f>'Nach Mannschaften sortiert'!A39</f>
        <v/>
      </c>
      <c r="B22" s="51">
        <f>'Nach Mannschaften sortiert'!B39</f>
        <v/>
      </c>
      <c r="C22" s="51">
        <f>'Nach Mannschaften sortiert'!C39</f>
        <v/>
      </c>
      <c r="D22" s="52">
        <f>'Nach Mannschaften sortiert'!D39</f>
        <v/>
      </c>
      <c r="E22" s="129">
        <f>'Nach Mannschaften sortiert'!E39</f>
        <v/>
      </c>
      <c r="F22" s="51">
        <f>'Nach Mannschaften sortiert'!F39</f>
        <v/>
      </c>
      <c r="G22" s="51">
        <f>'Nach Mannschaften sortiert'!G39</f>
        <v/>
      </c>
      <c r="H22" s="51">
        <f>'Nach Mannschaften sortiert'!H39</f>
        <v/>
      </c>
    </row>
    <row r="23" hidden="1" s="123">
      <c r="A23" s="57">
        <f>'Nach Mannschaften sortiert'!A40</f>
        <v/>
      </c>
      <c r="B23" s="57">
        <f>'Nach Mannschaften sortiert'!B40</f>
        <v/>
      </c>
      <c r="C23" s="57">
        <f>'Nach Mannschaften sortiert'!C40</f>
        <v/>
      </c>
      <c r="D23" s="58">
        <f>'Nach Mannschaften sortiert'!D40</f>
        <v/>
      </c>
      <c r="E23" s="127">
        <f>'Nach Mannschaften sortiert'!E40</f>
        <v/>
      </c>
      <c r="F23" s="57">
        <f>'Nach Mannschaften sortiert'!F40</f>
        <v/>
      </c>
      <c r="G23" s="57">
        <f>'Nach Mannschaften sortiert'!G40</f>
        <v/>
      </c>
      <c r="H23" s="57">
        <f>'Nach Mannschaften sortiert'!H40</f>
        <v/>
      </c>
    </row>
    <row r="24">
      <c r="A24" s="53">
        <f>'Nach Mannschaften sortiert'!A74</f>
        <v/>
      </c>
      <c r="B24" s="53">
        <f>'Nach Mannschaften sortiert'!B74</f>
        <v/>
      </c>
      <c r="C24" s="53">
        <f>'Nach Mannschaften sortiert'!C74</f>
        <v/>
      </c>
      <c r="D24" s="54">
        <f>'Nach Mannschaften sortiert'!D74</f>
        <v/>
      </c>
      <c r="E24" s="131">
        <f>'Nach Mannschaften sortiert'!E74</f>
        <v/>
      </c>
      <c r="F24" s="53">
        <f>'Nach Mannschaften sortiert'!F74</f>
        <v/>
      </c>
      <c r="G24" s="53">
        <f>'Nach Mannschaften sortiert'!G74</f>
        <v/>
      </c>
      <c r="H24" s="53">
        <f>'Nach Mannschaften sortiert'!H74</f>
        <v/>
      </c>
    </row>
    <row r="25" hidden="1" s="123">
      <c r="A25" s="57">
        <f>'Nach Mannschaften sortiert'!#REF!</f>
        <v/>
      </c>
      <c r="B25" s="57">
        <f>'Nach Mannschaften sortiert'!#REF!</f>
        <v/>
      </c>
      <c r="C25" s="57">
        <f>'Nach Mannschaften sortiert'!#REF!</f>
        <v/>
      </c>
      <c r="D25" s="58">
        <f>'Nach Mannschaften sortiert'!#REF!</f>
        <v/>
      </c>
      <c r="E25" s="127">
        <f>'Nach Mannschaften sortiert'!#REF!</f>
        <v/>
      </c>
      <c r="F25" s="57">
        <f>'Nach Mannschaften sortiert'!#REF!</f>
        <v/>
      </c>
      <c r="G25" s="57">
        <f>'Nach Mannschaften sortiert'!#REF!</f>
        <v/>
      </c>
      <c r="H25" s="57">
        <f>'Nach Mannschaften sortiert'!#REF!</f>
        <v/>
      </c>
    </row>
    <row r="26">
      <c r="A26" s="53">
        <f>'Nach Mannschaften sortiert'!A84</f>
        <v/>
      </c>
      <c r="B26" s="53">
        <f>'Nach Mannschaften sortiert'!B84</f>
        <v/>
      </c>
      <c r="C26" s="53">
        <f>'Nach Mannschaften sortiert'!C84</f>
        <v/>
      </c>
      <c r="D26" s="54">
        <f>'Nach Mannschaften sortiert'!D84</f>
        <v/>
      </c>
      <c r="E26" s="131">
        <f>'Nach Mannschaften sortiert'!E84</f>
        <v/>
      </c>
      <c r="F26" s="53">
        <f>'Nach Mannschaften sortiert'!F84</f>
        <v/>
      </c>
      <c r="G26" s="53">
        <f>'Nach Mannschaften sortiert'!G84</f>
        <v/>
      </c>
      <c r="H26" s="53">
        <f>'Nach Mannschaften sortiert'!H84</f>
        <v/>
      </c>
    </row>
    <row r="27" hidden="1" s="123">
      <c r="A27" s="51">
        <f>'Nach Mannschaften sortiert'!A43</f>
        <v/>
      </c>
      <c r="B27" s="51">
        <f>'Nach Mannschaften sortiert'!B43</f>
        <v/>
      </c>
      <c r="C27" s="51">
        <f>'Nach Mannschaften sortiert'!C43</f>
        <v/>
      </c>
      <c r="D27" s="52">
        <f>'Nach Mannschaften sortiert'!D43</f>
        <v/>
      </c>
      <c r="E27" s="129">
        <f>'Nach Mannschaften sortiert'!E43</f>
        <v/>
      </c>
      <c r="F27" s="51">
        <f>'Nach Mannschaften sortiert'!F43</f>
        <v/>
      </c>
      <c r="G27" s="51">
        <f>'Nach Mannschaften sortiert'!G43</f>
        <v/>
      </c>
      <c r="H27" s="51">
        <f>'Nach Mannschaften sortiert'!H43</f>
        <v/>
      </c>
    </row>
    <row r="28" hidden="1" s="123">
      <c r="A28" s="57">
        <f>'Nach Mannschaften sortiert'!A44</f>
        <v/>
      </c>
      <c r="B28" s="57">
        <f>'Nach Mannschaften sortiert'!B44</f>
        <v/>
      </c>
      <c r="C28" s="57">
        <f>'Nach Mannschaften sortiert'!C44</f>
        <v/>
      </c>
      <c r="D28" s="58">
        <f>'Nach Mannschaften sortiert'!D44</f>
        <v/>
      </c>
      <c r="E28" s="127">
        <f>'Nach Mannschaften sortiert'!E44</f>
        <v/>
      </c>
      <c r="F28" s="57">
        <f>'Nach Mannschaften sortiert'!F44</f>
        <v/>
      </c>
      <c r="G28" s="57">
        <f>'Nach Mannschaften sortiert'!G44</f>
        <v/>
      </c>
      <c r="H28" s="57">
        <f>'Nach Mannschaften sortiert'!H44</f>
        <v/>
      </c>
    </row>
    <row r="29">
      <c r="A29" s="53">
        <f>'Nach Mannschaften sortiert'!A94</f>
        <v/>
      </c>
      <c r="B29" s="53">
        <f>'Nach Mannschaften sortiert'!B94</f>
        <v/>
      </c>
      <c r="C29" s="53">
        <f>'Nach Mannschaften sortiert'!C94</f>
        <v/>
      </c>
      <c r="D29" s="54">
        <f>'Nach Mannschaften sortiert'!D94</f>
        <v/>
      </c>
      <c r="E29" s="131">
        <f>'Nach Mannschaften sortiert'!E94</f>
        <v/>
      </c>
      <c r="F29" s="53">
        <f>'Nach Mannschaften sortiert'!F94</f>
        <v/>
      </c>
      <c r="G29" s="53">
        <f>'Nach Mannschaften sortiert'!G94</f>
        <v/>
      </c>
      <c r="H29" s="53">
        <f>'Nach Mannschaften sortiert'!H94</f>
        <v/>
      </c>
    </row>
    <row r="30" hidden="1" s="123">
      <c r="A30" s="57">
        <f>'Nach Mannschaften sortiert'!#REF!</f>
        <v/>
      </c>
      <c r="B30" s="57">
        <f>'Nach Mannschaften sortiert'!#REF!</f>
        <v/>
      </c>
      <c r="C30" s="57">
        <f>'Nach Mannschaften sortiert'!#REF!</f>
        <v/>
      </c>
      <c r="D30" s="58">
        <f>'Nach Mannschaften sortiert'!#REF!</f>
        <v/>
      </c>
      <c r="E30" s="127">
        <f>'Nach Mannschaften sortiert'!#REF!</f>
        <v/>
      </c>
      <c r="F30" s="57">
        <f>'Nach Mannschaften sortiert'!#REF!</f>
        <v/>
      </c>
      <c r="G30" s="57">
        <f>'Nach Mannschaften sortiert'!#REF!</f>
        <v/>
      </c>
      <c r="H30" s="57">
        <f>'Nach Mannschaften sortiert'!#REF!</f>
        <v/>
      </c>
    </row>
    <row r="31" hidden="1" s="123">
      <c r="A31" s="57">
        <f>'Nach Mannschaften sortiert'!A46</f>
        <v/>
      </c>
      <c r="B31" s="57">
        <f>'Nach Mannschaften sortiert'!B46</f>
        <v/>
      </c>
      <c r="C31" s="57">
        <f>'Nach Mannschaften sortiert'!C46</f>
        <v/>
      </c>
      <c r="D31" s="58">
        <f>'Nach Mannschaften sortiert'!D46</f>
        <v/>
      </c>
      <c r="E31" s="127">
        <f>'Nach Mannschaften sortiert'!E46</f>
        <v/>
      </c>
      <c r="F31" s="57">
        <f>'Nach Mannschaften sortiert'!F46</f>
        <v/>
      </c>
      <c r="G31" s="57">
        <f>'Nach Mannschaften sortiert'!G46</f>
        <v/>
      </c>
      <c r="H31" s="57">
        <f>'Nach Mannschaften sortiert'!H46</f>
        <v/>
      </c>
    </row>
    <row r="32" hidden="1" s="123">
      <c r="A32" s="57">
        <f>'Nach Mannschaften sortiert'!A47</f>
        <v/>
      </c>
      <c r="B32" s="57">
        <f>'Nach Mannschaften sortiert'!B47</f>
        <v/>
      </c>
      <c r="C32" s="57">
        <f>'Nach Mannschaften sortiert'!C47</f>
        <v/>
      </c>
      <c r="D32" s="58">
        <f>'Nach Mannschaften sortiert'!D47</f>
        <v/>
      </c>
      <c r="E32" s="127">
        <f>'Nach Mannschaften sortiert'!E47</f>
        <v/>
      </c>
      <c r="F32" s="57">
        <f>'Nach Mannschaften sortiert'!F47</f>
        <v/>
      </c>
      <c r="G32" s="57">
        <f>'Nach Mannschaften sortiert'!G47</f>
        <v/>
      </c>
      <c r="H32" s="57">
        <f>'Nach Mannschaften sortiert'!H47</f>
        <v/>
      </c>
    </row>
    <row r="33" hidden="1" s="123">
      <c r="A33" s="51">
        <f>'Nach Mannschaften sortiert'!A48</f>
        <v/>
      </c>
      <c r="B33" s="51">
        <f>'Nach Mannschaften sortiert'!B48</f>
        <v/>
      </c>
      <c r="C33" s="51">
        <f>'Nach Mannschaften sortiert'!C48</f>
        <v/>
      </c>
      <c r="D33" s="52">
        <f>'Nach Mannschaften sortiert'!D48</f>
        <v/>
      </c>
      <c r="E33" s="129">
        <f>'Nach Mannschaften sortiert'!E48</f>
        <v/>
      </c>
      <c r="F33" s="51">
        <f>'Nach Mannschaften sortiert'!F48</f>
        <v/>
      </c>
      <c r="G33" s="51">
        <f>'Nach Mannschaften sortiert'!G48</f>
        <v/>
      </c>
      <c r="H33" s="51">
        <f>'Nach Mannschaften sortiert'!H48</f>
        <v/>
      </c>
    </row>
    <row r="34" hidden="1" s="123">
      <c r="A34" s="57">
        <f>'Nach Mannschaften sortiert'!A49</f>
        <v/>
      </c>
      <c r="B34" s="57">
        <f>'Nach Mannschaften sortiert'!B49</f>
        <v/>
      </c>
      <c r="C34" s="57">
        <f>'Nach Mannschaften sortiert'!C49</f>
        <v/>
      </c>
      <c r="D34" s="58">
        <f>'Nach Mannschaften sortiert'!D49</f>
        <v/>
      </c>
      <c r="E34" s="127">
        <f>'Nach Mannschaften sortiert'!E49</f>
        <v/>
      </c>
      <c r="F34" s="57">
        <f>'Nach Mannschaften sortiert'!F49</f>
        <v/>
      </c>
      <c r="G34" s="57">
        <f>'Nach Mannschaften sortiert'!G49</f>
        <v/>
      </c>
      <c r="H34" s="57">
        <f>'Nach Mannschaften sortiert'!H49</f>
        <v/>
      </c>
    </row>
    <row r="35">
      <c r="A35" s="53">
        <f>'Nach Mannschaften sortiert'!A67</f>
        <v/>
      </c>
      <c r="B35" s="53">
        <f>'Nach Mannschaften sortiert'!B67</f>
        <v/>
      </c>
      <c r="C35" s="53">
        <f>'Nach Mannschaften sortiert'!C67</f>
        <v/>
      </c>
      <c r="D35" s="54">
        <f>'Nach Mannschaften sortiert'!D67</f>
        <v/>
      </c>
      <c r="E35" s="131">
        <f>'Nach Mannschaften sortiert'!E67</f>
        <v/>
      </c>
      <c r="F35" s="53">
        <f>'Nach Mannschaften sortiert'!F67</f>
        <v/>
      </c>
      <c r="G35" s="53">
        <f>'Nach Mannschaften sortiert'!G67</f>
        <v/>
      </c>
      <c r="H35" s="53">
        <f>'Nach Mannschaften sortiert'!H67</f>
        <v/>
      </c>
    </row>
    <row r="36" hidden="1" s="123">
      <c r="A36" s="57">
        <f>'Nach Mannschaften sortiert'!A51</f>
        <v/>
      </c>
      <c r="B36" s="57">
        <f>'Nach Mannschaften sortiert'!B51</f>
        <v/>
      </c>
      <c r="C36" s="57">
        <f>'Nach Mannschaften sortiert'!C51</f>
        <v/>
      </c>
      <c r="D36" s="58">
        <f>'Nach Mannschaften sortiert'!D51</f>
        <v/>
      </c>
      <c r="E36" s="127">
        <f>'Nach Mannschaften sortiert'!E51</f>
        <v/>
      </c>
      <c r="F36" s="57">
        <f>'Nach Mannschaften sortiert'!F51</f>
        <v/>
      </c>
      <c r="G36" s="57">
        <f>'Nach Mannschaften sortiert'!G51</f>
        <v/>
      </c>
      <c r="H36" s="57">
        <f>'Nach Mannschaften sortiert'!H51</f>
        <v/>
      </c>
    </row>
    <row r="37" hidden="1" s="123">
      <c r="A37" s="57">
        <f>'Nach Mannschaften sortiert'!A52</f>
        <v/>
      </c>
      <c r="B37" s="57">
        <f>'Nach Mannschaften sortiert'!B52</f>
        <v/>
      </c>
      <c r="C37" s="57">
        <f>'Nach Mannschaften sortiert'!C52</f>
        <v/>
      </c>
      <c r="D37" s="58">
        <f>'Nach Mannschaften sortiert'!D52</f>
        <v/>
      </c>
      <c r="E37" s="127">
        <f>'Nach Mannschaften sortiert'!E52</f>
        <v/>
      </c>
      <c r="F37" s="57">
        <f>'Nach Mannschaften sortiert'!F52</f>
        <v/>
      </c>
      <c r="G37" s="57">
        <f>'Nach Mannschaften sortiert'!G52</f>
        <v/>
      </c>
      <c r="H37" s="57">
        <f>'Nach Mannschaften sortiert'!H52</f>
        <v/>
      </c>
    </row>
    <row r="38">
      <c r="A38" s="51">
        <f>'Nach Mannschaften sortiert'!A42</f>
        <v/>
      </c>
      <c r="B38" s="51">
        <f>'Nach Mannschaften sortiert'!B42</f>
        <v/>
      </c>
      <c r="C38" s="51">
        <f>'Nach Mannschaften sortiert'!C42</f>
        <v/>
      </c>
      <c r="D38" s="52">
        <f>'Nach Mannschaften sortiert'!D42</f>
        <v/>
      </c>
      <c r="E38" s="129">
        <f>'Nach Mannschaften sortiert'!E42</f>
        <v/>
      </c>
      <c r="F38" s="51">
        <f>'Nach Mannschaften sortiert'!F42</f>
        <v/>
      </c>
      <c r="G38" s="51">
        <f>'Nach Mannschaften sortiert'!G42</f>
        <v/>
      </c>
      <c r="H38" s="51">
        <f>'Nach Mannschaften sortiert'!H42</f>
        <v/>
      </c>
    </row>
    <row r="39" hidden="1" s="123">
      <c r="A39" s="57">
        <f>'Nach Mannschaften sortiert'!#REF!</f>
        <v/>
      </c>
      <c r="B39" s="57">
        <f>'Nach Mannschaften sortiert'!#REF!</f>
        <v/>
      </c>
      <c r="C39" s="57">
        <f>'Nach Mannschaften sortiert'!#REF!</f>
        <v/>
      </c>
      <c r="D39" s="58">
        <f>'Nach Mannschaften sortiert'!#REF!</f>
        <v/>
      </c>
      <c r="E39" s="127">
        <f>'Nach Mannschaften sortiert'!#REF!</f>
        <v/>
      </c>
      <c r="F39" s="57">
        <f>'Nach Mannschaften sortiert'!#REF!</f>
        <v/>
      </c>
      <c r="G39" s="57">
        <f>'Nach Mannschaften sortiert'!#REF!</f>
        <v/>
      </c>
      <c r="H39" s="57">
        <f>'Nach Mannschaften sortiert'!#REF!</f>
        <v/>
      </c>
    </row>
    <row r="40" hidden="1" s="123">
      <c r="A40" s="57">
        <f>'Nach Mannschaften sortiert'!A54</f>
        <v/>
      </c>
      <c r="B40" s="57">
        <f>'Nach Mannschaften sortiert'!B54</f>
        <v/>
      </c>
      <c r="C40" s="57">
        <f>'Nach Mannschaften sortiert'!C54</f>
        <v/>
      </c>
      <c r="D40" s="58">
        <f>'Nach Mannschaften sortiert'!D54</f>
        <v/>
      </c>
      <c r="E40" s="127">
        <f>'Nach Mannschaften sortiert'!E54</f>
        <v/>
      </c>
      <c r="F40" s="57">
        <f>'Nach Mannschaften sortiert'!F54</f>
        <v/>
      </c>
      <c r="G40" s="57">
        <f>'Nach Mannschaften sortiert'!G54</f>
        <v/>
      </c>
      <c r="H40" s="57">
        <f>'Nach Mannschaften sortiert'!H54</f>
        <v/>
      </c>
    </row>
    <row r="41">
      <c r="A41" s="51">
        <f>'Nach Mannschaften sortiert'!A11</f>
        <v/>
      </c>
      <c r="B41" s="51">
        <f>'Nach Mannschaften sortiert'!B11</f>
        <v/>
      </c>
      <c r="C41" s="51">
        <f>'Nach Mannschaften sortiert'!C11</f>
        <v/>
      </c>
      <c r="D41" s="52">
        <f>'Nach Mannschaften sortiert'!D11</f>
        <v/>
      </c>
      <c r="E41" s="129">
        <f>'Nach Mannschaften sortiert'!E11</f>
        <v/>
      </c>
      <c r="F41" s="51">
        <f>'Nach Mannschaften sortiert'!F11</f>
        <v/>
      </c>
      <c r="G41" s="51">
        <f>'Nach Mannschaften sortiert'!G11</f>
        <v/>
      </c>
      <c r="H41" s="51">
        <f>'Nach Mannschaften sortiert'!H11</f>
        <v/>
      </c>
    </row>
    <row r="42">
      <c r="A42" s="57">
        <f>'Nach Mannschaften sortiert'!A69</f>
        <v/>
      </c>
      <c r="B42" s="57">
        <f>'Nach Mannschaften sortiert'!B69</f>
        <v/>
      </c>
      <c r="C42" s="57">
        <f>'Nach Mannschaften sortiert'!C69</f>
        <v/>
      </c>
      <c r="D42" s="58">
        <f>'Nach Mannschaften sortiert'!D69</f>
        <v/>
      </c>
      <c r="E42" s="127">
        <f>'Nach Mannschaften sortiert'!E69</f>
        <v/>
      </c>
      <c r="F42" s="57">
        <f>'Nach Mannschaften sortiert'!F69</f>
        <v/>
      </c>
      <c r="G42" s="57">
        <f>'Nach Mannschaften sortiert'!G69</f>
        <v/>
      </c>
      <c r="H42" s="57">
        <f>'Nach Mannschaften sortiert'!H69</f>
        <v/>
      </c>
    </row>
    <row r="43" hidden="1" s="123">
      <c r="A43" s="57">
        <f>'Nach Mannschaften sortiert'!A57</f>
        <v/>
      </c>
      <c r="B43" s="57">
        <f>'Nach Mannschaften sortiert'!B57</f>
        <v/>
      </c>
      <c r="C43" s="57">
        <f>'Nach Mannschaften sortiert'!C57</f>
        <v/>
      </c>
      <c r="D43" s="58">
        <f>'Nach Mannschaften sortiert'!D57</f>
        <v/>
      </c>
      <c r="E43" s="127">
        <f>'Nach Mannschaften sortiert'!E57</f>
        <v/>
      </c>
      <c r="F43" s="57">
        <f>'Nach Mannschaften sortiert'!F57</f>
        <v/>
      </c>
      <c r="G43" s="57">
        <f>'Nach Mannschaften sortiert'!G57</f>
        <v/>
      </c>
      <c r="H43" s="57">
        <f>'Nach Mannschaften sortiert'!H57</f>
        <v/>
      </c>
    </row>
    <row r="44">
      <c r="A44" s="53">
        <f>'Nach Mannschaften sortiert'!A60</f>
        <v/>
      </c>
      <c r="B44" s="53">
        <f>'Nach Mannschaften sortiert'!B60</f>
        <v/>
      </c>
      <c r="C44" s="53">
        <f>'Nach Mannschaften sortiert'!C60</f>
        <v/>
      </c>
      <c r="D44" s="54">
        <f>'Nach Mannschaften sortiert'!D60</f>
        <v/>
      </c>
      <c r="E44" s="131">
        <f>'Nach Mannschaften sortiert'!E60</f>
        <v/>
      </c>
      <c r="F44" s="53">
        <f>'Nach Mannschaften sortiert'!F60</f>
        <v/>
      </c>
      <c r="G44" s="53">
        <f>'Nach Mannschaften sortiert'!G60</f>
        <v/>
      </c>
      <c r="H44" s="53">
        <f>'Nach Mannschaften sortiert'!H60</f>
        <v/>
      </c>
    </row>
    <row r="45">
      <c r="A45" s="53">
        <f>'Nach Mannschaften sortiert'!A53</f>
        <v/>
      </c>
      <c r="B45" s="53">
        <f>'Nach Mannschaften sortiert'!B53</f>
        <v/>
      </c>
      <c r="C45" s="53">
        <f>'Nach Mannschaften sortiert'!C53</f>
        <v/>
      </c>
      <c r="D45" s="54">
        <f>'Nach Mannschaften sortiert'!D53</f>
        <v/>
      </c>
      <c r="E45" s="131">
        <f>'Nach Mannschaften sortiert'!E53</f>
        <v/>
      </c>
      <c r="F45" s="53">
        <f>'Nach Mannschaften sortiert'!F53</f>
        <v/>
      </c>
      <c r="G45" s="53">
        <f>'Nach Mannschaften sortiert'!G53</f>
        <v/>
      </c>
      <c r="H45" s="53">
        <f>'Nach Mannschaften sortiert'!H53</f>
        <v/>
      </c>
    </row>
    <row r="46" hidden="1" s="123">
      <c r="A46" s="57">
        <f>'Nach Mannschaften sortiert'!#REF!</f>
        <v/>
      </c>
      <c r="B46" s="57">
        <f>'Nach Mannschaften sortiert'!#REF!</f>
        <v/>
      </c>
      <c r="C46" s="57">
        <f>'Nach Mannschaften sortiert'!#REF!</f>
        <v/>
      </c>
      <c r="D46" s="58">
        <f>'Nach Mannschaften sortiert'!#REF!</f>
        <v/>
      </c>
      <c r="E46" s="127">
        <f>'Nach Mannschaften sortiert'!#REF!</f>
        <v/>
      </c>
      <c r="F46" s="57">
        <f>'Nach Mannschaften sortiert'!#REF!</f>
        <v/>
      </c>
      <c r="G46" s="57">
        <f>'Nach Mannschaften sortiert'!#REF!</f>
        <v/>
      </c>
      <c r="H46" s="57">
        <f>'Nach Mannschaften sortiert'!#REF!</f>
        <v/>
      </c>
    </row>
    <row r="47" hidden="1" s="123">
      <c r="A47" s="57">
        <f>'Nach Mannschaften sortiert'!A59</f>
        <v/>
      </c>
      <c r="B47" s="57">
        <f>'Nach Mannschaften sortiert'!B59</f>
        <v/>
      </c>
      <c r="C47" s="57">
        <f>'Nach Mannschaften sortiert'!C59</f>
        <v/>
      </c>
      <c r="D47" s="58">
        <f>'Nach Mannschaften sortiert'!D59</f>
        <v/>
      </c>
      <c r="E47" s="127">
        <f>'Nach Mannschaften sortiert'!E59</f>
        <v/>
      </c>
      <c r="F47" s="57">
        <f>'Nach Mannschaften sortiert'!F59</f>
        <v/>
      </c>
      <c r="G47" s="57">
        <f>'Nach Mannschaften sortiert'!G59</f>
        <v/>
      </c>
      <c r="H47" s="57">
        <f>'Nach Mannschaften sortiert'!H59</f>
        <v/>
      </c>
    </row>
    <row r="48">
      <c r="A48" s="51">
        <f>'Nach Mannschaften sortiert'!A35</f>
        <v/>
      </c>
      <c r="B48" s="51">
        <f>'Nach Mannschaften sortiert'!B35</f>
        <v/>
      </c>
      <c r="C48" s="51">
        <f>'Nach Mannschaften sortiert'!C35</f>
        <v/>
      </c>
      <c r="D48" s="52">
        <f>'Nach Mannschaften sortiert'!D35</f>
        <v/>
      </c>
      <c r="E48" s="129">
        <f>'Nach Mannschaften sortiert'!E35</f>
        <v/>
      </c>
      <c r="F48" s="51">
        <f>'Nach Mannschaften sortiert'!F35</f>
        <v/>
      </c>
      <c r="G48" s="51">
        <f>'Nach Mannschaften sortiert'!G35</f>
        <v/>
      </c>
      <c r="H48" s="51">
        <f>'Nach Mannschaften sortiert'!H35</f>
        <v/>
      </c>
    </row>
    <row r="49" hidden="1" s="123">
      <c r="A49" s="57">
        <f>'Nach Mannschaften sortiert'!A61</f>
        <v/>
      </c>
      <c r="B49" s="57">
        <f>'Nach Mannschaften sortiert'!B61</f>
        <v/>
      </c>
      <c r="C49" s="57">
        <f>'Nach Mannschaften sortiert'!C61</f>
        <v/>
      </c>
      <c r="D49" s="58">
        <f>'Nach Mannschaften sortiert'!D61</f>
        <v/>
      </c>
      <c r="E49" s="127">
        <f>'Nach Mannschaften sortiert'!E61</f>
        <v/>
      </c>
      <c r="F49" s="57">
        <f>'Nach Mannschaften sortiert'!F61</f>
        <v/>
      </c>
      <c r="G49" s="57">
        <f>'Nach Mannschaften sortiert'!G61</f>
        <v/>
      </c>
      <c r="H49" s="57">
        <f>'Nach Mannschaften sortiert'!H61</f>
        <v/>
      </c>
    </row>
    <row r="50" hidden="1" s="123">
      <c r="A50" s="57">
        <f>'Nach Mannschaften sortiert'!A62</f>
        <v/>
      </c>
      <c r="B50" s="57">
        <f>'Nach Mannschaften sortiert'!B62</f>
        <v/>
      </c>
      <c r="C50" s="57">
        <f>'Nach Mannschaften sortiert'!C62</f>
        <v/>
      </c>
      <c r="D50" s="58">
        <f>'Nach Mannschaften sortiert'!D62</f>
        <v/>
      </c>
      <c r="E50" s="127">
        <f>'Nach Mannschaften sortiert'!E62</f>
        <v/>
      </c>
      <c r="F50" s="57">
        <f>'Nach Mannschaften sortiert'!F62</f>
        <v/>
      </c>
      <c r="G50" s="57">
        <f>'Nach Mannschaften sortiert'!G62</f>
        <v/>
      </c>
      <c r="H50" s="57">
        <f>'Nach Mannschaften sortiert'!H62</f>
        <v/>
      </c>
    </row>
    <row r="51" hidden="1" s="123">
      <c r="A51" s="57">
        <f>'Nach Mannschaften sortiert'!#REF!</f>
        <v/>
      </c>
      <c r="B51" s="57">
        <f>'Nach Mannschaften sortiert'!#REF!</f>
        <v/>
      </c>
      <c r="C51" s="57">
        <f>'Nach Mannschaften sortiert'!#REF!</f>
        <v/>
      </c>
      <c r="D51" s="58">
        <f>'Nach Mannschaften sortiert'!#REF!</f>
        <v/>
      </c>
      <c r="E51" s="127">
        <f>'Nach Mannschaften sortiert'!#REF!</f>
        <v/>
      </c>
      <c r="F51" s="57">
        <f>'Nach Mannschaften sortiert'!#REF!</f>
        <v/>
      </c>
      <c r="G51" s="57">
        <f>'Nach Mannschaften sortiert'!#REF!</f>
        <v/>
      </c>
      <c r="H51" s="57">
        <f>'Nach Mannschaften sortiert'!#REF!</f>
        <v/>
      </c>
    </row>
    <row r="52">
      <c r="A52" s="51">
        <f>'Nach Mannschaften sortiert'!A13</f>
        <v/>
      </c>
      <c r="B52" s="51">
        <f>'Nach Mannschaften sortiert'!B13</f>
        <v/>
      </c>
      <c r="C52" s="51">
        <f>'Nach Mannschaften sortiert'!C13</f>
        <v/>
      </c>
      <c r="D52" s="52">
        <f>'Nach Mannschaften sortiert'!D13</f>
        <v/>
      </c>
      <c r="E52" s="129">
        <f>'Nach Mannschaften sortiert'!E13</f>
        <v/>
      </c>
      <c r="F52" s="51">
        <f>'Nach Mannschaften sortiert'!F13</f>
        <v/>
      </c>
      <c r="G52" s="51">
        <f>'Nach Mannschaften sortiert'!G13</f>
        <v/>
      </c>
      <c r="H52" s="51">
        <f>'Nach Mannschaften sortiert'!H13</f>
        <v/>
      </c>
    </row>
    <row r="53" hidden="1" s="123">
      <c r="A53" s="57">
        <f>'Nach Mannschaften sortiert'!A64</f>
        <v/>
      </c>
      <c r="B53" s="57">
        <f>'Nach Mannschaften sortiert'!B64</f>
        <v/>
      </c>
      <c r="C53" s="57">
        <f>'Nach Mannschaften sortiert'!C64</f>
        <v/>
      </c>
      <c r="D53" s="58">
        <f>'Nach Mannschaften sortiert'!D64</f>
        <v/>
      </c>
      <c r="E53" s="127">
        <f>'Nach Mannschaften sortiert'!E64</f>
        <v/>
      </c>
      <c r="F53" s="57">
        <f>'Nach Mannschaften sortiert'!F64</f>
        <v/>
      </c>
      <c r="G53" s="57">
        <f>'Nach Mannschaften sortiert'!G64</f>
        <v/>
      </c>
      <c r="H53" s="57">
        <f>'Nach Mannschaften sortiert'!H64</f>
        <v/>
      </c>
    </row>
    <row r="54">
      <c r="A54" s="51">
        <f>'Nach Mannschaften sortiert'!A45</f>
        <v/>
      </c>
      <c r="B54" s="51">
        <f>'Nach Mannschaften sortiert'!B45</f>
        <v/>
      </c>
      <c r="C54" s="51">
        <f>'Nach Mannschaften sortiert'!C45</f>
        <v/>
      </c>
      <c r="D54" s="52">
        <f>'Nach Mannschaften sortiert'!D45</f>
        <v/>
      </c>
      <c r="E54" s="129">
        <f>'Nach Mannschaften sortiert'!E45</f>
        <v/>
      </c>
      <c r="F54" s="51">
        <f>'Nach Mannschaften sortiert'!F45</f>
        <v/>
      </c>
      <c r="G54" s="51">
        <f>'Nach Mannschaften sortiert'!G45</f>
        <v/>
      </c>
      <c r="H54" s="51">
        <f>'Nach Mannschaften sortiert'!H45</f>
        <v/>
      </c>
    </row>
    <row r="55" hidden="1" s="123">
      <c r="A55" s="57">
        <f>'Nach Mannschaften sortiert'!A66</f>
        <v/>
      </c>
      <c r="B55" s="57">
        <f>'Nach Mannschaften sortiert'!B66</f>
        <v/>
      </c>
      <c r="C55" s="57">
        <f>'Nach Mannschaften sortiert'!C66</f>
        <v/>
      </c>
      <c r="D55" s="58">
        <f>'Nach Mannschaften sortiert'!D66</f>
        <v/>
      </c>
      <c r="E55" s="127">
        <f>'Nach Mannschaften sortiert'!E66</f>
        <v/>
      </c>
      <c r="F55" s="57">
        <f>'Nach Mannschaften sortiert'!F66</f>
        <v/>
      </c>
      <c r="G55" s="57">
        <f>'Nach Mannschaften sortiert'!G66</f>
        <v/>
      </c>
      <c r="H55" s="57">
        <f>'Nach Mannschaften sortiert'!H66</f>
        <v/>
      </c>
    </row>
    <row r="56">
      <c r="A56" s="51">
        <f>'Nach Mannschaften sortiert'!A70</f>
        <v/>
      </c>
      <c r="B56" s="51">
        <f>'Nach Mannschaften sortiert'!B70</f>
        <v/>
      </c>
      <c r="C56" s="51">
        <f>'Nach Mannschaften sortiert'!C70</f>
        <v/>
      </c>
      <c r="D56" s="52">
        <f>'Nach Mannschaften sortiert'!D70</f>
        <v/>
      </c>
      <c r="E56" s="129">
        <f>'Nach Mannschaften sortiert'!E70</f>
        <v/>
      </c>
      <c r="F56" s="51">
        <f>'Nach Mannschaften sortiert'!F70</f>
        <v/>
      </c>
      <c r="G56" s="51">
        <f>'Nach Mannschaften sortiert'!G70</f>
        <v/>
      </c>
      <c r="H56" s="51">
        <f>'Nach Mannschaften sortiert'!H70</f>
        <v/>
      </c>
    </row>
    <row r="57" hidden="1" s="123">
      <c r="A57" s="57">
        <f>'Nach Mannschaften sortiert'!A68</f>
        <v/>
      </c>
      <c r="B57" s="57">
        <f>'Nach Mannschaften sortiert'!B68</f>
        <v/>
      </c>
      <c r="C57" s="57">
        <f>'Nach Mannschaften sortiert'!C68</f>
        <v/>
      </c>
      <c r="D57" s="58">
        <f>'Nach Mannschaften sortiert'!D68</f>
        <v/>
      </c>
      <c r="E57" s="127">
        <f>'Nach Mannschaften sortiert'!E68</f>
        <v/>
      </c>
      <c r="F57" s="57">
        <f>'Nach Mannschaften sortiert'!F68</f>
        <v/>
      </c>
      <c r="G57" s="57">
        <f>'Nach Mannschaften sortiert'!G68</f>
        <v/>
      </c>
      <c r="H57" s="57">
        <f>'Nach Mannschaften sortiert'!H68</f>
        <v/>
      </c>
    </row>
    <row r="58">
      <c r="A58" s="51">
        <f>'Nach Mannschaften sortiert'!A15</f>
        <v/>
      </c>
      <c r="B58" s="51">
        <f>'Nach Mannschaften sortiert'!B15</f>
        <v/>
      </c>
      <c r="C58" s="51">
        <f>'Nach Mannschaften sortiert'!C15</f>
        <v/>
      </c>
      <c r="D58" s="52">
        <f>'Nach Mannschaften sortiert'!D15</f>
        <v/>
      </c>
      <c r="E58" s="129">
        <f>'Nach Mannschaften sortiert'!E15</f>
        <v/>
      </c>
      <c r="F58" s="51">
        <f>'Nach Mannschaften sortiert'!F15</f>
        <v/>
      </c>
      <c r="G58" s="51">
        <f>'Nach Mannschaften sortiert'!G15</f>
        <v/>
      </c>
      <c r="H58" s="51">
        <f>'Nach Mannschaften sortiert'!H15</f>
        <v/>
      </c>
    </row>
    <row r="59" hidden="1" s="123">
      <c r="A59" s="57">
        <f>'Nach Mannschaften sortiert'!#REF!</f>
        <v/>
      </c>
      <c r="B59" s="57">
        <f>'Nach Mannschaften sortiert'!#REF!</f>
        <v/>
      </c>
      <c r="C59" s="57">
        <f>'Nach Mannschaften sortiert'!#REF!</f>
        <v/>
      </c>
      <c r="D59" s="58">
        <f>'Nach Mannschaften sortiert'!#REF!</f>
        <v/>
      </c>
      <c r="E59" s="127">
        <f>'Nach Mannschaften sortiert'!#REF!</f>
        <v/>
      </c>
      <c r="F59" s="57">
        <f>'Nach Mannschaften sortiert'!#REF!</f>
        <v/>
      </c>
      <c r="G59" s="57">
        <f>'Nach Mannschaften sortiert'!#REF!</f>
        <v/>
      </c>
      <c r="H59" s="57">
        <f>'Nach Mannschaften sortiert'!#REF!</f>
        <v/>
      </c>
    </row>
    <row r="60">
      <c r="A60" s="51">
        <f>'Nach Mannschaften sortiert'!A55</f>
        <v/>
      </c>
      <c r="B60" s="51">
        <f>'Nach Mannschaften sortiert'!B55</f>
        <v/>
      </c>
      <c r="C60" s="51">
        <f>'Nach Mannschaften sortiert'!C55</f>
        <v/>
      </c>
      <c r="D60" s="52">
        <f>'Nach Mannschaften sortiert'!D55</f>
        <v/>
      </c>
      <c r="E60" s="129">
        <f>'Nach Mannschaften sortiert'!E55</f>
        <v/>
      </c>
      <c r="F60" s="51">
        <f>'Nach Mannschaften sortiert'!F55</f>
        <v/>
      </c>
      <c r="G60" s="51">
        <f>'Nach Mannschaften sortiert'!G55</f>
        <v/>
      </c>
      <c r="H60" s="51">
        <f>'Nach Mannschaften sortiert'!H55</f>
        <v/>
      </c>
    </row>
    <row r="61" hidden="1" s="123">
      <c r="A61" s="57">
        <f>'Nach Mannschaften sortiert'!A71</f>
        <v/>
      </c>
      <c r="B61" s="57">
        <f>'Nach Mannschaften sortiert'!B71</f>
        <v/>
      </c>
      <c r="C61" s="57">
        <f>'Nach Mannschaften sortiert'!C71</f>
        <v/>
      </c>
      <c r="D61" s="58">
        <f>'Nach Mannschaften sortiert'!D71</f>
        <v/>
      </c>
      <c r="E61" s="127">
        <f>'Nach Mannschaften sortiert'!E71</f>
        <v/>
      </c>
      <c r="F61" s="57">
        <f>'Nach Mannschaften sortiert'!F71</f>
        <v/>
      </c>
      <c r="G61" s="57">
        <f>'Nach Mannschaften sortiert'!G71</f>
        <v/>
      </c>
      <c r="H61" s="57">
        <f>'Nach Mannschaften sortiert'!H71</f>
        <v/>
      </c>
    </row>
    <row r="62">
      <c r="A62" s="49">
        <f>'Nach Mannschaften sortiert'!A56</f>
        <v/>
      </c>
      <c r="B62" s="49">
        <f>'Nach Mannschaften sortiert'!B56</f>
        <v/>
      </c>
      <c r="C62" s="49">
        <f>'Nach Mannschaften sortiert'!C56</f>
        <v/>
      </c>
      <c r="D62" s="50">
        <f>'Nach Mannschaften sortiert'!D56</f>
        <v/>
      </c>
      <c r="E62" s="130">
        <f>'Nach Mannschaften sortiert'!E56</f>
        <v/>
      </c>
      <c r="F62" s="49">
        <f>'Nach Mannschaften sortiert'!F56</f>
        <v/>
      </c>
      <c r="G62" s="49">
        <f>'Nach Mannschaften sortiert'!G56</f>
        <v/>
      </c>
      <c r="H62" s="49">
        <f>'Nach Mannschaften sortiert'!H56</f>
        <v/>
      </c>
    </row>
    <row r="63" hidden="1" s="123">
      <c r="A63" s="57">
        <f>'Nach Mannschaften sortiert'!A73</f>
        <v/>
      </c>
      <c r="B63" s="57">
        <f>'Nach Mannschaften sortiert'!B73</f>
        <v/>
      </c>
      <c r="C63" s="57">
        <f>'Nach Mannschaften sortiert'!C73</f>
        <v/>
      </c>
      <c r="D63" s="58">
        <f>'Nach Mannschaften sortiert'!D73</f>
        <v/>
      </c>
      <c r="E63" s="127">
        <f>'Nach Mannschaften sortiert'!E73</f>
        <v/>
      </c>
      <c r="F63" s="57">
        <f>'Nach Mannschaften sortiert'!F73</f>
        <v/>
      </c>
      <c r="G63" s="57">
        <f>'Nach Mannschaften sortiert'!G73</f>
        <v/>
      </c>
      <c r="H63" s="57">
        <f>'Nach Mannschaften sortiert'!H73</f>
        <v/>
      </c>
    </row>
    <row r="64" hidden="1" s="123">
      <c r="A64" s="57">
        <f>'Nach Mannschaften sortiert'!#REF!</f>
        <v/>
      </c>
      <c r="B64" s="57">
        <f>'Nach Mannschaften sortiert'!#REF!</f>
        <v/>
      </c>
      <c r="C64" s="57">
        <f>'Nach Mannschaften sortiert'!#REF!</f>
        <v/>
      </c>
      <c r="D64" s="58">
        <f>'Nach Mannschaften sortiert'!#REF!</f>
        <v/>
      </c>
      <c r="E64" s="127">
        <f>'Nach Mannschaften sortiert'!#REF!</f>
        <v/>
      </c>
      <c r="F64" s="57">
        <f>'Nach Mannschaften sortiert'!#REF!</f>
        <v/>
      </c>
      <c r="G64" s="57">
        <f>'Nach Mannschaften sortiert'!#REF!</f>
        <v/>
      </c>
      <c r="H64" s="57">
        <f>'Nach Mannschaften sortiert'!#REF!</f>
        <v/>
      </c>
    </row>
    <row r="65">
      <c r="A65" s="51">
        <f>'Nach Mannschaften sortiert'!A72</f>
        <v/>
      </c>
      <c r="B65" s="51">
        <f>'Nach Mannschaften sortiert'!B72</f>
        <v/>
      </c>
      <c r="C65" s="51">
        <f>'Nach Mannschaften sortiert'!C72</f>
        <v/>
      </c>
      <c r="D65" s="52" t="n">
        <v>46164</v>
      </c>
      <c r="E65" s="129" t="n">
        <v>0.7083333333333334</v>
      </c>
      <c r="F65" s="51">
        <f>'Nach Mannschaften sortiert'!F72</f>
        <v/>
      </c>
      <c r="G65" s="51">
        <f>'Nach Mannschaften sortiert'!G72</f>
        <v/>
      </c>
      <c r="H65" s="51">
        <f>'Nach Mannschaften sortiert'!H72</f>
        <v/>
      </c>
    </row>
    <row r="66" hidden="1" s="123">
      <c r="A66" s="57">
        <f>'Nach Mannschaften sortiert'!A75</f>
        <v/>
      </c>
      <c r="B66" s="57">
        <f>'Nach Mannschaften sortiert'!B75</f>
        <v/>
      </c>
      <c r="C66" s="57">
        <f>'Nach Mannschaften sortiert'!C75</f>
        <v/>
      </c>
      <c r="D66" s="58">
        <f>'Nach Mannschaften sortiert'!D75</f>
        <v/>
      </c>
      <c r="E66" s="127">
        <f>'Nach Mannschaften sortiert'!E75</f>
        <v/>
      </c>
      <c r="F66" s="57">
        <f>'Nach Mannschaften sortiert'!F75</f>
        <v/>
      </c>
      <c r="G66" s="57">
        <f>'Nach Mannschaften sortiert'!G75</f>
        <v/>
      </c>
      <c r="H66" s="57">
        <f>'Nach Mannschaften sortiert'!H75</f>
        <v/>
      </c>
    </row>
    <row r="67" hidden="1" s="123">
      <c r="A67" s="57">
        <f>'Nach Mannschaften sortiert'!A76</f>
        <v/>
      </c>
      <c r="B67" s="57">
        <f>'Nach Mannschaften sortiert'!B76</f>
        <v/>
      </c>
      <c r="C67" s="57">
        <f>'Nach Mannschaften sortiert'!C76</f>
        <v/>
      </c>
      <c r="D67" s="58">
        <f>'Nach Mannschaften sortiert'!D76</f>
        <v/>
      </c>
      <c r="E67" s="127">
        <f>'Nach Mannschaften sortiert'!E76</f>
        <v/>
      </c>
      <c r="F67" s="57">
        <f>'Nach Mannschaften sortiert'!F76</f>
        <v/>
      </c>
      <c r="G67" s="57">
        <f>'Nach Mannschaften sortiert'!G76</f>
        <v/>
      </c>
      <c r="H67" s="57">
        <f>'Nach Mannschaften sortiert'!H76</f>
        <v/>
      </c>
    </row>
    <row r="68" hidden="1" s="123">
      <c r="A68" s="57">
        <f>'Nach Mannschaften sortiert'!A77</f>
        <v/>
      </c>
      <c r="B68" s="57">
        <f>'Nach Mannschaften sortiert'!B77</f>
        <v/>
      </c>
      <c r="C68" s="57">
        <f>'Nach Mannschaften sortiert'!C77</f>
        <v/>
      </c>
      <c r="D68" s="58">
        <f>'Nach Mannschaften sortiert'!D77</f>
        <v/>
      </c>
      <c r="E68" s="127">
        <f>'Nach Mannschaften sortiert'!E77</f>
        <v/>
      </c>
      <c r="F68" s="57">
        <f>'Nach Mannschaften sortiert'!F77</f>
        <v/>
      </c>
      <c r="G68" s="57">
        <f>'Nach Mannschaften sortiert'!G77</f>
        <v/>
      </c>
      <c r="H68" s="57">
        <f>'Nach Mannschaften sortiert'!H77</f>
        <v/>
      </c>
    </row>
    <row r="69" hidden="1" s="123">
      <c r="A69" s="57">
        <f>'Nach Mannschaften sortiert'!A83</f>
        <v/>
      </c>
      <c r="B69" s="57">
        <f>'Nach Mannschaften sortiert'!B83</f>
        <v/>
      </c>
      <c r="C69" s="57">
        <f>'Nach Mannschaften sortiert'!C83</f>
        <v/>
      </c>
      <c r="D69" s="58">
        <f>'Nach Mannschaften sortiert'!D83</f>
        <v/>
      </c>
      <c r="E69" s="127">
        <f>'Nach Mannschaften sortiert'!E83</f>
        <v/>
      </c>
      <c r="F69" s="57">
        <f>'Nach Mannschaften sortiert'!F83</f>
        <v/>
      </c>
      <c r="G69" s="57">
        <f>'Nach Mannschaften sortiert'!G83</f>
        <v/>
      </c>
      <c r="H69" s="57">
        <f>'Nach Mannschaften sortiert'!H83</f>
        <v/>
      </c>
    </row>
    <row r="70">
      <c r="A70" s="51">
        <f>'Nach Mannschaften sortiert'!A63</f>
        <v/>
      </c>
      <c r="B70" s="51">
        <f>'Nach Mannschaften sortiert'!B63</f>
        <v/>
      </c>
      <c r="C70" s="51">
        <f>'Nach Mannschaften sortiert'!C63</f>
        <v/>
      </c>
      <c r="D70" s="52">
        <f>'Nach Mannschaften sortiert'!D63</f>
        <v/>
      </c>
      <c r="E70" s="129">
        <f>'Nach Mannschaften sortiert'!E63</f>
        <v/>
      </c>
      <c r="F70" s="51">
        <f>'Nach Mannschaften sortiert'!F63</f>
        <v/>
      </c>
      <c r="G70" s="51">
        <f>'Nach Mannschaften sortiert'!G63</f>
        <v/>
      </c>
      <c r="H70" s="51">
        <f>'Nach Mannschaften sortiert'!H63</f>
        <v/>
      </c>
    </row>
    <row r="71" hidden="1" s="123">
      <c r="A71" s="57">
        <f>'Nach Mannschaften sortiert'!A85</f>
        <v/>
      </c>
      <c r="B71" s="57">
        <f>'Nach Mannschaften sortiert'!B85</f>
        <v/>
      </c>
      <c r="C71" s="57">
        <f>'Nach Mannschaften sortiert'!C85</f>
        <v/>
      </c>
      <c r="D71" s="58">
        <f>'Nach Mannschaften sortiert'!D85</f>
        <v/>
      </c>
      <c r="E71" s="127">
        <f>'Nach Mannschaften sortiert'!E85</f>
        <v/>
      </c>
      <c r="F71" s="57">
        <f>'Nach Mannschaften sortiert'!F85</f>
        <v/>
      </c>
      <c r="G71" s="57">
        <f>'Nach Mannschaften sortiert'!G85</f>
        <v/>
      </c>
      <c r="H71" s="57">
        <f>'Nach Mannschaften sortiert'!H85</f>
        <v/>
      </c>
    </row>
    <row r="72" hidden="1" s="123">
      <c r="A72" s="57">
        <f>'Nach Mannschaften sortiert'!A86</f>
        <v/>
      </c>
      <c r="B72" s="57">
        <f>'Nach Mannschaften sortiert'!B86</f>
        <v/>
      </c>
      <c r="C72" s="57">
        <f>'Nach Mannschaften sortiert'!C86</f>
        <v/>
      </c>
      <c r="D72" s="58">
        <f>'Nach Mannschaften sortiert'!D86</f>
        <v/>
      </c>
      <c r="E72" s="127">
        <f>'Nach Mannschaften sortiert'!E86</f>
        <v/>
      </c>
      <c r="F72" s="57">
        <f>'Nach Mannschaften sortiert'!F86</f>
        <v/>
      </c>
      <c r="G72" s="57">
        <f>'Nach Mannschaften sortiert'!G86</f>
        <v/>
      </c>
      <c r="H72" s="57">
        <f>'Nach Mannschaften sortiert'!H86</f>
        <v/>
      </c>
    </row>
    <row r="73" hidden="1" s="123">
      <c r="A73" s="57">
        <f>'Nach Mannschaften sortiert'!A92</f>
        <v/>
      </c>
      <c r="B73" s="57">
        <f>'Nach Mannschaften sortiert'!B92</f>
        <v/>
      </c>
      <c r="C73" s="57">
        <f>'Nach Mannschaften sortiert'!C92</f>
        <v/>
      </c>
      <c r="D73" s="58">
        <f>'Nach Mannschaften sortiert'!D92</f>
        <v/>
      </c>
      <c r="E73" s="127">
        <f>'Nach Mannschaften sortiert'!E92</f>
        <v/>
      </c>
      <c r="F73" s="57">
        <f>'Nach Mannschaften sortiert'!F92</f>
        <v/>
      </c>
      <c r="G73" s="57">
        <f>'Nach Mannschaften sortiert'!G92</f>
        <v/>
      </c>
      <c r="H73" s="57">
        <f>'Nach Mannschaften sortiert'!H92</f>
        <v/>
      </c>
    </row>
    <row r="74" hidden="1" s="123">
      <c r="A74" s="57">
        <f>'Nach Mannschaften sortiert'!A93</f>
        <v/>
      </c>
      <c r="B74" s="57">
        <f>'Nach Mannschaften sortiert'!B93</f>
        <v/>
      </c>
      <c r="C74" s="57">
        <f>'Nach Mannschaften sortiert'!C93</f>
        <v/>
      </c>
      <c r="D74" s="58">
        <f>'Nach Mannschaften sortiert'!D93</f>
        <v/>
      </c>
      <c r="E74" s="127">
        <f>'Nach Mannschaften sortiert'!E93</f>
        <v/>
      </c>
      <c r="F74" s="57">
        <f>'Nach Mannschaften sortiert'!F93</f>
        <v/>
      </c>
      <c r="G74" s="57">
        <f>'Nach Mannschaften sortiert'!G93</f>
        <v/>
      </c>
      <c r="H74" s="57">
        <f>'Nach Mannschaften sortiert'!H93</f>
        <v/>
      </c>
    </row>
    <row r="75">
      <c r="A75" s="51">
        <f>'Nach Mannschaften sortiert'!A18</f>
        <v/>
      </c>
      <c r="B75" s="51">
        <f>'Nach Mannschaften sortiert'!B18</f>
        <v/>
      </c>
      <c r="C75" s="51">
        <f>'Nach Mannschaften sortiert'!C18</f>
        <v/>
      </c>
      <c r="D75" s="52">
        <f>'Nach Mannschaften sortiert'!D18</f>
        <v/>
      </c>
      <c r="E75" s="129">
        <f>'Nach Mannschaften sortiert'!E18</f>
        <v/>
      </c>
      <c r="F75" s="51">
        <f>'Nach Mannschaften sortiert'!F18</f>
        <v/>
      </c>
      <c r="G75" s="51">
        <f>'Nach Mannschaften sortiert'!G18</f>
        <v/>
      </c>
      <c r="H75" s="51">
        <f>'Nach Mannschaften sortiert'!H18</f>
        <v/>
      </c>
    </row>
    <row r="76" hidden="1" s="123">
      <c r="A76" s="57">
        <f>'Nach Mannschaften sortiert'!A95</f>
        <v/>
      </c>
      <c r="B76" s="57">
        <f>'Nach Mannschaften sortiert'!B95</f>
        <v/>
      </c>
      <c r="C76" s="57">
        <f>'Nach Mannschaften sortiert'!C95</f>
        <v/>
      </c>
      <c r="D76" s="58">
        <f>'Nach Mannschaften sortiert'!D95</f>
        <v/>
      </c>
      <c r="E76" s="127">
        <f>'Nach Mannschaften sortiert'!E95</f>
        <v/>
      </c>
      <c r="F76" s="57">
        <f>'Nach Mannschaften sortiert'!F95</f>
        <v/>
      </c>
      <c r="G76" s="57">
        <f>'Nach Mannschaften sortiert'!G95</f>
        <v/>
      </c>
      <c r="H76" s="57">
        <f>'Nach Mannschaften sortiert'!H95</f>
        <v/>
      </c>
    </row>
    <row r="77" hidden="1" s="123">
      <c r="A77" s="57">
        <f>'Nach Mannschaften sortiert'!A101</f>
        <v/>
      </c>
      <c r="B77" s="57">
        <f>'Nach Mannschaften sortiert'!B101</f>
        <v/>
      </c>
      <c r="C77" s="57">
        <f>'Nach Mannschaften sortiert'!C101</f>
        <v/>
      </c>
      <c r="D77" s="58">
        <f>'Nach Mannschaften sortiert'!D101</f>
        <v/>
      </c>
      <c r="E77" s="127">
        <f>'Nach Mannschaften sortiert'!E101</f>
        <v/>
      </c>
      <c r="F77" s="57">
        <f>'Nach Mannschaften sortiert'!F101</f>
        <v/>
      </c>
      <c r="G77" s="57">
        <f>'Nach Mannschaften sortiert'!G101</f>
        <v/>
      </c>
      <c r="H77" s="57">
        <f>'Nach Mannschaften sortiert'!H101</f>
        <v/>
      </c>
    </row>
    <row r="78" hidden="1" s="123">
      <c r="A78" s="57">
        <f>'Nach Mannschaften sortiert'!A102</f>
        <v/>
      </c>
      <c r="B78" s="57">
        <f>'Nach Mannschaften sortiert'!B102</f>
        <v/>
      </c>
      <c r="C78" s="57">
        <f>'Nach Mannschaften sortiert'!C102</f>
        <v/>
      </c>
      <c r="D78" s="58">
        <f>'Nach Mannschaften sortiert'!D102</f>
        <v/>
      </c>
      <c r="E78" s="127">
        <f>'Nach Mannschaften sortiert'!E102</f>
        <v/>
      </c>
      <c r="F78" s="57">
        <f>'Nach Mannschaften sortiert'!F102</f>
        <v/>
      </c>
      <c r="G78" s="57">
        <f>'Nach Mannschaften sortiert'!G102</f>
        <v/>
      </c>
      <c r="H78" s="57">
        <f>'Nach Mannschaften sortiert'!H102</f>
        <v/>
      </c>
    </row>
    <row r="79" hidden="1" s="123">
      <c r="A79" s="57">
        <f>'Nach Mannschaften sortiert'!A103</f>
        <v/>
      </c>
      <c r="B79" s="57">
        <f>'Nach Mannschaften sortiert'!B103</f>
        <v/>
      </c>
      <c r="C79" s="57">
        <f>'Nach Mannschaften sortiert'!C103</f>
        <v/>
      </c>
      <c r="D79" s="58">
        <f>'Nach Mannschaften sortiert'!D103</f>
        <v/>
      </c>
      <c r="E79" s="127">
        <f>'Nach Mannschaften sortiert'!E103</f>
        <v/>
      </c>
      <c r="F79" s="57">
        <f>'Nach Mannschaften sortiert'!F103</f>
        <v/>
      </c>
      <c r="G79" s="57">
        <f>'Nach Mannschaften sortiert'!G103</f>
        <v/>
      </c>
      <c r="H79" s="57">
        <f>'Nach Mannschaften sortiert'!H103</f>
        <v/>
      </c>
    </row>
    <row r="80">
      <c r="A80" s="51">
        <f>'Nach Mannschaften sortiert'!A65</f>
        <v/>
      </c>
      <c r="B80" s="51">
        <f>'Nach Mannschaften sortiert'!B65</f>
        <v/>
      </c>
      <c r="C80" s="51">
        <f>'Nach Mannschaften sortiert'!C65</f>
        <v/>
      </c>
      <c r="D80" s="52">
        <f>'Nach Mannschaften sortiert'!D65</f>
        <v/>
      </c>
      <c r="E80" s="129">
        <f>'Nach Mannschaften sortiert'!E65</f>
        <v/>
      </c>
      <c r="F80" s="51">
        <f>'Nach Mannschaften sortiert'!F65</f>
        <v/>
      </c>
      <c r="G80" s="51">
        <f>'Nach Mannschaften sortiert'!G65</f>
        <v/>
      </c>
      <c r="H80" s="51">
        <f>'Nach Mannschaften sortiert'!H65</f>
        <v/>
      </c>
    </row>
    <row r="81">
      <c r="A81" s="51">
        <f>'Nach Mannschaften sortiert'!#REF!</f>
        <v/>
      </c>
      <c r="B81" s="51">
        <f>'Nach Mannschaften sortiert'!#REF!</f>
        <v/>
      </c>
      <c r="C81" s="51">
        <f>'Nach Mannschaften sortiert'!#REF!</f>
        <v/>
      </c>
      <c r="D81" s="52">
        <f>'Nach Mannschaften sortiert'!#REF!</f>
        <v/>
      </c>
      <c r="E81" s="129">
        <f>'Nach Mannschaften sortiert'!#REF!</f>
        <v/>
      </c>
      <c r="F81" s="51">
        <f>'Nach Mannschaften sortiert'!#REF!</f>
        <v/>
      </c>
      <c r="G81" s="51">
        <f>'Nach Mannschaften sortiert'!#REF!</f>
        <v/>
      </c>
      <c r="H81" s="51">
        <f>'Nach Mannschaften sortiert'!#REF!</f>
        <v/>
      </c>
    </row>
    <row r="82">
      <c r="A82" s="51">
        <f>'Nach Mannschaften sortiert'!A41</f>
        <v/>
      </c>
      <c r="B82" s="51">
        <f>'Nach Mannschaften sortiert'!B41</f>
        <v/>
      </c>
      <c r="C82" s="51">
        <f>'Nach Mannschaften sortiert'!C41</f>
        <v/>
      </c>
      <c r="D82" s="52">
        <f>'Nach Mannschaften sortiert'!D41</f>
        <v/>
      </c>
      <c r="E82" s="129">
        <f>'Nach Mannschaften sortiert'!E41</f>
        <v/>
      </c>
      <c r="F82" s="51">
        <f>'Nach Mannschaften sortiert'!F41</f>
        <v/>
      </c>
      <c r="G82" s="51">
        <f>'Nach Mannschaften sortiert'!G41</f>
        <v/>
      </c>
      <c r="H82" s="51">
        <f>'Nach Mannschaften sortiert'!H41</f>
        <v/>
      </c>
    </row>
    <row r="83">
      <c r="A83" s="57">
        <f>'Nach Mannschaften sortiert'!#REF!</f>
        <v/>
      </c>
      <c r="B83" s="57">
        <f>'Nach Mannschaften sortiert'!#REF!</f>
        <v/>
      </c>
      <c r="C83" s="57">
        <f>'Nach Mannschaften sortiert'!#REF!</f>
        <v/>
      </c>
      <c r="D83" s="58">
        <f>'Nach Mannschaften sortiert'!#REF!</f>
        <v/>
      </c>
      <c r="E83" s="127">
        <f>'Nach Mannschaften sortiert'!#REF!</f>
        <v/>
      </c>
      <c r="F83" s="57">
        <f>'Nach Mannschaften sortiert'!#REF!</f>
        <v/>
      </c>
      <c r="G83" s="57">
        <f>'Nach Mannschaften sortiert'!#REF!</f>
        <v/>
      </c>
      <c r="H83" s="57">
        <f>'Nach Mannschaften sortiert'!#REF!</f>
        <v/>
      </c>
    </row>
    <row r="84">
      <c r="A84" s="57">
        <f>'Nach Mannschaften sortiert'!A122</f>
        <v/>
      </c>
      <c r="B84" s="57">
        <f>'Nach Mannschaften sortiert'!B122</f>
        <v/>
      </c>
      <c r="C84" s="57">
        <f>'Nach Mannschaften sortiert'!C122</f>
        <v/>
      </c>
      <c r="D84" s="58">
        <f>'Nach Mannschaften sortiert'!D122</f>
        <v/>
      </c>
      <c r="E84" s="127">
        <f>'Nach Mannschaften sortiert'!E122</f>
        <v/>
      </c>
      <c r="F84" s="57">
        <f>'Nach Mannschaften sortiert'!F122</f>
        <v/>
      </c>
      <c r="G84" s="57">
        <f>'Nach Mannschaften sortiert'!G122</f>
        <v/>
      </c>
      <c r="H84" s="57">
        <f>'Nach Mannschaften sortiert'!H122</f>
        <v/>
      </c>
    </row>
  </sheetData>
  <autoFilter ref="A1:H84">
    <filterColumn colId="5" hiddenButton="0" showButton="1">
      <filters>
        <filter val="Neufeld"/>
      </filters>
    </filterColumn>
    <filterColumn colId="7" hiddenButton="0" showButton="1">
      <filters>
        <filter val="Heim"/>
      </filters>
    </filterColumn>
    <sortState ref="A3:H84">
      <sortCondition ref="D1:D84"/>
    </sortState>
  </autoFilter>
  <pageMargins left="0.7" right="0.7" top="0.787401575" bottom="0.7874015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3" sqref="A3"/>
    </sheetView>
  </sheetViews>
  <sheetFormatPr baseColWidth="10" defaultRowHeight="14.4"/>
  <sheetData>
    <row r="1">
      <c r="A1" t="inlineStr">
        <is>
          <t>U11</t>
        </is>
      </c>
      <c r="B1" t="inlineStr">
        <is>
          <t xml:space="preserve">25 - 26.04 </t>
        </is>
      </c>
      <c r="C1" t="inlineStr">
        <is>
          <t>freihalten</t>
        </is>
      </c>
    </row>
    <row r="2">
      <c r="A2" t="inlineStr">
        <is>
          <t>U9</t>
        </is>
      </c>
      <c r="B2" t="inlineStr">
        <is>
          <t>04.06. - 08.06.</t>
        </is>
      </c>
      <c r="C2" t="inlineStr">
        <is>
          <t>kein Turnier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 filterMode="1">
    <outlinePr summaryBelow="1" summaryRight="1"/>
    <pageSetUpPr fitToPage="1"/>
  </sheetPr>
  <dimension ref="A1:K87"/>
  <sheetViews>
    <sheetView zoomScale="90" zoomScaleNormal="90" workbookViewId="0">
      <selection activeCell="E6" sqref="E6"/>
    </sheetView>
  </sheetViews>
  <sheetFormatPr baseColWidth="10" defaultRowHeight="14.4"/>
  <cols>
    <col width="24.109375" bestFit="1" customWidth="1" style="57" min="1" max="1"/>
    <col width="29" bestFit="1" customWidth="1" style="132" min="2" max="2"/>
    <col width="19.33203125" customWidth="1" style="127" min="3" max="3"/>
    <col width="18.33203125" customWidth="1" style="57" min="4" max="4"/>
    <col width="33.109375" bestFit="1" customWidth="1" style="57" min="5" max="5"/>
    <col width="12.5546875" bestFit="1" customWidth="1" style="57" min="6" max="6"/>
    <col width="24.6640625" customWidth="1" style="57" min="7" max="7"/>
    <col width="12" customWidth="1" style="57" min="8" max="8"/>
    <col width="12" bestFit="1" customWidth="1" style="57" min="9" max="9"/>
    <col width="44.109375" bestFit="1" customWidth="1" style="57" min="10" max="10"/>
    <col width="40.44140625" bestFit="1" customWidth="1" style="57" min="11" max="11"/>
  </cols>
  <sheetData>
    <row r="1" ht="22.8" customHeight="1" s="123">
      <c r="A1" s="59" t="inlineStr">
        <is>
          <t>Mannschaft</t>
        </is>
      </c>
      <c r="B1" s="133" t="inlineStr">
        <is>
          <t>fixierter Termin</t>
        </is>
      </c>
      <c r="C1" s="134" t="inlineStr">
        <is>
          <t>Uhrzeit</t>
        </is>
      </c>
      <c r="D1" s="59" t="inlineStr">
        <is>
          <t>Ort</t>
        </is>
      </c>
      <c r="E1" s="59" t="inlineStr">
        <is>
          <t>Gegner</t>
        </is>
      </c>
      <c r="F1" s="59" t="inlineStr">
        <is>
          <t>Spielfeld</t>
        </is>
      </c>
      <c r="G1" s="59" t="inlineStr">
        <is>
          <t>Spielfeldgröße</t>
        </is>
      </c>
      <c r="H1" s="59" t="inlineStr">
        <is>
          <t>Tore</t>
        </is>
      </c>
      <c r="I1" s="59" t="inlineStr">
        <is>
          <t>Ball</t>
        </is>
      </c>
      <c r="J1" s="59" t="inlineStr">
        <is>
          <t>Trainer/Ansprechpartner</t>
        </is>
      </c>
      <c r="K1" s="59" t="inlineStr">
        <is>
          <t>Tel</t>
        </is>
      </c>
    </row>
    <row r="2" ht="15.6" customHeight="1" s="123">
      <c r="A2" s="60" t="inlineStr">
        <is>
          <t>U8</t>
        </is>
      </c>
      <c r="B2" s="135" t="n">
        <v>46091</v>
      </c>
      <c r="C2" s="136" t="n">
        <v>0.6875</v>
      </c>
      <c r="D2" s="60" t="inlineStr">
        <is>
          <t>Neufeld</t>
        </is>
      </c>
      <c r="E2" s="60" t="inlineStr">
        <is>
          <t>Freundschaftsspiel Großhöflein</t>
        </is>
      </c>
      <c r="F2" s="60" t="inlineStr">
        <is>
          <t>U8</t>
        </is>
      </c>
      <c r="G2" s="60">
        <f>IF(F2="Großfeld","Großfeld",IF(F2="U16","Großfeld",IF(F2="U15","Großfeld",IF(F2="U14","Großfeld",IF(F2="U13","75x55",IF(F2="U11/U12","55x40",IF(F2="U9/U10","40x25",IF(F2="U8","29x22","25x20"))))))))</f>
        <v/>
      </c>
      <c r="H2" s="60">
        <f>IF(F2="Großfeld","7,32x2,44",IF(F2="U16","7,32x2,44",IF(F2="U15","7,32x2,44",IF(F2="U14","7,32x2,44",IF(F2="U13","5x2",IF(F2="U11/U12","5x2",IF(F2="U9/U10","5x2","4 Minitore")))))))</f>
        <v/>
      </c>
      <c r="I2" s="60">
        <f>IF(F2="Großfeld","5",IF(F2="U16","5",IF(F2="U15","5",IF(F2="U14","4",IF(F2="U13","4",IF(F2="U11/U12","4",IF(F2="U9/U10","4",IF(F2="U9","4","3"))))))))</f>
        <v/>
      </c>
      <c r="J2" s="60">
        <f>IF(A2="KM Neufeld","Pleninger Stefan",IF(A2="U16 LL","Josch Kögl",IF(A2="U15 LL Nord","Serdar Ekinci",IF(A2="U14 Nord","Gernot Servelda",IF(A2="U13 Nord","Thomas Pöschl &amp; Lenz Honc",IF(A2="U11 Nord D","Mario Magler&amp;Ronny Archam",IF(A2="U9","Thomas Brandl&amp;Daniel Hofbauer",IF(A2="U8","Berger Tobias&amp;Sebastian Putric",IF(A2="U7","Türkes Ömer&amp;Mahsumi Taha",IF(A2="Camp","Berger Dieter",IF(A2="Turnier","Berger Dieter","FEHLER")))))))))))</f>
        <v/>
      </c>
      <c r="K2" s="60">
        <f>IF(A2="KM Neufeld","+43 664 415 99 09",IF(A2="U16 LL","+43 650 262 82 63",IF(A2="U15 LL Nord","+43 650 701 02 44",IF(A2="U14 Nord","+43 676 401 09 13",IF(A2="U13 Nord","+43 677 613 55 114 &amp; +43 664 114 43 52",IF(A2="U11 Nord D","+43 664 762 09 93 &amp; +43 699 111 93 828",IF(A2="U9","+43 676 377 16 30 &amp;  +43 399 197 871 81",IF(A2="U8","+43 660 199 13 52 &amp;  +43 660 914 92 36",IF(A2="U7","+43 676 661 62 26 &amp;  +43 681 208 115 99",IF(A2="Camp","+43 660 77 39 500",IF(A2="Turnier","+43 660 77 39 500","FEHLER")))))))))))</f>
        <v/>
      </c>
    </row>
    <row r="3" hidden="1" s="123">
      <c r="A3">
        <f>Heimspiele!C4</f>
        <v/>
      </c>
      <c r="B3" s="137">
        <f>Heimspiele!D4</f>
        <v/>
      </c>
      <c r="C3" s="137" t="n"/>
      <c r="D3">
        <f>Heimspiele!F4</f>
        <v/>
      </c>
      <c r="E3">
        <f>Heimspiele!G4</f>
        <v/>
      </c>
      <c r="F3" t="inlineStr">
        <is>
          <t>Großfeld</t>
        </is>
      </c>
      <c r="G3">
        <f>IF(F3="Großfeld","Großfeld",IF(F3="U16","Großfeld",IF(F3="U15","Großfeld",IF(F3="U14","Großfeld",IF(F3="U13","75x55",IF(F3="U11/U12","55x40",IF(F3="U9/U10","40x25",IF(F3="U8","29x22","25x20"))))))))</f>
        <v/>
      </c>
      <c r="H3">
        <f>IF(F3="Großfeld","7,32x2,44",IF(F3="U16","7,32x2,44",IF(F3="U15","7,32x2,44",IF(F3="U14","7,32x2,44",IF(F3="U13","5x2",IF(F3="U11/U12","5x2",IF(F3="U9/U10","5x2","4 Minitore")))))))</f>
        <v/>
      </c>
      <c r="I3">
        <f>IF(F3="Großfeld","5",IF(F3="U16","5",IF(F3="U15","5",IF(F3="U14","4",IF(F3="U13","4",IF(F3="U11/U12","4",IF(F3="U9/U10","4",IF(F3="U9","4","3"))))))))</f>
        <v/>
      </c>
      <c r="J3">
        <f>IF(A3="KM Neufeld","Pleninger Stefan",IF(A3="U16 LL","Josch Kögl",IF(A3="U15 LL Nord","Serdar Ekinci",IF(A3="U14 Nord","Gernot Servelda",IF(A3="U13 - Nord","Thomas Pöschl &amp; Lenz Honc",IF(A3="U11 Nord D","Mario Magler&amp;Ronny Archam",IF(A3="U9","Thomas Brandl&amp;Daniel Hofbauer",IF(A3="U8","Berger Tobias&amp;Sebastian Putric",IF(A3="U7","Türkes Ömer&amp;Mahsumi Taha",IF(A3="Camp","Berger Dieter",IF(A3="Turnier","Berger Dieter","FEHLER")))))))))))</f>
        <v/>
      </c>
      <c r="K3">
        <f>IF(A3="KM Neufeld","+43 664 415 99 09",IF(A3="U16 LL","+43 650 262 82 63",IF(A3="U15 LL Nord","+43 650 701 02 44",IF(A3="U14 - Nord","+43 676 401 09 13",IF(A3="U13 - Nord","+43 677 613 55 114 &amp; +43 664 114 43 52",IF(A3="U11 Nord D","+43 664 762 09 93 &amp; +43 699 111 93 828",IF(A3="U9","+43 676 377 16 30 &amp;  +43 399 197 871 81",IF(A3="U8","+43 660 199 13 52 &amp;  +43 660 914 92 36",IF(A3="U7","+43 676 661 62 26 &amp;  +43 681 208 115 99",IF(A3="Camp","+43 660 77 39 500",IF(A3="Turnier","+43 660 77 39 500","FEHLER")))))))))))</f>
        <v/>
      </c>
    </row>
    <row r="4" ht="15.6" customHeight="1" s="123">
      <c r="A4" s="60" t="inlineStr">
        <is>
          <t>U16 LL</t>
        </is>
      </c>
      <c r="B4" s="135" t="n">
        <v>46095</v>
      </c>
      <c r="C4" s="136" t="n">
        <v>0.5416666666666666</v>
      </c>
      <c r="D4" s="60" t="inlineStr">
        <is>
          <t>Neufeld</t>
        </is>
      </c>
      <c r="E4" s="60" t="inlineStr">
        <is>
          <t>Freundschaftspiel Felixdorf</t>
        </is>
      </c>
      <c r="F4" s="60" t="inlineStr">
        <is>
          <t>U16</t>
        </is>
      </c>
      <c r="G4" s="60">
        <f>IF(F4="Großfeld","Großfeld",IF(F4="U16","Großfeld",IF(F4="U15","Großfeld",IF(F4="U14","Großfeld",IF(F4="U13","75x55",IF(F4="U11/U12","55x40",IF(F4="U9/U10","40x25",IF(F4="U8","29x22","25x20"))))))))</f>
        <v/>
      </c>
      <c r="H4" s="60">
        <f>IF(F4="Großfeld","7,32x2,44",IF(F4="U16","7,32x2,44",IF(F4="U15","7,32x2,44",IF(F4="U14","7,32x2,44",IF(F4="U13","5x2",IF(F4="U11/U12","5x2",IF(F4="U9/U10","5x2",IF(F3="Turnier","5x2","4 Minitore"))))))))</f>
        <v/>
      </c>
      <c r="I4" s="60">
        <f>IF(F4="Großfeld","5",IF(F4="U16","5",IF(F4="U15","5",IF(F4="U14","4",IF(F4="U13","4",IF(F4="U11/U12","4",IF(F4="U9/U10","4",IF(F4="U9","4","3"))))))))</f>
        <v/>
      </c>
      <c r="J4" s="60">
        <f>IF(A4="KM Neufeld","Pleninger Stefan",IF(A4="U16 LL","Josch Kögl",IF(A4="U15 LL Nord","Serdar Ekinci",IF(A4="U14 Nord","Gernot Servelda",IF(A4="U13 Nord","Thomas Pöschl &amp; Lenz Honc",IF(A4="U11 Nord D","Mario Magler&amp;Ronny Archam",IF(A4="U9","Thomas Brandl&amp;Daniel Hofbauer",IF(A4="U8","Berger Tobias&amp;Sebastian Putric",IF(A4="U7","Türkes Ömer&amp;Mahsumi Taha",IF(A4="Camp","Berger Dieter",IF(A4="Turnier","Berger Dieter","FEHLER")))))))))))</f>
        <v/>
      </c>
      <c r="K4" s="60">
        <f>IF(A4="KM Neufeld","+43 664 415 99 09",IF(A4="U16 LL","+43 650 262 82 63",IF(A4="U15 LL Nord","+43 650 701 02 44",IF(A4="U14 Nord","+43 676 401 09 13",IF(A4="U13 Nord","+43 677 613 55 114 &amp; +43 664 114 43 52",IF(A4="U11 Nord D","+43 664 762 09 93 &amp; +43 699 111 93 828",IF(A4="U9","+43 676 377 16 30 &amp;  +43 399 197 871 81",IF(A4="U8","+43 660 199 13 52 &amp;  +43 660 914 92 36",IF(A4="U7","+43 676 661 62 26 &amp;  +43 681 208 115 99",IF(A4="Camp","+43 660 77 39 500",IF(A4="Turnier","+43 660 77 39 500","FEHLER")))))))))))</f>
        <v/>
      </c>
    </row>
    <row r="5" hidden="1" s="123">
      <c r="A5">
        <f>Heimspiele!C6</f>
        <v/>
      </c>
      <c r="B5" s="137">
        <f>Heimspiele!D6</f>
        <v/>
      </c>
      <c r="C5" s="137" t="n"/>
      <c r="D5">
        <f>Heimspiele!F6</f>
        <v/>
      </c>
      <c r="E5">
        <f>Heimspiele!G6</f>
        <v/>
      </c>
      <c r="F5" t="inlineStr">
        <is>
          <t>Großfeld</t>
        </is>
      </c>
      <c r="G5">
        <f>IF(F5="Großfeld","Großfeld",IF(F5="U16","Großfeld",IF(F5="U15","Großfeld",IF(F5="U14","Großfeld",IF(F5="U13","75x55",IF(F5="U11/U12","55x40",IF(F5="U9/U10","40x25",IF(F5="U8","29x22","25x20"))))))))</f>
        <v/>
      </c>
      <c r="H5">
        <f>IF(F5="Großfeld","7,32x2,44",IF(F5="U16","7,32x2,44",IF(F5="U15","7,32x2,44",IF(F5="U14","7,32x2,44",IF(F5="U13","5x2",IF(F5="U11/U12","5x2",IF(F5="U9/U10","5x2","4 Minitore")))))))</f>
        <v/>
      </c>
      <c r="I5">
        <f>IF(F5="Großfeld","5",IF(F5="U16","5",IF(F5="U15","5",IF(F5="U14","4",IF(F5="U13","4",IF(F5="U11/U12","4",IF(F5="U9/U10","4",IF(F5="U9","4","3"))))))))</f>
        <v/>
      </c>
      <c r="J5">
        <f>IF(A5="KM Neufeld","Pleninger Stefan",IF(A5="U16 LL","Josch Kögl",IF(A5="U15 LL Nord","Serdar Ekinci",IF(A5="U14 Nord","Gernot Servelda",IF(A5="U13 - Nord","Thomas Pöschl &amp; Lenz Honc",IF(A5="U11 Nord D","Mario Magler&amp;Ronny Archam",IF(A5="U9","Thomas Brandl&amp;Daniel Hofbauer",IF(A5="U8","Berger Tobias&amp;Sebastian Putric",IF(A5="U7","Türkes Ömer&amp;Mahsumi Taha",IF(A5="Camp","Berger Dieter",IF(A5="Turnier","Berger Dieter","FEHLER")))))))))))</f>
        <v/>
      </c>
      <c r="K5">
        <f>IF(A5="KM Neufeld","+43 664 415 99 09",IF(A5="U16 LL","+43 650 262 82 63",IF(A5="U15 LL Nord","+43 650 701 02 44",IF(A5="U14 - Nord","+43 676 401 09 13",IF(A5="U13 - Nord","+43 677 613 55 114 &amp; +43 664 114 43 52",IF(A5="U11 Nord D","+43 664 762 09 93 &amp; +43 699 111 93 828",IF(A5="U9","+43 676 377 16 30 &amp;  +43 399 197 871 81",IF(A5="U8","+43 660 199 13 52 &amp;  +43 660 914 92 36",IF(A5="U7","+43 676 661 62 26 &amp;  +43 681 208 115 99",IF(A5="Camp","+43 660 77 39 500",IF(A5="Turnier","+43 660 77 39 500","FEHLER")))))))))))</f>
        <v/>
      </c>
    </row>
    <row r="6" ht="15.6" customHeight="1" s="123">
      <c r="A6" s="60" t="inlineStr">
        <is>
          <t>U15 LL Nord</t>
        </is>
      </c>
      <c r="B6" s="135" t="n">
        <v>46096</v>
      </c>
      <c r="C6" s="136" t="n">
        <v>0.4583333333333333</v>
      </c>
      <c r="D6" s="60" t="inlineStr">
        <is>
          <t>Neufeld</t>
        </is>
      </c>
      <c r="E6" s="60" t="inlineStr">
        <is>
          <t>Freundschaftsspiel Baden</t>
        </is>
      </c>
      <c r="F6" s="60" t="inlineStr">
        <is>
          <t>U15</t>
        </is>
      </c>
      <c r="G6" s="60">
        <f>IF(F6="Großfeld","Großfeld",IF(F6="U16","Großfeld",IF(F6="U15","Großfeld",IF(F6="U14","Großfeld",IF(F6="U13","75x55",IF(F6="U11/U12","55x40",IF(F6="U9/U10","40x25",IF(F6="U8","29x22","25x20"))))))))</f>
        <v/>
      </c>
      <c r="H6" s="60">
        <f>IF(F6="Großfeld","7,32x2,44",IF(F6="U16","7,32x2,44",IF(F6="U15","7,32x2,44",IF(F6="U14","7,32x2,44",IF(F6="U13","5x2",IF(F6="U11/U12","5x2",IF(F6="U9/U10","5x2",IF(F5="Turnier","5x2","4 Minitore"))))))))</f>
        <v/>
      </c>
      <c r="I6" s="60">
        <f>IF(F6="Großfeld","5",IF(F6="U16","5",IF(F6="U15","5",IF(F6="U14","4",IF(F6="U13","4",IF(F6="U11/U12","4",IF(F6="U9/U10","4",IF(F6="U9","4","3"))))))))</f>
        <v/>
      </c>
      <c r="J6" s="60">
        <f>IF(A6="KM Neufeld","Pleninger Stefan",IF(A6="U16 LL","Josch Kögl",IF(A6="U15 LL Nord","Serdar Ekinci",IF(A6="U14 Nord","Gernot Servelda",IF(A6="U13 Nord","Thomas Pöschl &amp; Lenz Honc",IF(A6="U11 Nord D","Mario Magler&amp;Ronny Archam",IF(A6="U9","Thomas Brandl&amp;Daniel Hofbauer",IF(A6="U8","Berger Tobias&amp;Sebastian Putric",IF(A6="U7","Türkes Ömer&amp;Mahsumi Taha",IF(A6="Camp","Berger Dieter",IF(A6="Turnier","Berger Dieter","FEHLER")))))))))))</f>
        <v/>
      </c>
      <c r="K6" s="60">
        <f>IF(A6="KM Neufeld","+43 664 415 99 09",IF(A6="U16 LL","+43 650 262 82 63",IF(A6="U15 LL Nord","+43 650 701 02 44",IF(A6="U14 Nord","+43 676 401 09 13",IF(A6="U13 Nord","+43 677 613 55 114 &amp; +43 664 114 43 52",IF(A6="U11 Nord D","+43 664 762 09 93 &amp; +43 699 111 93 828",IF(A6="U9","+43 676 377 16 30 &amp;  +43 399 197 871 81",IF(A6="U8","+43 660 199 13 52 &amp;  +43 660 914 92 36",IF(A6="U7","+43 676 661 62 26 &amp;  +43 681 208 115 99",IF(A6="Camp","+43 660 77 39 500",IF(A6="Turnier","+43 660 77 39 500","FEHLER")))))))))))</f>
        <v/>
      </c>
    </row>
    <row r="7" hidden="1" s="123">
      <c r="A7">
        <f>Heimspiele!C8</f>
        <v/>
      </c>
      <c r="B7" s="137">
        <f>Heimspiele!D8</f>
        <v/>
      </c>
      <c r="C7" s="137" t="n"/>
      <c r="D7">
        <f>Heimspiele!F8</f>
        <v/>
      </c>
      <c r="E7">
        <f>Heimspiele!G8</f>
        <v/>
      </c>
      <c r="F7" t="inlineStr">
        <is>
          <t>Großfeld</t>
        </is>
      </c>
      <c r="G7">
        <f>IF(F7="Großfeld","Großfeld",IF(F7="U16","Großfeld",IF(F7="U15","Großfeld",IF(F7="U14","Großfeld",IF(F7="U13","75x55",IF(F7="U11/U12","55x40",IF(F7="U9/U10","40x25",IF(F7="U8","29x22","25x20"))))))))</f>
        <v/>
      </c>
      <c r="H7">
        <f>IF(F7="Großfeld","7,32x2,44",IF(F7="U16","7,32x2,44",IF(F7="U15","7,32x2,44",IF(F7="U14","7,32x2,44",IF(F7="U13","5x2",IF(F7="U11/U12","5x2",IF(F7="U9/U10","5x2","4 Minitore")))))))</f>
        <v/>
      </c>
      <c r="I7">
        <f>IF(F7="Großfeld","5",IF(F7="U16","5",IF(F7="U15","5",IF(F7="U14","4",IF(F7="U13","4",IF(F7="U11/U12","4",IF(F7="U9/U10","4",IF(F7="U9","4","3"))))))))</f>
        <v/>
      </c>
      <c r="J7">
        <f>IF(A7="KM Neufeld","Pleninger Stefan",IF(A7="U16 LL","Josch Kögl",IF(A7="U15 LL Nord","Serdar Ekinci",IF(A7="U14 Nord","Gernot Servelda",IF(A7="U13 - Nord","Thomas Pöschl &amp; Lenz Honc",IF(A7="U11 Nord D","Mario Magler&amp;Ronny Archam",IF(A7="U9","Thomas Brandl&amp;Daniel Hofbauer",IF(A7="U8","Berger Tobias&amp;Sebastian Putric",IF(A7="U7","Türkes Ömer&amp;Mahsumi Taha",IF(A7="Camp","Berger Dieter",IF(A7="Turnier","Berger Dieter","FEHLER")))))))))))</f>
        <v/>
      </c>
      <c r="K7">
        <f>IF(A7="KM Neufeld","+43 664 415 99 09",IF(A7="U16 LL","+43 650 262 82 63",IF(A7="U15 LL Nord","+43 650 701 02 44",IF(A7="U14 - Nord","+43 676 401 09 13",IF(A7="U13 - Nord","+43 677 613 55 114 &amp; +43 664 114 43 52",IF(A7="U11 Nord D","+43 664 762 09 93 &amp; +43 699 111 93 828",IF(A7="U9","+43 676 377 16 30 &amp;  +43 399 197 871 81",IF(A7="U8","+43 660 199 13 52 &amp;  +43 660 914 92 36",IF(A7="U7","+43 676 661 62 26 &amp;  +43 681 208 115 99",IF(A7="Camp","+43 660 77 39 500",IF(A7="Turnier","+43 660 77 39 500","FEHLER")))))))))))</f>
        <v/>
      </c>
    </row>
    <row r="8" ht="15.6" customHeight="1" s="123">
      <c r="A8" s="60" t="inlineStr">
        <is>
          <t>U11 Nord D</t>
        </is>
      </c>
      <c r="B8" s="135" t="n">
        <v>46102</v>
      </c>
      <c r="C8" s="136" t="n">
        <v>0.5</v>
      </c>
      <c r="D8" s="60" t="inlineStr">
        <is>
          <t>Neufeld</t>
        </is>
      </c>
      <c r="E8" s="60" t="inlineStr">
        <is>
          <t>Freundschaftspiel Pöttsching</t>
        </is>
      </c>
      <c r="F8" s="60" t="inlineStr">
        <is>
          <t>U11/U12</t>
        </is>
      </c>
      <c r="G8" s="60">
        <f>IF(F8="Großfeld","Großfeld",IF(F8="U16","Großfeld",IF(F8="U15","Großfeld",IF(F8="U14","Großfeld",IF(F8="U13","75x55",IF(F8="U11/U12","55x40",IF(F8="U9/U10","40x25",IF(F8="U8","29x22","25x20"))))))))</f>
        <v/>
      </c>
      <c r="H8" s="60">
        <f>IF(F8="Großfeld","7,32x2,44",IF(F8="U16","7,32x2,44",IF(F8="U15","7,32x2,44",IF(F8="U14","7,32x2,44",IF(F8="U13","5x2",IF(F8="U11/U12","5x2",IF(F8="U9/U10","5x2",IF(F7="Turnier","5x2","4 Minitore"))))))))</f>
        <v/>
      </c>
      <c r="I8" s="60">
        <f>IF(F8="Großfeld","5",IF(F8="U16","5",IF(F8="U15","5",IF(F8="U14","4",IF(F8="U13","4",IF(F8="U11/U12","4",IF(F8="U9/U10","4",IF(F8="U9","4","3"))))))))</f>
        <v/>
      </c>
      <c r="J8" s="60">
        <f>IF(A8="KM Neufeld","Pleninger Stefan",IF(A8="U16 LL","Josch Kögl",IF(A8="U15 LL Nord","Serdar Ekinci",IF(A8="U14 Nord","Gernot Servelda",IF(A8="U13 Nord","Thomas Pöschl &amp; Lenz Honc",IF(A8="U11 Nord D","Mario Magler&amp;Ronny Archam",IF(A8="U9","Thomas Brandl&amp;Daniel Hofbauer",IF(A8="U8","Berger Tobias&amp;Sebastian Putric",IF(A8="U7","Türkes Ömer&amp;Mahsumi Taha",IF(A8="Camp","Berger Dieter",IF(A8="Turnier","Berger Dieter","FEHLER")))))))))))</f>
        <v/>
      </c>
      <c r="K8" s="60">
        <f>IF(A8="KM Neufeld","+43 664 415 99 09",IF(A8="U16 LL","+43 650 262 82 63",IF(A8="U15 LL Nord","+43 650 701 02 44",IF(A8="U14 Nord","+43 676 401 09 13",IF(A8="U13 Nord","+43 677 613 55 114 &amp; +43 664 114 43 52",IF(A8="U11 Nord D","+43 664 762 09 93 &amp; +43 699 111 93 828",IF(A8="U9","+43 676 377 16 30 &amp;  +43 399 197 871 81",IF(A8="U8","+43 660 199 13 52 &amp;  +43 660 914 92 36",IF(A8="U7","+43 676 661 62 26 &amp;  +43 681 208 115 99",IF(A8="Camp","+43 660 77 39 500",IF(A8="Turnier","+43 660 77 39 500","FEHLER")))))))))))</f>
        <v/>
      </c>
    </row>
    <row r="9" hidden="1" s="123">
      <c r="A9">
        <f>Heimspiele!C10</f>
        <v/>
      </c>
      <c r="B9" s="137">
        <f>Heimspiele!D10</f>
        <v/>
      </c>
      <c r="C9" s="137" t="n"/>
      <c r="D9">
        <f>Heimspiele!F10</f>
        <v/>
      </c>
      <c r="E9">
        <f>Heimspiele!G10</f>
        <v/>
      </c>
      <c r="F9" t="inlineStr">
        <is>
          <t>Großfeld</t>
        </is>
      </c>
      <c r="G9">
        <f>IF(F9="Großfeld","Großfeld",IF(F9="U16","Großfeld",IF(F9="U15","Großfeld",IF(F9="U14","Großfeld",IF(F9="U13","75x55",IF(F9="U11/U12","55x40",IF(F9="U9/U10","40x25",IF(F9="U8","29x22","25x20"))))))))</f>
        <v/>
      </c>
      <c r="H9">
        <f>IF(F9="Großfeld","7,32x2,44",IF(F9="U16","7,32x2,44",IF(F9="U15","7,32x2,44",IF(F9="U14","7,32x2,44",IF(F9="U13","5x2",IF(F9="U11/U12","5x2",IF(F9="U9/U10","5x2","4 Minitore")))))))</f>
        <v/>
      </c>
      <c r="I9">
        <f>IF(F9="Großfeld","5",IF(F9="U16","5",IF(F9="U15","5",IF(F9="U14","4",IF(F9="U13","4",IF(F9="U11/U12","4",IF(F9="U9/U10","4",IF(F9="U9","4","3"))))))))</f>
        <v/>
      </c>
      <c r="J9">
        <f>IF(A9="KM Neufeld","Pleninger Stefan",IF(A9="U16 LL","Josch Kögl",IF(A9="U15 LL Nord","Serdar Ekinci",IF(A9="U14 Nord","Gernot Servelda",IF(A9="U13 - Nord","Thomas Pöschl &amp; Lenz Honc",IF(A9="U11 Nord D","Mario Magler&amp;Ronny Archam",IF(A9="U9","Thomas Brandl&amp;Daniel Hofbauer",IF(A9="U8","Berger Tobias&amp;Sebastian Putric",IF(A9="U7","Türkes Ömer&amp;Mahsumi Taha",IF(A9="Camp","Berger Dieter",IF(A9="Turnier","Berger Dieter","FEHLER")))))))))))</f>
        <v/>
      </c>
      <c r="K9">
        <f>IF(A9="KM Neufeld","+43 664 415 99 09",IF(A9="U16 LL","+43 650 262 82 63",IF(A9="U15 LL Nord","+43 650 701 02 44",IF(A9="U14 - Nord","+43 676 401 09 13",IF(A9="U13 - Nord","+43 677 613 55 114 &amp; +43 664 114 43 52",IF(A9="U11 Nord D","+43 664 762 09 93 &amp; +43 699 111 93 828",IF(A9="U9","+43 676 377 16 30 &amp;  +43 399 197 871 81",IF(A9="U8","+43 660 199 13 52 &amp;  +43 660 914 92 36",IF(A9="U7","+43 676 661 62 26 &amp;  +43 681 208 115 99",IF(A9="Camp","+43 660 77 39 500",IF(A9="Turnier","+43 660 77 39 500","FEHLER")))))))))))</f>
        <v/>
      </c>
    </row>
    <row r="10" ht="15.6" customHeight="1" s="123">
      <c r="A10" s="61">
        <f>Heimspiele!C3</f>
        <v/>
      </c>
      <c r="B10" s="138">
        <f>Heimspiele!D3</f>
        <v/>
      </c>
      <c r="C10" s="139">
        <f>Heimspiele!E3</f>
        <v/>
      </c>
      <c r="D10" s="61">
        <f>Heimspiele!F3</f>
        <v/>
      </c>
      <c r="E10" s="61">
        <f>Heimspiele!G3</f>
        <v/>
      </c>
      <c r="F10" s="61" t="inlineStr">
        <is>
          <t>Großfeld</t>
        </is>
      </c>
      <c r="G10" s="61">
        <f>IF(F10="Großfeld","Großfeld",IF(F10="U16","Großfeld",IF(F10="U15","Großfeld",IF(F10="U14","Großfeld",IF(F10="U13","75x55",IF(F10="U11/U12","55x40",IF(F10="U9/U10","40x25",IF(F10="U8","29x22","25x20"))))))))</f>
        <v/>
      </c>
      <c r="H10" s="61">
        <f>IF(F10="Großfeld","7,32x2,44",IF(F10="U16","7,32x2,44",IF(F10="U15","7,32x2,44",IF(F10="U14","7,32x2,44",IF(F10="U13","5x2",IF(F10="U11/U12","5x2",IF(F10="U9/U10","5x2","4 Minitore")))))))</f>
        <v/>
      </c>
      <c r="I10" s="61">
        <f>IF(F10="Großfeld","5",IF(F10="U16","5",IF(F10="U15","5",IF(F10="U14","4",IF(F10="U13","4",IF(F10="U11/U12","4",IF(F10="U9/U10","4",IF(F10="U9","4","3"))))))))</f>
        <v/>
      </c>
      <c r="J10" s="61">
        <f>IF(A10="KM Neufeld","Pleninger Stefan",IF(A10="U16 LL","Josch Kögl",IF(A10="U15 LL Nord","Serdar Ekinci",IF(A10="U14 Nord","Gernot Servelda",IF(A10="U13 Nord","Thomas Pöschl &amp; Lenz Honc",IF(A10="U11 Nord D","Mario Magler&amp;Ronny Archam",IF(A10="U9","Thomas Brandl&amp;Daniel Hofbauer",IF(A10="U8","Berger Tobias&amp;Sebastian Putric",IF(A10="U7","Türkes Ömer&amp;Mahsumi Taha",IF(A10="Camp","Berger Dieter",IF(A10="Turnier","Berger Dieter","FEHLER")))))))))))</f>
        <v/>
      </c>
      <c r="K10" s="61">
        <f>IF(A10="KM Neufeld","+43 664 415 99 09",IF(A10="U16 LL","+43 650 262 82 63",IF(A10="U15 LL Nord","+43 650 701 02 44",IF(A10="U14 Nord","+43 676 401 09 13",IF(A10="U13 Nord","+43 677 613 55 114 &amp; +43 664 114 43 52",IF(A10="U11 Nord D","+43 664 762 09 93 &amp; +43 699 111 93 828",IF(A10="U9","+43 676 377 16 30 &amp;  +43 399 197 871 81",IF(A10="U8","+43 660 199 13 52 &amp;  +43 660 914 92 36",IF(A10="U7","+43 676 661 62 26 &amp;  +43 681 208 115 99",IF(A10="Camp","+43 660 77 39 500",IF(A10="Turnier","+43 660 77 39 500","FEHLER")))))))))))</f>
        <v/>
      </c>
    </row>
    <row r="11" hidden="1" s="123">
      <c r="A11">
        <f>Heimspiele!C12</f>
        <v/>
      </c>
      <c r="B11" s="137">
        <f>Heimspiele!D12</f>
        <v/>
      </c>
      <c r="C11" s="137" t="n"/>
      <c r="D11">
        <f>Heimspiele!F12</f>
        <v/>
      </c>
      <c r="E11">
        <f>Heimspiele!G12</f>
        <v/>
      </c>
      <c r="F11" t="inlineStr">
        <is>
          <t>Großfeld</t>
        </is>
      </c>
      <c r="G11">
        <f>IF(F11="Großfeld","Großfeld",IF(F11="U16","Großfeld",IF(F11="U15","Großfeld",IF(F11="U14","Großfeld",IF(F11="U13","75x55",IF(F11="U11/U12","55x40",IF(F11="U9/U10","40x25",IF(F11="U8","29x22","25x20"))))))))</f>
        <v/>
      </c>
      <c r="H11">
        <f>IF(F11="Großfeld","7,32x2,44",IF(F11="U16","7,32x2,44",IF(F11="U15","7,32x2,44",IF(F11="U14","7,32x2,44",IF(F11="U13","5x2",IF(F11="U11/U12","5x2",IF(F11="U9/U10","5x2","4 Minitore")))))))</f>
        <v/>
      </c>
      <c r="I11">
        <f>IF(F11="Großfeld","5",IF(F11="U16","5",IF(F11="U15","5",IF(F11="U14","4",IF(F11="U13","4",IF(F11="U11/U12","4",IF(F11="U9/U10","4",IF(F11="U9","4","3"))))))))</f>
        <v/>
      </c>
      <c r="J11">
        <f>IF(A11="KM Neufeld","Pleninger Stefan",IF(A11="U16 LL","Josch Kögl",IF(A11="U15 LL Nord","Serdar Ekinci",IF(A11="U14 Nord","Gernot Servelda",IF(A11="U13 - Nord","Thomas Pöschl &amp; Lenz Honc",IF(A11="U11 Nord D","Mario Magler&amp;Ronny Archam",IF(A11="U9","Thomas Brandl&amp;Daniel Hofbauer",IF(A11="U8","Berger Tobias&amp;Sebastian Putric",IF(A11="U7","Türkes Ömer&amp;Mahsumi Taha",IF(A11="Camp","Berger Dieter",IF(A11="Turnier","Berger Dieter","FEHLER")))))))))))</f>
        <v/>
      </c>
      <c r="K11">
        <f>IF(A11="KM Neufeld","+43 664 415 99 09",IF(A11="U16 LL","+43 650 262 82 63",IF(A11="U15 LL Nord","+43 650 701 02 44",IF(A11="U14 - Nord","+43 676 401 09 13",IF(A11="U13 - Nord","+43 677 613 55 114 &amp; +43 664 114 43 52",IF(A11="U11 Nord D","+43 664 762 09 93 &amp; +43 699 111 93 828",IF(A11="U9","+43 676 377 16 30 &amp;  +43 399 197 871 81",IF(A11="U8","+43 660 199 13 52 &amp;  +43 660 914 92 36",IF(A11="U7","+43 676 661 62 26 &amp;  +43 681 208 115 99",IF(A11="Camp","+43 660 77 39 500",IF(A11="Turnier","+43 660 77 39 500","FEHLER")))))))))))</f>
        <v/>
      </c>
    </row>
    <row r="12" hidden="1" s="123">
      <c r="A12">
        <f>Heimspiele!C13</f>
        <v/>
      </c>
      <c r="B12" s="137">
        <f>Heimspiele!D13</f>
        <v/>
      </c>
      <c r="C12" s="137" t="n"/>
      <c r="D12">
        <f>Heimspiele!F13</f>
        <v/>
      </c>
      <c r="E12">
        <f>Heimspiele!G13</f>
        <v/>
      </c>
      <c r="F12" t="inlineStr">
        <is>
          <t>Großfeld</t>
        </is>
      </c>
      <c r="G12">
        <f>IF(F12="Großfeld","Großfeld",IF(F12="U16","Großfeld",IF(F12="U15","Großfeld",IF(F12="U14","Großfeld",IF(F12="U13","75x55",IF(F12="U11/U12","55x40",IF(F12="U9/U10","40x25",IF(F12="U8","29x22","25x20"))))))))</f>
        <v/>
      </c>
      <c r="H12">
        <f>IF(F12="Großfeld","7,32x2,44",IF(F12="U16","7,32x2,44",IF(F12="U15","7,32x2,44",IF(F12="U14","7,32x2,44",IF(F12="U13","5x2",IF(F12="U11/U12","5x2",IF(F12="U9/U10","5x2","4 Minitore")))))))</f>
        <v/>
      </c>
      <c r="I12">
        <f>IF(F12="Großfeld","5",IF(F12="U16","5",IF(F12="U15","5",IF(F12="U14","4",IF(F12="U13","4",IF(F12="U11/U12","4",IF(F12="U9/U10","4",IF(F12="U9","4","3"))))))))</f>
        <v/>
      </c>
      <c r="J12">
        <f>IF(A12="KM Neufeld","Pleninger Stefan",IF(A12="U16 LL","Josch Kögl",IF(A12="U15 LL Nord","Serdar Ekinci",IF(A12="U14 Nord","Gernot Servelda",IF(A12="U13 - Nord","Thomas Pöschl &amp; Lenz Honc",IF(A12="U11 Nord D","Mario Magler&amp;Ronny Archam",IF(A12="U9","Thomas Brandl&amp;Daniel Hofbauer",IF(A12="U8","Berger Tobias&amp;Sebastian Putric",IF(A12="U7","Türkes Ömer&amp;Mahsumi Taha",IF(A12="Camp","Berger Dieter",IF(A12="Turnier","Berger Dieter","FEHLER")))))))))))</f>
        <v/>
      </c>
      <c r="K12">
        <f>IF(A12="KM Neufeld","+43 664 415 99 09",IF(A12="U16 LL","+43 650 262 82 63",IF(A12="U15 LL Nord","+43 650 701 02 44",IF(A12="U14 - Nord","+43 676 401 09 13",IF(A12="U13 - Nord","+43 677 613 55 114 &amp; +43 664 114 43 52",IF(A12="U11 Nord D","+43 664 762 09 93 &amp; +43 699 111 93 828",IF(A12="U9","+43 676 377 16 30 &amp;  +43 399 197 871 81",IF(A12="U8","+43 660 199 13 52 &amp;  +43 660 914 92 36",IF(A12="U7","+43 676 661 62 26 &amp;  +43 681 208 115 99",IF(A12="Camp","+43 660 77 39 500",IF(A12="Turnier","+43 660 77 39 500","FEHLER")))))))))))</f>
        <v/>
      </c>
    </row>
    <row r="13" ht="15.6" customHeight="1" s="123">
      <c r="A13" s="61">
        <f>Heimspiele!C5</f>
        <v/>
      </c>
      <c r="B13" s="138">
        <f>Heimspiele!D5</f>
        <v/>
      </c>
      <c r="C13" s="139">
        <f>Heimspiele!E5</f>
        <v/>
      </c>
      <c r="D13" s="61">
        <f>Heimspiele!F5</f>
        <v/>
      </c>
      <c r="E13" s="61">
        <f>Heimspiele!G5</f>
        <v/>
      </c>
      <c r="F13" s="61" t="inlineStr">
        <is>
          <t>U14</t>
        </is>
      </c>
      <c r="G13" s="61">
        <f>IF(F13="Großfeld","Großfeld",IF(F13="U16","Großfeld",IF(F13="U15","Großfeld",IF(F13="U14","Großfeld",IF(F13="U13","75x55",IF(F13="U11/U12","55x40",IF(F13="U9/U10","40x25",IF(F13="U8","29x22","25x20"))))))))</f>
        <v/>
      </c>
      <c r="H13" s="61">
        <f>IF(F13="Großfeld","7,32x2,44",IF(F13="U16","7,32x2,44",IF(F13="U15","7,32x2,44",IF(F13="U14","7,32x2,44",IF(F13="U13","5x2",IF(F13="U11/U12","5x2",IF(F13="U9/U10","5x2","4 Minitore")))))))</f>
        <v/>
      </c>
      <c r="I13" s="61">
        <f>IF(F13="Großfeld","5",IF(F13="U16","5",IF(F13="U15","5",IF(F13="U14","4",IF(F13="U13","4",IF(F13="U11/U12","4",IF(F13="U9/U10","4",IF(F13="U9","4","3"))))))))</f>
        <v/>
      </c>
      <c r="J13" s="61">
        <f>IF(A13="KM Neufeld","Pleninger Stefan",IF(A13="U16 LL","Josch Kögl",IF(A13="U15 LL Nord","Serdar Ekinci",IF(A13="U14 Nord","Gernot Servelda",IF(A13="U13 Nord","Thomas Pöschl &amp; Lenz Honc",IF(A13="U11 Nord D","Mario Magler&amp;Ronny Archam",IF(A13="U9","Thomas Brandl&amp;Daniel Hofbauer",IF(A13="U8","Berger Tobias&amp;Sebastian Putric",IF(A13="U7","Türkes Ömer&amp;Mahsumi Taha",IF(A13="Camp","Berger Dieter",IF(A13="Turnier","Berger Dieter","FEHLER")))))))))))</f>
        <v/>
      </c>
      <c r="K13" s="61">
        <f>IF(A13="KM Neufeld","+43 664 415 99 09",IF(A13="U16 LL","+43 650 262 82 63",IF(A13="U15 LL Nord","+43 650 701 02 44",IF(A13="U14 Nord","+43 676 401 09 13",IF(A13="U13 Nord","+43 677 613 55 114 &amp; +43 664 114 43 52",IF(A13="U11 Nord D","+43 664 762 09 93 &amp; +43 699 111 93 828",IF(A13="U9","+43 676 377 16 30 &amp;  +43 399 197 871 81",IF(A13="U8","+43 660 199 13 52 &amp;  +43 660 914 92 36",IF(A13="U7","+43 676 661 62 26 &amp;  +43 681 208 115 99",IF(A13="Camp","+43 660 77 39 500",IF(A13="Turnier","+43 660 77 39 500","FEHLER")))))))))))</f>
        <v/>
      </c>
    </row>
    <row r="14" hidden="1" s="123">
      <c r="A14">
        <f>Heimspiele!C15</f>
        <v/>
      </c>
      <c r="B14" s="137">
        <f>Heimspiele!D15</f>
        <v/>
      </c>
      <c r="C14" s="137" t="n"/>
      <c r="D14">
        <f>Heimspiele!F15</f>
        <v/>
      </c>
      <c r="E14">
        <f>Heimspiele!G15</f>
        <v/>
      </c>
      <c r="F14" t="inlineStr">
        <is>
          <t>Großfeld</t>
        </is>
      </c>
      <c r="G14">
        <f>IF(F14="Großfeld","Großfeld",IF(F14="U16","Großfeld",IF(F14="U15","Großfeld",IF(F14="U14","Großfeld",IF(F14="U13","75x55",IF(F14="U11/U12","55x40",IF(F14="U9/U10","40x25",IF(F14="U8","29x22","25x20"))))))))</f>
        <v/>
      </c>
      <c r="H14">
        <f>IF(F14="Großfeld","7,32x2,44",IF(F14="U16","7,32x2,44",IF(F14="U15","7,32x2,44",IF(F14="U14","7,32x2,44",IF(F14="U13","5x2",IF(F14="U11/U12","5x2",IF(F14="U9/U10","5x2","4 Minitore")))))))</f>
        <v/>
      </c>
      <c r="I14">
        <f>IF(F14="Großfeld","5",IF(F14="U16","5",IF(F14="U15","5",IF(F14="U14","4",IF(F14="U13","4",IF(F14="U11/U12","4",IF(F14="U9/U10","4",IF(F14="U9","4","3"))))))))</f>
        <v/>
      </c>
      <c r="J14">
        <f>IF(A14="KM Neufeld","Pleninger Stefan",IF(A14="U16 LL","Josch Kögl",IF(A14="U15 LL Nord","Serdar Ekinci",IF(A14="U14 Nord","Gernot Servelda",IF(A14="U13 - Nord","Thomas Pöschl &amp; Lenz Honc",IF(A14="U11 Nord D","Mario Magler&amp;Ronny Archam",IF(A14="U9","Thomas Brandl&amp;Daniel Hofbauer",IF(A14="U8","Berger Tobias&amp;Sebastian Putric",IF(A14="U7","Türkes Ömer&amp;Mahsumi Taha",IF(A14="Camp","Berger Dieter",IF(A14="Turnier","Berger Dieter","FEHLER")))))))))))</f>
        <v/>
      </c>
      <c r="K14">
        <f>IF(A14="KM Neufeld","+43 664 415 99 09",IF(A14="U16 LL","+43 650 262 82 63",IF(A14="U15 LL Nord","+43 650 701 02 44",IF(A14="U14 - Nord","+43 676 401 09 13",IF(A14="U13 - Nord","+43 677 613 55 114 &amp; +43 664 114 43 52",IF(A14="U11 Nord D","+43 664 762 09 93 &amp; +43 699 111 93 828",IF(A14="U9","+43 676 377 16 30 &amp;  +43 399 197 871 81",IF(A14="U8","+43 660 199 13 52 &amp;  +43 660 914 92 36",IF(A14="U7","+43 676 661 62 26 &amp;  +43 681 208 115 99",IF(A14="Camp","+43 660 77 39 500",IF(A14="Turnier","+43 660 77 39 500","FEHLER")))))))))))</f>
        <v/>
      </c>
    </row>
    <row r="15" hidden="1" s="123">
      <c r="A15">
        <f>Heimspiele!C16</f>
        <v/>
      </c>
      <c r="B15" s="137">
        <f>Heimspiele!D16</f>
        <v/>
      </c>
      <c r="C15" s="137" t="n"/>
      <c r="D15">
        <f>Heimspiele!F16</f>
        <v/>
      </c>
      <c r="E15">
        <f>Heimspiele!G16</f>
        <v/>
      </c>
      <c r="F15" t="inlineStr">
        <is>
          <t>Großfeld</t>
        </is>
      </c>
      <c r="G15">
        <f>IF(F15="Großfeld","Großfeld",IF(F15="U16","Großfeld",IF(F15="U15","Großfeld",IF(F15="U14","Großfeld",IF(F15="U13","75x55",IF(F15="U11/U12","55x40",IF(F15="U9/U10","40x25",IF(F15="U8","29x22","25x20"))))))))</f>
        <v/>
      </c>
      <c r="H15">
        <f>IF(F15="Großfeld","7,32x2,44",IF(F15="U16","7,32x2,44",IF(F15="U15","7,32x2,44",IF(F15="U14","7,32x2,44",IF(F15="U13","5x2",IF(F15="U11/U12","5x2",IF(F15="U9/U10","5x2","4 Minitore")))))))</f>
        <v/>
      </c>
      <c r="I15">
        <f>IF(F15="Großfeld","5",IF(F15="U16","5",IF(F15="U15","5",IF(F15="U14","4",IF(F15="U13","4",IF(F15="U11/U12","4",IF(F15="U9/U10","4",IF(F15="U9","4","3"))))))))</f>
        <v/>
      </c>
      <c r="J15">
        <f>IF(A15="KM Neufeld","Pleninger Stefan",IF(A15="U16 LL","Josch Kögl",IF(A15="U15 LL Nord","Serdar Ekinci",IF(A15="U14 Nord","Gernot Servelda",IF(A15="U13 - Nord","Thomas Pöschl &amp; Lenz Honc",IF(A15="U11 Nord D","Mario Magler&amp;Ronny Archam",IF(A15="U9","Thomas Brandl&amp;Daniel Hofbauer",IF(A15="U8","Berger Tobias&amp;Sebastian Putric",IF(A15="U7","Türkes Ömer&amp;Mahsumi Taha",IF(A15="Camp","Berger Dieter",IF(A15="Turnier","Berger Dieter","FEHLER")))))))))))</f>
        <v/>
      </c>
      <c r="K15">
        <f>IF(A15="KM Neufeld","+43 664 415 99 09",IF(A15="U16 LL","+43 650 262 82 63",IF(A15="U15 LL Nord","+43 650 701 02 44",IF(A15="U14 - Nord","+43 676 401 09 13",IF(A15="U13 - Nord","+43 677 613 55 114 &amp; +43 664 114 43 52",IF(A15="U11 Nord D","+43 664 762 09 93 &amp; +43 699 111 93 828",IF(A15="U9","+43 676 377 16 30 &amp;  +43 399 197 871 81",IF(A15="U8","+43 660 199 13 52 &amp;  +43 660 914 92 36",IF(A15="U7","+43 676 661 62 26 &amp;  +43 681 208 115 99",IF(A15="Camp","+43 660 77 39 500",IF(A15="Turnier","+43 660 77 39 500","FEHLER")))))))))))</f>
        <v/>
      </c>
    </row>
    <row r="16" hidden="1" s="123">
      <c r="A16">
        <f>Heimspiele!C17</f>
        <v/>
      </c>
      <c r="B16" s="137">
        <f>Heimspiele!D17</f>
        <v/>
      </c>
      <c r="C16" s="137" t="n"/>
      <c r="D16">
        <f>Heimspiele!F17</f>
        <v/>
      </c>
      <c r="E16">
        <f>Heimspiele!G17</f>
        <v/>
      </c>
      <c r="F16" t="inlineStr">
        <is>
          <t>Großfeld</t>
        </is>
      </c>
      <c r="G16">
        <f>IF(F16="Großfeld","Großfeld",IF(F16="U16","Großfeld",IF(F16="U15","Großfeld",IF(F16="U14","Großfeld",IF(F16="U13","75x55",IF(F16="U11/U12","55x40",IF(F16="U9/U10","40x25",IF(F16="U8","29x22","25x20"))))))))</f>
        <v/>
      </c>
      <c r="H16">
        <f>IF(F16="Großfeld","7,32x2,44",IF(F16="U16","7,32x2,44",IF(F16="U15","7,32x2,44",IF(F16="U14","7,32x2,44",IF(F16="U13","5x2",IF(F16="U11/U12","5x2",IF(F16="U9/U10","5x2","4 Minitore")))))))</f>
        <v/>
      </c>
      <c r="I16">
        <f>IF(F16="Großfeld","5",IF(F16="U16","5",IF(F16="U15","5",IF(F16="U14","4",IF(F16="U13","4",IF(F16="U11/U12","4",IF(F16="U9/U10","4",IF(F16="U9","4","3"))))))))</f>
        <v/>
      </c>
      <c r="J16">
        <f>IF(A16="KM Neufeld","Pleninger Stefan",IF(A16="U16 LL","Josch Kögl",IF(A16="U15 LL Nord","Serdar Ekinci",IF(A16="U14 Nord","Gernot Servelda",IF(A16="U13 - Nord","Thomas Pöschl &amp; Lenz Honc",IF(A16="U11 Nord D","Mario Magler&amp;Ronny Archam",IF(A16="U9","Thomas Brandl&amp;Daniel Hofbauer",IF(A16="U8","Berger Tobias&amp;Sebastian Putric",IF(A16="U7","Türkes Ömer&amp;Mahsumi Taha",IF(A16="Camp","Berger Dieter",IF(A16="Turnier","Berger Dieter","FEHLER")))))))))))</f>
        <v/>
      </c>
      <c r="K16">
        <f>IF(A16="KM Neufeld","+43 664 415 99 09",IF(A16="U16 LL","+43 650 262 82 63",IF(A16="U15 LL Nord","+43 650 701 02 44",IF(A16="U14 - Nord","+43 676 401 09 13",IF(A16="U13 - Nord","+43 677 613 55 114 &amp; +43 664 114 43 52",IF(A16="U11 Nord D","+43 664 762 09 93 &amp; +43 699 111 93 828",IF(A16="U9","+43 676 377 16 30 &amp;  +43 399 197 871 81",IF(A16="U8","+43 660 199 13 52 &amp;  +43 660 914 92 36",IF(A16="U7","+43 676 661 62 26 &amp;  +43 681 208 115 99",IF(A16="Camp","+43 660 77 39 500",IF(A16="Turnier","+43 660 77 39 500","FEHLER")))))))))))</f>
        <v/>
      </c>
    </row>
    <row r="17" ht="15.6" customHeight="1" s="123">
      <c r="A17" s="61">
        <f>Heimspiele!C7</f>
        <v/>
      </c>
      <c r="B17" s="138">
        <f>Heimspiele!D7</f>
        <v/>
      </c>
      <c r="C17" s="139">
        <f>Heimspiele!E7</f>
        <v/>
      </c>
      <c r="D17" s="61">
        <f>Heimspiele!F7</f>
        <v/>
      </c>
      <c r="E17" s="61">
        <f>Heimspiele!G7</f>
        <v/>
      </c>
      <c r="F17" s="61" t="inlineStr">
        <is>
          <t>U13</t>
        </is>
      </c>
      <c r="G17" s="61">
        <f>IF(F17="Großfeld","Großfeld",IF(F17="U16","Großfeld",IF(F17="U15","Großfeld",IF(F17="U14","Großfeld",IF(F17="U13","75x55",IF(F17="U11/U12","55x40",IF(F17="U9/U10","40x25",IF(F17="U8","29x22","25x20"))))))))</f>
        <v/>
      </c>
      <c r="H17" s="61">
        <f>IF(F17="Großfeld","7,32x2,44",IF(F17="U16","7,32x2,44",IF(F17="U15","7,32x2,44",IF(F17="U14","7,32x2,44",IF(F17="U13","5x2",IF(F17="U11/U12","5x2",IF(F17="U9/U10","5x2","4 Minitore")))))))</f>
        <v/>
      </c>
      <c r="I17" s="61">
        <f>IF(F17="Großfeld","5",IF(F17="U16","5",IF(F17="U15","5",IF(F17="U14","4",IF(F17="U13","4",IF(F17="U11/U12","4",IF(F17="U9/U10","4",IF(F17="U9","4","3"))))))))</f>
        <v/>
      </c>
      <c r="J17" s="61">
        <f>IF(A17="KM Neufeld","Pleninger Stefan",IF(A17="U16 LL","Josch Kögl",IF(A17="U15 LL Nord","Serdar Ekinci",IF(A17="U14 Nord","Gernot Servelda",IF(A17="U13 Nord","Thomas Pöschl &amp; Lenz Honc",IF(A17="U11 Nord D","Mario Magler&amp;Ronny Archam",IF(A17="U9","Thomas Brandl&amp;Daniel Hofbauer",IF(A17="U8","Berger Tobias&amp;Sebastian Putric",IF(A17="U7","Türkes Ömer&amp;Mahsumi Taha",IF(A17="Camp","Berger Dieter",IF(A17="Turnier","Berger Dieter","FEHLER")))))))))))</f>
        <v/>
      </c>
      <c r="K17" s="61">
        <f>IF(A17="KM Neufeld","+43 664 415 99 09",IF(A17="U16 LL","+43 650 262 82 63",IF(A17="U15 LL Nord","+43 650 701 02 44",IF(A17="U14 Nord","+43 676 401 09 13",IF(A17="U13 Nord","+43 677 613 55 114 &amp; +43 664 114 43 52",IF(A17="U11 Nord D","+43 664 762 09 93 &amp; +43 699 111 93 828",IF(A17="U9","+43 676 377 16 30 &amp;  +43 399 197 871 81",IF(A17="U8","+43 660 199 13 52 &amp;  +43 660 914 92 36",IF(A17="U7","+43 676 661 62 26 &amp;  +43 681 208 115 99",IF(A17="Camp","+43 660 77 39 500",IF(A17="Turnier","+43 660 77 39 500","FEHLER")))))))))))</f>
        <v/>
      </c>
    </row>
    <row r="18" hidden="1" s="123">
      <c r="A18">
        <f>Heimspiele!C19</f>
        <v/>
      </c>
      <c r="B18" s="137">
        <f>Heimspiele!D19</f>
        <v/>
      </c>
      <c r="C18" s="137" t="n"/>
      <c r="D18">
        <f>Heimspiele!F19</f>
        <v/>
      </c>
      <c r="E18">
        <f>Heimspiele!G19</f>
        <v/>
      </c>
      <c r="F18" t="inlineStr">
        <is>
          <t>Großfeld</t>
        </is>
      </c>
      <c r="G18">
        <f>IF(F18="Großfeld","Großfeld",IF(F18="U16","Großfeld",IF(F18="U15","Großfeld",IF(F18="U14","Großfeld",IF(F18="U13","75x55",IF(F18="U11/U12","55x40",IF(F18="U9/U10","40x25",IF(F18="U8","29x22","25x20"))))))))</f>
        <v/>
      </c>
      <c r="H18">
        <f>IF(F18="Großfeld","7,32x2,44",IF(F18="U16","7,32x2,44",IF(F18="U15","7,32x2,44",IF(F18="U14","7,32x2,44",IF(F18="U13","5x2",IF(F18="U11/U12","5x2",IF(F18="U9/U10","5x2","4 Minitore")))))))</f>
        <v/>
      </c>
      <c r="I18">
        <f>IF(F18="Großfeld","5",IF(F18="U16","5",IF(F18="U15","5",IF(F18="U14","4",IF(F18="U13","4",IF(F18="U11/U12","4",IF(F18="U9/U10","4",IF(F18="U9","4","3"))))))))</f>
        <v/>
      </c>
      <c r="J18">
        <f>IF(A18="KM Neufeld","Pleninger Stefan",IF(A18="U16 LL","Josch Kögl",IF(A18="U15 LL Nord","Serdar Ekinci",IF(A18="U14 Nord","Gernot Servelda",IF(A18="U13 - Nord","Thomas Pöschl &amp; Lenz Honc",IF(A18="U11 Nord D","Mario Magler&amp;Ronny Archam",IF(A18="U9","Thomas Brandl&amp;Daniel Hofbauer",IF(A18="U8","Berger Tobias&amp;Sebastian Putric",IF(A18="U7","Türkes Ömer&amp;Mahsumi Taha",IF(A18="Camp","Berger Dieter",IF(A18="Turnier","Berger Dieter","FEHLER")))))))))))</f>
        <v/>
      </c>
      <c r="K18">
        <f>IF(A18="KM Neufeld","+43 664 415 99 09",IF(A18="U16 LL","+43 650 262 82 63",IF(A18="U15 LL Nord","+43 650 701 02 44",IF(A18="U14 - Nord","+43 676 401 09 13",IF(A18="U13 - Nord","+43 677 613 55 114 &amp; +43 664 114 43 52",IF(A18="U11 Nord D","+43 664 762 09 93 &amp; +43 699 111 93 828",IF(A18="U9","+43 676 377 16 30 &amp;  +43 399 197 871 81",IF(A18="U8","+43 660 199 13 52 &amp;  +43 660 914 92 36",IF(A18="U7","+43 676 661 62 26 &amp;  +43 681 208 115 99",IF(A18="Camp","+43 660 77 39 500",IF(A18="Turnier","+43 660 77 39 500","FEHLER")))))))))))</f>
        <v/>
      </c>
    </row>
    <row r="19" hidden="1" s="123">
      <c r="A19">
        <f>Heimspiele!C20</f>
        <v/>
      </c>
      <c r="B19" s="137">
        <f>Heimspiele!D20</f>
        <v/>
      </c>
      <c r="C19" s="137" t="n"/>
      <c r="D19">
        <f>Heimspiele!F20</f>
        <v/>
      </c>
      <c r="E19">
        <f>Heimspiele!G20</f>
        <v/>
      </c>
      <c r="F19" t="inlineStr">
        <is>
          <t>Großfeld</t>
        </is>
      </c>
      <c r="G19">
        <f>IF(F19="Großfeld","Großfeld",IF(F19="U16","Großfeld",IF(F19="U15","Großfeld",IF(F19="U14","Großfeld",IF(F19="U13","75x55",IF(F19="U11/U12","55x40",IF(F19="U9/U10","40x25",IF(F19="U8","29x22","25x20"))))))))</f>
        <v/>
      </c>
      <c r="H19">
        <f>IF(F19="Großfeld","7,32x2,44",IF(F19="U16","7,32x2,44",IF(F19="U15","7,32x2,44",IF(F19="U14","7,32x2,44",IF(F19="U13","5x2",IF(F19="U11/U12","5x2",IF(F19="U9/U10","5x2","4 Minitore")))))))</f>
        <v/>
      </c>
      <c r="I19">
        <f>IF(F19="Großfeld","5",IF(F19="U16","5",IF(F19="U15","5",IF(F19="U14","4",IF(F19="U13","4",IF(F19="U11/U12","4",IF(F19="U9/U10","4",IF(F19="U9","4","3"))))))))</f>
        <v/>
      </c>
      <c r="J19">
        <f>IF(A19="KM Neufeld","Pleninger Stefan",IF(A19="U16 LL","Josch Kögl",IF(A19="U15 LL Nord","Serdar Ekinci",IF(A19="U14 Nord","Gernot Servelda",IF(A19="U13 - Nord","Thomas Pöschl &amp; Lenz Honc",IF(A19="U11 Nord D","Mario Magler&amp;Ronny Archam",IF(A19="U9","Thomas Brandl&amp;Daniel Hofbauer",IF(A19="U8","Berger Tobias&amp;Sebastian Putric",IF(A19="U7","Türkes Ömer&amp;Mahsumi Taha",IF(A19="Camp","Berger Dieter",IF(A19="Turnier","Berger Dieter","FEHLER")))))))))))</f>
        <v/>
      </c>
      <c r="K19">
        <f>IF(A19="KM Neufeld","+43 664 415 99 09",IF(A19="U16 LL","+43 650 262 82 63",IF(A19="U15 LL Nord","+43 650 701 02 44",IF(A19="U14 - Nord","+43 676 401 09 13",IF(A19="U13 - Nord","+43 677 613 55 114 &amp; +43 664 114 43 52",IF(A19="U11 Nord D","+43 664 762 09 93 &amp; +43 699 111 93 828",IF(A19="U9","+43 676 377 16 30 &amp;  +43 399 197 871 81",IF(A19="U8","+43 660 199 13 52 &amp;  +43 660 914 92 36",IF(A19="U7","+43 676 661 62 26 &amp;  +43 681 208 115 99",IF(A19="Camp","+43 660 77 39 500",IF(A19="Turnier","+43 660 77 39 500","FEHLER")))))))))))</f>
        <v/>
      </c>
    </row>
    <row r="20" hidden="1" s="123">
      <c r="A20">
        <f>Heimspiele!C21</f>
        <v/>
      </c>
      <c r="B20" s="137">
        <f>Heimspiele!D21</f>
        <v/>
      </c>
      <c r="C20" s="137" t="n"/>
      <c r="D20">
        <f>Heimspiele!F21</f>
        <v/>
      </c>
      <c r="E20">
        <f>Heimspiele!G21</f>
        <v/>
      </c>
      <c r="F20" t="inlineStr">
        <is>
          <t>Großfeld</t>
        </is>
      </c>
      <c r="G20">
        <f>IF(F20="Großfeld","Großfeld",IF(F20="U16","Großfeld",IF(F20="U15","Großfeld",IF(F20="U14","Großfeld",IF(F20="U13","75x55",IF(F20="U11/U12","55x40",IF(F20="U9/U10","40x25",IF(F20="U8","29x22","25x20"))))))))</f>
        <v/>
      </c>
      <c r="H20">
        <f>IF(F20="Großfeld","7,32x2,44",IF(F20="U16","7,32x2,44",IF(F20="U15","7,32x2,44",IF(F20="U14","7,32x2,44",IF(F20="U13","5x2",IF(F20="U11/U12","5x2",IF(F20="U9/U10","5x2","4 Minitore")))))))</f>
        <v/>
      </c>
      <c r="I20">
        <f>IF(F20="Großfeld","5",IF(F20="U16","5",IF(F20="U15","5",IF(F20="U14","4",IF(F20="U13","4",IF(F20="U11/U12","4",IF(F20="U9/U10","4",IF(F20="U9","4","3"))))))))</f>
        <v/>
      </c>
      <c r="J20">
        <f>IF(A20="KM Neufeld","Pleninger Stefan",IF(A20="U16 LL","Josch Kögl",IF(A20="U15 LL Nord","Serdar Ekinci",IF(A20="U14 Nord","Gernot Servelda",IF(A20="U13 - Nord","Thomas Pöschl &amp; Lenz Honc",IF(A20="U11 Nord D","Mario Magler&amp;Ronny Archam",IF(A20="U9","Thomas Brandl&amp;Daniel Hofbauer",IF(A20="U8","Berger Tobias&amp;Sebastian Putric",IF(A20="U7","Türkes Ömer&amp;Mahsumi Taha",IF(A20="Camp","Berger Dieter",IF(A20="Turnier","Berger Dieter","FEHLER")))))))))))</f>
        <v/>
      </c>
      <c r="K20">
        <f>IF(A20="KM Neufeld","+43 664 415 99 09",IF(A20="U16 LL","+43 650 262 82 63",IF(A20="U15 LL Nord","+43 650 701 02 44",IF(A20="U14 - Nord","+43 676 401 09 13",IF(A20="U13 - Nord","+43 677 613 55 114 &amp; +43 664 114 43 52",IF(A20="U11 Nord D","+43 664 762 09 93 &amp; +43 699 111 93 828",IF(A20="U9","+43 676 377 16 30 &amp;  +43 399 197 871 81",IF(A20="U8","+43 660 199 13 52 &amp;  +43 660 914 92 36",IF(A20="U7","+43 676 661 62 26 &amp;  +43 681 208 115 99",IF(A20="Camp","+43 660 77 39 500",IF(A20="Turnier","+43 660 77 39 500","FEHLER")))))))))))</f>
        <v/>
      </c>
    </row>
    <row r="21" hidden="1" s="123">
      <c r="A21">
        <f>Heimspiele!C22</f>
        <v/>
      </c>
      <c r="B21" s="137">
        <f>Heimspiele!D22</f>
        <v/>
      </c>
      <c r="C21" s="137" t="n"/>
      <c r="D21">
        <f>Heimspiele!F22</f>
        <v/>
      </c>
      <c r="E21">
        <f>Heimspiele!G22</f>
        <v/>
      </c>
      <c r="F21" t="inlineStr">
        <is>
          <t>Großfeld</t>
        </is>
      </c>
      <c r="G21">
        <f>IF(F21="Großfeld","Großfeld",IF(F21="U16","Großfeld",IF(F21="U15","Großfeld",IF(F21="U14","Großfeld",IF(F21="U13","75x55",IF(F21="U11/U12","55x40",IF(F21="U9/U10","40x25",IF(F21="U8","29x22","25x20"))))))))</f>
        <v/>
      </c>
      <c r="H21">
        <f>IF(F21="Großfeld","7,32x2,44",IF(F21="U16","7,32x2,44",IF(F21="U15","7,32x2,44",IF(F21="U14","7,32x2,44",IF(F21="U13","5x2",IF(F21="U11/U12","5x2",IF(F21="U9/U10","5x2","4 Minitore")))))))</f>
        <v/>
      </c>
      <c r="I21">
        <f>IF(F21="Großfeld","5",IF(F21="U16","5",IF(F21="U15","5",IF(F21="U14","4",IF(F21="U13","4",IF(F21="U11/U12","4",IF(F21="U9/U10","4",IF(F21="U9","4","3"))))))))</f>
        <v/>
      </c>
      <c r="J21">
        <f>IF(A21="KM Neufeld","Pleninger Stefan",IF(A21="U16 LL","Josch Kögl",IF(A21="U15 LL Nord","Serdar Ekinci",IF(A21="U14 Nord","Gernot Servelda",IF(A21="U13 - Nord","Thomas Pöschl &amp; Lenz Honc",IF(A21="U11 Nord D","Mario Magler&amp;Ronny Archam",IF(A21="U9","Thomas Brandl&amp;Daniel Hofbauer",IF(A21="U8","Berger Tobias&amp;Sebastian Putric",IF(A21="U7","Türkes Ömer&amp;Mahsumi Taha",IF(A21="Camp","Berger Dieter",IF(A21="Turnier","Berger Dieter","FEHLER")))))))))))</f>
        <v/>
      </c>
      <c r="K21">
        <f>IF(A21="KM Neufeld","+43 664 415 99 09",IF(A21="U16 LL","+43 650 262 82 63",IF(A21="U15 LL Nord","+43 650 701 02 44",IF(A21="U14 - Nord","+43 676 401 09 13",IF(A21="U13 - Nord","+43 677 613 55 114 &amp; +43 664 114 43 52",IF(A21="U11 Nord D","+43 664 762 09 93 &amp; +43 699 111 93 828",IF(A21="U9","+43 676 377 16 30 &amp;  +43 399 197 871 81",IF(A21="U8","+43 660 199 13 52 &amp;  +43 660 914 92 36",IF(A21="U7","+43 676 661 62 26 &amp;  +43 681 208 115 99",IF(A21="Camp","+43 660 77 39 500",IF(A21="Turnier","+43 660 77 39 500","FEHLER")))))))))))</f>
        <v/>
      </c>
    </row>
    <row r="22" hidden="1" s="123">
      <c r="A22">
        <f>Heimspiele!C23</f>
        <v/>
      </c>
      <c r="B22" s="137">
        <f>Heimspiele!D23</f>
        <v/>
      </c>
      <c r="C22" s="137" t="n"/>
      <c r="D22">
        <f>Heimspiele!F23</f>
        <v/>
      </c>
      <c r="E22">
        <f>Heimspiele!G23</f>
        <v/>
      </c>
      <c r="F22" t="inlineStr">
        <is>
          <t>Großfeld</t>
        </is>
      </c>
      <c r="G22">
        <f>IF(F22="Großfeld","Großfeld",IF(F22="U16","Großfeld",IF(F22="U15","Großfeld",IF(F22="U14","Großfeld",IF(F22="U13","75x55",IF(F22="U11/U12","55x40",IF(F22="U9/U10","40x25",IF(F22="U8","29x22","25x20"))))))))</f>
        <v/>
      </c>
      <c r="H22">
        <f>IF(F22="Großfeld","7,32x2,44",IF(F22="U16","7,32x2,44",IF(F22="U15","7,32x2,44",IF(F22="U14","7,32x2,44",IF(F22="U13","5x2",IF(F22="U11/U12","5x2",IF(F22="U9/U10","5x2","4 Minitore")))))))</f>
        <v/>
      </c>
      <c r="I22">
        <f>IF(F22="Großfeld","5",IF(F22="U16","5",IF(F22="U15","5",IF(F22="U14","4",IF(F22="U13","4",IF(F22="U11/U12","4",IF(F22="U9/U10","4",IF(F22="U9","4","3"))))))))</f>
        <v/>
      </c>
      <c r="J22">
        <f>IF(A22="KM Neufeld","Pleninger Stefan",IF(A22="U16 LL","Josch Kögl",IF(A22="U15 LL Nord","Serdar Ekinci",IF(A22="U14 Nord","Gernot Servelda",IF(A22="U13 - Nord","Thomas Pöschl &amp; Lenz Honc",IF(A22="U11 Nord D","Mario Magler&amp;Ronny Archam",IF(A22="U9","Thomas Brandl&amp;Daniel Hofbauer",IF(A22="U8","Berger Tobias&amp;Sebastian Putric",IF(A22="U7","Türkes Ömer&amp;Mahsumi Taha",IF(A22="Camp","Berger Dieter",IF(A22="Turnier","Berger Dieter","FEHLER")))))))))))</f>
        <v/>
      </c>
      <c r="K22">
        <f>IF(A22="KM Neufeld","+43 664 415 99 09",IF(A22="U16 LL","+43 650 262 82 63",IF(A22="U15 LL Nord","+43 650 701 02 44",IF(A22="U14 - Nord","+43 676 401 09 13",IF(A22="U13 - Nord","+43 677 613 55 114 &amp; +43 664 114 43 52",IF(A22="U11 Nord D","+43 664 762 09 93 &amp; +43 699 111 93 828",IF(A22="U9","+43 676 377 16 30 &amp;  +43 399 197 871 81",IF(A22="U8","+43 660 199 13 52 &amp;  +43 660 914 92 36",IF(A22="U7","+43 676 661 62 26 &amp;  +43 681 208 115 99",IF(A22="Camp","+43 660 77 39 500",IF(A22="Turnier","+43 660 77 39 500","FEHLER")))))))))))</f>
        <v/>
      </c>
    </row>
    <row r="23" ht="15.6" customHeight="1" s="123">
      <c r="A23" s="60">
        <f>Heimspiele!C9</f>
        <v/>
      </c>
      <c r="B23" s="135">
        <f>Heimspiele!D9</f>
        <v/>
      </c>
      <c r="C23" s="136">
        <f>Heimspiele!E9</f>
        <v/>
      </c>
      <c r="D23" s="60">
        <f>Heimspiele!F9</f>
        <v/>
      </c>
      <c r="E23" s="60">
        <f>Heimspiele!G9</f>
        <v/>
      </c>
      <c r="F23" s="60" t="inlineStr">
        <is>
          <t>Großfeld</t>
        </is>
      </c>
      <c r="G23" s="60">
        <f>IF(F23="Großfeld","Großfeld",IF(F23="U16","Großfeld",IF(F23="U15","Großfeld",IF(F23="U14","Großfeld",IF(F23="U13","75x55",IF(F23="U11/U12","55x40",IF(F23="U9/U10","40x25",IF(F23="U8","29x22","25x20"))))))))</f>
        <v/>
      </c>
      <c r="H23" s="60" t="inlineStr">
        <is>
          <t>keine</t>
        </is>
      </c>
      <c r="I23" s="60" t="n">
        <v>3</v>
      </c>
      <c r="J23" s="60">
        <f>IF(A23="KM Neufeld","Pleninger Stefan",IF(A23="U16 LL","Josch Kögl",IF(A23="U15 LL Nord","Serdar Ekinci",IF(A23="U14 Nord","Gernot Servelda",IF(A23="U13 Nord","Thomas Pöschl &amp; Lenz Honc",IF(A23="U11 Nord D","Mario Magler&amp;Ronny Archam",IF(A23="U9","Thomas Brandl&amp;Daniel Hofbauer",IF(A23="U8","Berger Tobias&amp;Sebastian Putric",IF(A23="U7","Türkes Ömer&amp;Mahsumi Taha",IF(A23="Camp","Berger Dieter",IF(A23="Turnier","Berger Dieter","FEHLER")))))))))))</f>
        <v/>
      </c>
      <c r="K23" s="60">
        <f>IF(A23="KM Neufeld","+43 664 415 99 09",IF(A23="U16 LL","+43 650 262 82 63",IF(A23="U15 LL Nord","+43 650 701 02 44",IF(A23="U14 Nord","+43 676 401 09 13",IF(A23="U13 Nord","+43 677 613 55 114 &amp; +43 664 114 43 52",IF(A23="U11 Nord D","+43 664 762 09 93 &amp; +43 699 111 93 828",IF(A23="U9","+43 676 377 16 30 &amp;  +43 399 197 871 81",IF(A23="U8","+43 660 199 13 52 &amp;  +43 660 914 92 36",IF(A23="U7","+43 676 661 62 26 &amp;  +43 681 208 115 99",IF(A23="Camp","+43 660 77 39 500",IF(A23="Turnier","+43 660 77 39 500","FEHLER")))))))))))</f>
        <v/>
      </c>
    </row>
    <row r="24" hidden="1" s="123">
      <c r="A24">
        <f>Heimspiele!C25</f>
        <v/>
      </c>
      <c r="B24" s="137">
        <f>Heimspiele!D25</f>
        <v/>
      </c>
      <c r="C24" s="137" t="n"/>
      <c r="D24">
        <f>Heimspiele!F25</f>
        <v/>
      </c>
      <c r="E24">
        <f>Heimspiele!G25</f>
        <v/>
      </c>
      <c r="F24" t="inlineStr">
        <is>
          <t>Großfeld</t>
        </is>
      </c>
      <c r="G24">
        <f>IF(F24="Großfeld","Großfeld",IF(F24="U16","Großfeld",IF(F24="U15","Großfeld",IF(F24="U14","Großfeld",IF(F24="U13","75x55",IF(F24="U11/U12","55x40",IF(F24="U9/U10","40x25",IF(F24="U8","29x22","25x20"))))))))</f>
        <v/>
      </c>
      <c r="H24">
        <f>IF(F24="Großfeld","7,32x2,44",IF(F24="U16","7,32x2,44",IF(F24="U15","7,32x2,44",IF(F24="U14","7,32x2,44",IF(F24="U13","5x2",IF(F24="U11/U12","5x2",IF(F24="U9/U10","5x2","4 Minitore")))))))</f>
        <v/>
      </c>
      <c r="I24">
        <f>IF(F24="Großfeld","5",IF(F24="U16","5",IF(F24="U15","5",IF(F24="U14","4",IF(F24="U13","4",IF(F24="U11/U12","4",IF(F24="U9/U10","4",IF(F24="U9","4","3"))))))))</f>
        <v/>
      </c>
      <c r="J24">
        <f>IF(A24="KM Neufeld","Pleninger Stefan",IF(A24="U16 LL","Josch Kögl",IF(A24="U15 LL Nord","Serdar Ekinci",IF(A24="U14 Nord","Gernot Servelda",IF(A24="U13 - Nord","Thomas Pöschl &amp; Lenz Honc",IF(A24="U11 Nord D","Mario Magler&amp;Ronny Archam",IF(A24="U9","Thomas Brandl&amp;Daniel Hofbauer",IF(A24="U8","Berger Tobias&amp;Sebastian Putric",IF(A24="U7","Türkes Ömer&amp;Mahsumi Taha",IF(A24="Camp","Berger Dieter",IF(A24="Turnier","Berger Dieter","FEHLER")))))))))))</f>
        <v/>
      </c>
      <c r="K24">
        <f>IF(A24="KM Neufeld","+43 664 415 99 09",IF(A24="U16 LL","+43 650 262 82 63",IF(A24="U15 LL Nord","+43 650 701 02 44",IF(A24="U14 - Nord","+43 676 401 09 13",IF(A24="U13 - Nord","+43 677 613 55 114 &amp; +43 664 114 43 52",IF(A24="U11 Nord D","+43 664 762 09 93 &amp; +43 699 111 93 828",IF(A24="U9","+43 676 377 16 30 &amp;  +43 399 197 871 81",IF(A24="U8","+43 660 199 13 52 &amp;  +43 660 914 92 36",IF(A24="U7","+43 676 661 62 26 &amp;  +43 681 208 115 99",IF(A24="Camp","+43 660 77 39 500",IF(A24="Turnier","+43 660 77 39 500","FEHLER")))))))))))</f>
        <v/>
      </c>
    </row>
    <row r="25" ht="15.6" customHeight="1" s="123">
      <c r="A25" s="60">
        <f>Heimspiele!C11</f>
        <v/>
      </c>
      <c r="B25" s="135">
        <f>Heimspiele!D11</f>
        <v/>
      </c>
      <c r="C25" s="136">
        <f>Heimspiele!E11</f>
        <v/>
      </c>
      <c r="D25" s="60">
        <f>Heimspiele!F11</f>
        <v/>
      </c>
      <c r="E25" s="60">
        <f>Heimspiele!G11</f>
        <v/>
      </c>
      <c r="F25" s="60" t="inlineStr">
        <is>
          <t>Großfeld</t>
        </is>
      </c>
      <c r="G25" s="60">
        <f>IF(F25="Großfeld","Großfeld",IF(F25="U16","Großfeld",IF(F25="U15","Großfeld",IF(F25="U14","Großfeld",IF(F25="U13","75x55",IF(F25="U11/U12","55x40",IF(F25="U9/U10","40x25",IF(F25="U8","29x22","25x20"))))))))</f>
        <v/>
      </c>
      <c r="H25" s="60" t="inlineStr">
        <is>
          <t>keine</t>
        </is>
      </c>
      <c r="I25" s="60" t="n">
        <v>3</v>
      </c>
      <c r="J25" s="60">
        <f>IF(A25="KM Neufeld","Pleninger Stefan",IF(A25="U16 LL","Josch Kögl",IF(A25="U15 LL Nord","Serdar Ekinci",IF(A25="U14 Nord","Gernot Servelda",IF(A25="U13 Nord","Thomas Pöschl &amp; Lenz Honc",IF(A25="U11 Nord D","Mario Magler&amp;Ronny Archam",IF(A25="U9","Thomas Brandl&amp;Daniel Hofbauer",IF(A25="U8","Berger Tobias&amp;Sebastian Putric",IF(A25="U7","Türkes Ömer&amp;Mahsumi Taha",IF(A25="Camp","Berger Dieter",IF(A25="Turnier","Berger Dieter","FEHLER")))))))))))</f>
        <v/>
      </c>
      <c r="K25" s="60">
        <f>IF(A25="KM Neufeld","+43 664 415 99 09",IF(A25="U16 LL","+43 650 262 82 63",IF(A25="U15 LL Nord","+43 650 701 02 44",IF(A25="U14 Nord","+43 676 401 09 13",IF(A25="U13 Nord","+43 677 613 55 114 &amp; +43 664 114 43 52",IF(A25="U11 Nord D","+43 664 762 09 93 &amp; +43 699 111 93 828",IF(A25="U9","+43 676 377 16 30 &amp;  +43 399 197 871 81",IF(A25="U8","+43 660 199 13 52 &amp;  +43 660 914 92 36",IF(A25="U7","+43 676 661 62 26 &amp;  +43 681 208 115 99",IF(A25="Camp","+43 660 77 39 500",IF(A25="Turnier","+43 660 77 39 500","FEHLER")))))))))))</f>
        <v/>
      </c>
    </row>
    <row r="26" hidden="1" s="123">
      <c r="A26">
        <f>Heimspiele!C27</f>
        <v/>
      </c>
      <c r="B26" s="137">
        <f>Heimspiele!D27</f>
        <v/>
      </c>
      <c r="C26" s="137" t="n"/>
      <c r="D26">
        <f>Heimspiele!F27</f>
        <v/>
      </c>
      <c r="E26">
        <f>Heimspiele!G27</f>
        <v/>
      </c>
      <c r="F26" t="inlineStr">
        <is>
          <t>Großfeld</t>
        </is>
      </c>
      <c r="G26">
        <f>IF(F26="Großfeld","Großfeld",IF(F26="U16","Großfeld",IF(F26="U15","Großfeld",IF(F26="U14","Großfeld",IF(F26="U13","75x55",IF(F26="U11/U12","55x40",IF(F26="U9/U10","40x25",IF(F26="U8","29x22","25x20"))))))))</f>
        <v/>
      </c>
      <c r="H26">
        <f>IF(F26="Großfeld","7,32x2,44",IF(F26="U16","7,32x2,44",IF(F26="U15","7,32x2,44",IF(F26="U14","7,32x2,44",IF(F26="U13","5x2",IF(F26="U11/U12","5x2",IF(F26="U9/U10","5x2","4 Minitore")))))))</f>
        <v/>
      </c>
      <c r="I26">
        <f>IF(F26="Großfeld","5",IF(F26="U16","5",IF(F26="U15","5",IF(F26="U14","4",IF(F26="U13","4",IF(F26="U11/U12","4",IF(F26="U9/U10","4",IF(F26="U9","4","3"))))))))</f>
        <v/>
      </c>
      <c r="J26">
        <f>IF(A26="KM Neufeld","Pleninger Stefan",IF(A26="U16 LL","Josch Kögl",IF(A26="U15 LL Nord","Serdar Ekinci",IF(A26="U14 Nord","Gernot Servelda",IF(A26="U13 - Nord","Thomas Pöschl &amp; Lenz Honc",IF(A26="U11 Nord D","Mario Magler&amp;Ronny Archam",IF(A26="U9","Thomas Brandl&amp;Daniel Hofbauer",IF(A26="U8","Berger Tobias&amp;Sebastian Putric",IF(A26="U7","Türkes Ömer&amp;Mahsumi Taha",IF(A26="Camp","Berger Dieter",IF(A26="Turnier","Berger Dieter","FEHLER")))))))))))</f>
        <v/>
      </c>
      <c r="K26">
        <f>IF(A26="KM Neufeld","+43 664 415 99 09",IF(A26="U16 LL","+43 650 262 82 63",IF(A26="U15 LL Nord","+43 650 701 02 44",IF(A26="U14 - Nord","+43 676 401 09 13",IF(A26="U13 - Nord","+43 677 613 55 114 &amp; +43 664 114 43 52",IF(A26="U11 Nord D","+43 664 762 09 93 &amp; +43 699 111 93 828",IF(A26="U9","+43 676 377 16 30 &amp;  +43 399 197 871 81",IF(A26="U8","+43 660 199 13 52 &amp;  +43 660 914 92 36",IF(A26="U7","+43 676 661 62 26 &amp;  +43 681 208 115 99",IF(A26="Camp","+43 660 77 39 500",IF(A26="Turnier","+43 660 77 39 500","FEHLER")))))))))))</f>
        <v/>
      </c>
    </row>
    <row r="27" hidden="1" s="123">
      <c r="A27">
        <f>Heimspiele!C28</f>
        <v/>
      </c>
      <c r="B27" s="137">
        <f>Heimspiele!D28</f>
        <v/>
      </c>
      <c r="C27" s="137" t="n"/>
      <c r="D27">
        <f>Heimspiele!F28</f>
        <v/>
      </c>
      <c r="E27">
        <f>Heimspiele!G28</f>
        <v/>
      </c>
      <c r="F27" t="inlineStr">
        <is>
          <t>Großfeld</t>
        </is>
      </c>
      <c r="G27">
        <f>IF(F27="Großfeld","Großfeld",IF(F27="U16","Großfeld",IF(F27="U15","Großfeld",IF(F27="U14","Großfeld",IF(F27="U13","75x55",IF(F27="U11/U12","55x40",IF(F27="U9/U10","40x25",IF(F27="U8","29x22","25x20"))))))))</f>
        <v/>
      </c>
      <c r="H27">
        <f>IF(F27="Großfeld","7,32x2,44",IF(F27="U16","7,32x2,44",IF(F27="U15","7,32x2,44",IF(F27="U14","7,32x2,44",IF(F27="U13","5x2",IF(F27="U11/U12","5x2",IF(F27="U9/U10","5x2","4 Minitore")))))))</f>
        <v/>
      </c>
      <c r="I27">
        <f>IF(F27="Großfeld","5",IF(F27="U16","5",IF(F27="U15","5",IF(F27="U14","4",IF(F27="U13","4",IF(F27="U11/U12","4",IF(F27="U9/U10","4",IF(F27="U9","4","3"))))))))</f>
        <v/>
      </c>
      <c r="J27">
        <f>IF(A27="KM Neufeld","Pleninger Stefan",IF(A27="U16 LL","Josch Kögl",IF(A27="U15 LL Nord","Serdar Ekinci",IF(A27="U14 Nord","Gernot Servelda",IF(A27="U13 - Nord","Thomas Pöschl &amp; Lenz Honc",IF(A27="U11 Nord D","Mario Magler&amp;Ronny Archam",IF(A27="U9","Thomas Brandl&amp;Daniel Hofbauer",IF(A27="U8","Berger Tobias&amp;Sebastian Putric",IF(A27="U7","Türkes Ömer&amp;Mahsumi Taha",IF(A27="Camp","Berger Dieter",IF(A27="Turnier","Berger Dieter","FEHLER")))))))))))</f>
        <v/>
      </c>
      <c r="K27">
        <f>IF(A27="KM Neufeld","+43 664 415 99 09",IF(A27="U16 LL","+43 650 262 82 63",IF(A27="U15 LL Nord","+43 650 701 02 44",IF(A27="U14 - Nord","+43 676 401 09 13",IF(A27="U13 - Nord","+43 677 613 55 114 &amp; +43 664 114 43 52",IF(A27="U11 Nord D","+43 664 762 09 93 &amp; +43 699 111 93 828",IF(A27="U9","+43 676 377 16 30 &amp;  +43 399 197 871 81",IF(A27="U8","+43 660 199 13 52 &amp;  +43 660 914 92 36",IF(A27="U7","+43 676 661 62 26 &amp;  +43 681 208 115 99",IF(A27="Camp","+43 660 77 39 500",IF(A27="Turnier","+43 660 77 39 500","FEHLER")))))))))))</f>
        <v/>
      </c>
    </row>
    <row r="28" ht="15.6" customHeight="1" s="123">
      <c r="A28" s="60">
        <f>Heimspiele!C14</f>
        <v/>
      </c>
      <c r="B28" s="135">
        <f>Heimspiele!D14</f>
        <v/>
      </c>
      <c r="C28" s="136">
        <f>Heimspiele!E14</f>
        <v/>
      </c>
      <c r="D28" s="60">
        <f>Heimspiele!F14</f>
        <v/>
      </c>
      <c r="E28" s="60">
        <f>Heimspiele!G14</f>
        <v/>
      </c>
      <c r="F28" s="60" t="inlineStr">
        <is>
          <t>Großfeld</t>
        </is>
      </c>
      <c r="G28" s="60">
        <f>IF(F28="Großfeld","Großfeld",IF(F28="U16","Großfeld",IF(F28="U15","Großfeld",IF(F28="U14","Großfeld",IF(F28="U13","75x55",IF(F28="U11/U12","55x40",IF(F28="U9/U10","40x25",IF(F28="U8","29x22","25x20"))))))))</f>
        <v/>
      </c>
      <c r="H28" s="60" t="inlineStr">
        <is>
          <t>keine</t>
        </is>
      </c>
      <c r="I28" s="60" t="n">
        <v>3</v>
      </c>
      <c r="J28" s="60">
        <f>IF(A28="KM Neufeld","Pleninger Stefan",IF(A28="U16 LL","Josch Kögl",IF(A28="U15 LL Nord","Serdar Ekinci",IF(A28="U14 Nord","Gernot Servelda",IF(A28="U13 Nord","Thomas Pöschl &amp; Lenz Honc",IF(A28="U11 Nord D","Mario Magler&amp;Ronny Archam",IF(A28="U9","Thomas Brandl&amp;Daniel Hofbauer",IF(A28="U8","Berger Tobias&amp;Sebastian Putric",IF(A28="U7","Türkes Ömer&amp;Mahsumi Taha",IF(A28="Camp","Berger Dieter",IF(A28="Turnier","Berger Dieter","FEHLER")))))))))))</f>
        <v/>
      </c>
      <c r="K28" s="60">
        <f>IF(A28="KM Neufeld","+43 664 415 99 09",IF(A28="U16 LL","+43 650 262 82 63",IF(A28="U15 LL Nord","+43 650 701 02 44",IF(A28="U14 Nord","+43 676 401 09 13",IF(A28="U13 Nord","+43 677 613 55 114 &amp; +43 664 114 43 52",IF(A28="U11 Nord D","+43 664 762 09 93 &amp; +43 699 111 93 828",IF(A28="U9","+43 676 377 16 30 &amp;  +43 399 197 871 81",IF(A28="U8","+43 660 199 13 52 &amp;  +43 660 914 92 36",IF(A28="U7","+43 676 661 62 26 &amp;  +43 681 208 115 99",IF(A28="Camp","+43 660 77 39 500",IF(A28="Turnier","+43 660 77 39 500","FEHLER")))))))))))</f>
        <v/>
      </c>
    </row>
    <row r="29" hidden="1" s="123">
      <c r="A29">
        <f>Heimspiele!C30</f>
        <v/>
      </c>
      <c r="B29" s="137">
        <f>Heimspiele!D30</f>
        <v/>
      </c>
      <c r="C29" s="137" t="n"/>
      <c r="D29">
        <f>Heimspiele!F30</f>
        <v/>
      </c>
      <c r="E29">
        <f>Heimspiele!G30</f>
        <v/>
      </c>
      <c r="F29" t="inlineStr">
        <is>
          <t>Großfeld</t>
        </is>
      </c>
      <c r="G29">
        <f>IF(F29="Großfeld","Großfeld",IF(F29="U16","Großfeld",IF(F29="U15","Großfeld",IF(F29="U14","Großfeld",IF(F29="U13","75x55",IF(F29="U11/U12","55x40",IF(F29="U9/U10","40x25",IF(F29="U8","29x22","25x20"))))))))</f>
        <v/>
      </c>
      <c r="H29">
        <f>IF(F29="Großfeld","7,32x2,44",IF(F29="U16","7,32x2,44",IF(F29="U15","7,32x2,44",IF(F29="U14","7,32x2,44",IF(F29="U13","5x2",IF(F29="U11/U12","5x2",IF(F29="U9/U10","5x2","4 Minitore")))))))</f>
        <v/>
      </c>
      <c r="I29">
        <f>IF(F29="Großfeld","5",IF(F29="U16","5",IF(F29="U15","5",IF(F29="U14","4",IF(F29="U13","4",IF(F29="U11/U12","4",IF(F29="U9/U10","4",IF(F29="U9","4","3"))))))))</f>
        <v/>
      </c>
      <c r="J29">
        <f>IF(A29="KM Neufeld","Pleninger Stefan",IF(A29="U16 LL","Josch Kögl",IF(A29="U15 LL Nord","Serdar Ekinci",IF(A29="U14 Nord","Gernot Servelda",IF(A29="U13 - Nord","Thomas Pöschl &amp; Lenz Honc",IF(A29="U11 Nord D","Mario Magler&amp;Ronny Archam",IF(A29="U9","Thomas Brandl&amp;Daniel Hofbauer",IF(A29="U8","Berger Tobias&amp;Sebastian Putric",IF(A29="U7","Türkes Ömer&amp;Mahsumi Taha",IF(A29="Camp","Berger Dieter",IF(A29="Turnier","Berger Dieter","FEHLER")))))))))))</f>
        <v/>
      </c>
      <c r="K29">
        <f>IF(A29="KM Neufeld","+43 664 415 99 09",IF(A29="U16 LL","+43 650 262 82 63",IF(A29="U15 LL Nord","+43 650 701 02 44",IF(A29="U14 - Nord","+43 676 401 09 13",IF(A29="U13 - Nord","+43 677 613 55 114 &amp; +43 664 114 43 52",IF(A29="U11 Nord D","+43 664 762 09 93 &amp; +43 699 111 93 828",IF(A29="U9","+43 676 377 16 30 &amp;  +43 399 197 871 81",IF(A29="U8","+43 660 199 13 52 &amp;  +43 660 914 92 36",IF(A29="U7","+43 676 661 62 26 &amp;  +43 681 208 115 99",IF(A29="Camp","+43 660 77 39 500",IF(A29="Turnier","+43 660 77 39 500","FEHLER")))))))))))</f>
        <v/>
      </c>
    </row>
    <row r="30" hidden="1" s="123">
      <c r="A30">
        <f>Heimspiele!C31</f>
        <v/>
      </c>
      <c r="B30" s="137">
        <f>Heimspiele!D31</f>
        <v/>
      </c>
      <c r="C30" s="137" t="n"/>
      <c r="D30">
        <f>Heimspiele!F31</f>
        <v/>
      </c>
      <c r="E30">
        <f>Heimspiele!G31</f>
        <v/>
      </c>
      <c r="F30" t="inlineStr">
        <is>
          <t>Großfeld</t>
        </is>
      </c>
      <c r="G30">
        <f>IF(F30="Großfeld","Großfeld",IF(F30="U16","Großfeld",IF(F30="U15","Großfeld",IF(F30="U14","Großfeld",IF(F30="U13","75x55",IF(F30="U11/U12","55x40",IF(F30="U9/U10","40x25",IF(F30="U8","29x22","25x20"))))))))</f>
        <v/>
      </c>
      <c r="H30">
        <f>IF(F30="Großfeld","7,32x2,44",IF(F30="U16","7,32x2,44",IF(F30="U15","7,32x2,44",IF(F30="U14","7,32x2,44",IF(F30="U13","5x2",IF(F30="U11/U12","5x2",IF(F30="U9/U10","5x2","4 Minitore")))))))</f>
        <v/>
      </c>
      <c r="I30">
        <f>IF(F30="Großfeld","5",IF(F30="U16","5",IF(F30="U15","5",IF(F30="U14","4",IF(F30="U13","4",IF(F30="U11/U12","4",IF(F30="U9/U10","4",IF(F30="U9","4","3"))))))))</f>
        <v/>
      </c>
      <c r="J30">
        <f>IF(A30="KM Neufeld","Pleninger Stefan",IF(A30="U16 LL","Josch Kögl",IF(A30="U15 LL Nord","Serdar Ekinci",IF(A30="U14 Nord","Gernot Servelda",IF(A30="U13 - Nord","Thomas Pöschl &amp; Lenz Honc",IF(A30="U11 Nord D","Mario Magler&amp;Ronny Archam",IF(A30="U9","Thomas Brandl&amp;Daniel Hofbauer",IF(A30="U8","Berger Tobias&amp;Sebastian Putric",IF(A30="U7","Türkes Ömer&amp;Mahsumi Taha",IF(A30="Camp","Berger Dieter",IF(A30="Turnier","Berger Dieter","FEHLER")))))))))))</f>
        <v/>
      </c>
      <c r="K30">
        <f>IF(A30="KM Neufeld","+43 664 415 99 09",IF(A30="U16 LL","+43 650 262 82 63",IF(A30="U15 LL Nord","+43 650 701 02 44",IF(A30="U14 - Nord","+43 676 401 09 13",IF(A30="U13 - Nord","+43 677 613 55 114 &amp; +43 664 114 43 52",IF(A30="U11 Nord D","+43 664 762 09 93 &amp; +43 699 111 93 828",IF(A30="U9","+43 676 377 16 30 &amp;  +43 399 197 871 81",IF(A30="U8","+43 660 199 13 52 &amp;  +43 660 914 92 36",IF(A30="U7","+43 676 661 62 26 &amp;  +43 681 208 115 99",IF(A30="Camp","+43 660 77 39 500",IF(A30="Turnier","+43 660 77 39 500","FEHLER")))))))))))</f>
        <v/>
      </c>
    </row>
    <row r="31" hidden="1" s="123">
      <c r="A31">
        <f>Heimspiele!C32</f>
        <v/>
      </c>
      <c r="B31" s="137">
        <f>Heimspiele!D32</f>
        <v/>
      </c>
      <c r="C31" s="137" t="n"/>
      <c r="D31">
        <f>Heimspiele!F32</f>
        <v/>
      </c>
      <c r="E31">
        <f>Heimspiele!G32</f>
        <v/>
      </c>
      <c r="F31" t="inlineStr">
        <is>
          <t>Großfeld</t>
        </is>
      </c>
      <c r="G31">
        <f>IF(F31="Großfeld","Großfeld",IF(F31="U16","Großfeld",IF(F31="U15","Großfeld",IF(F31="U14","Großfeld",IF(F31="U13","75x55",IF(F31="U11/U12","55x40",IF(F31="U9/U10","40x25",IF(F31="U8","29x22","25x20"))))))))</f>
        <v/>
      </c>
      <c r="H31">
        <f>IF(F31="Großfeld","7,32x2,44",IF(F31="U16","7,32x2,44",IF(F31="U15","7,32x2,44",IF(F31="U14","7,32x2,44",IF(F31="U13","5x2",IF(F31="U11/U12","5x2",IF(F31="U9/U10","5x2","4 Minitore")))))))</f>
        <v/>
      </c>
      <c r="I31">
        <f>IF(F31="Großfeld","5",IF(F31="U16","5",IF(F31="U15","5",IF(F31="U14","4",IF(F31="U13","4",IF(F31="U11/U12","4",IF(F31="U9/U10","4",IF(F31="U9","4","3"))))))))</f>
        <v/>
      </c>
      <c r="J31">
        <f>IF(A31="KM Neufeld","Pleninger Stefan",IF(A31="U16 LL","Josch Kögl",IF(A31="U15 LL Nord","Serdar Ekinci",IF(A31="U14 Nord","Gernot Servelda",IF(A31="U13 - Nord","Thomas Pöschl &amp; Lenz Honc",IF(A31="U11 Nord D","Mario Magler&amp;Ronny Archam",IF(A31="U9","Thomas Brandl&amp;Daniel Hofbauer",IF(A31="U8","Berger Tobias&amp;Sebastian Putric",IF(A31="U7","Türkes Ömer&amp;Mahsumi Taha",IF(A31="Camp","Berger Dieter",IF(A31="Turnier","Berger Dieter","FEHLER")))))))))))</f>
        <v/>
      </c>
      <c r="K31">
        <f>IF(A31="KM Neufeld","+43 664 415 99 09",IF(A31="U16 LL","+43 650 262 82 63",IF(A31="U15 LL Nord","+43 650 701 02 44",IF(A31="U14 - Nord","+43 676 401 09 13",IF(A31="U13 - Nord","+43 677 613 55 114 &amp; +43 664 114 43 52",IF(A31="U11 Nord D","+43 664 762 09 93 &amp; +43 699 111 93 828",IF(A31="U9","+43 676 377 16 30 &amp;  +43 399 197 871 81",IF(A31="U8","+43 660 199 13 52 &amp;  +43 660 914 92 36",IF(A31="U7","+43 676 661 62 26 &amp;  +43 681 208 115 99",IF(A31="Camp","+43 660 77 39 500",IF(A31="Turnier","+43 660 77 39 500","FEHLER")))))))))))</f>
        <v/>
      </c>
    </row>
    <row r="32" hidden="1" s="123">
      <c r="A32">
        <f>Heimspiele!C33</f>
        <v/>
      </c>
      <c r="B32" s="137">
        <f>Heimspiele!D33</f>
        <v/>
      </c>
      <c r="C32" s="137" t="n"/>
      <c r="D32">
        <f>Heimspiele!F33</f>
        <v/>
      </c>
      <c r="E32">
        <f>Heimspiele!G33</f>
        <v/>
      </c>
      <c r="F32" t="inlineStr">
        <is>
          <t>Großfeld</t>
        </is>
      </c>
      <c r="G32">
        <f>IF(F32="Großfeld","Großfeld",IF(F32="U16","Großfeld",IF(F32="U15","Großfeld",IF(F32="U14","Großfeld",IF(F32="U13","75x55",IF(F32="U11/U12","55x40",IF(F32="U9/U10","40x25",IF(F32="U8","29x22","25x20"))))))))</f>
        <v/>
      </c>
      <c r="H32">
        <f>IF(F32="Großfeld","7,32x2,44",IF(F32="U16","7,32x2,44",IF(F32="U15","7,32x2,44",IF(F32="U14","7,32x2,44",IF(F32="U13","5x2",IF(F32="U11/U12","5x2",IF(F32="U9/U10","5x2","4 Minitore")))))))</f>
        <v/>
      </c>
      <c r="I32">
        <f>IF(F32="Großfeld","5",IF(F32="U16","5",IF(F32="U15","5",IF(F32="U14","4",IF(F32="U13","4",IF(F32="U11/U12","4",IF(F32="U9/U10","4",IF(F32="U9","4","3"))))))))</f>
        <v/>
      </c>
      <c r="J32">
        <f>IF(A32="KM Neufeld","Pleninger Stefan",IF(A32="U16 LL","Josch Kögl",IF(A32="U15 LL Nord","Serdar Ekinci",IF(A32="U14 Nord","Gernot Servelda",IF(A32="U13 - Nord","Thomas Pöschl &amp; Lenz Honc",IF(A32="U11 Nord D","Mario Magler&amp;Ronny Archam",IF(A32="U9","Thomas Brandl&amp;Daniel Hofbauer",IF(A32="U8","Berger Tobias&amp;Sebastian Putric",IF(A32="U7","Türkes Ömer&amp;Mahsumi Taha",IF(A32="Camp","Berger Dieter",IF(A32="Turnier","Berger Dieter","FEHLER")))))))))))</f>
        <v/>
      </c>
      <c r="K32">
        <f>IF(A32="KM Neufeld","+43 664 415 99 09",IF(A32="U16 LL","+43 650 262 82 63",IF(A32="U15 LL Nord","+43 650 701 02 44",IF(A32="U14 - Nord","+43 676 401 09 13",IF(A32="U13 - Nord","+43 677 613 55 114 &amp; +43 664 114 43 52",IF(A32="U11 Nord D","+43 664 762 09 93 &amp; +43 699 111 93 828",IF(A32="U9","+43 676 377 16 30 &amp;  +43 399 197 871 81",IF(A32="U8","+43 660 199 13 52 &amp;  +43 660 914 92 36",IF(A32="U7","+43 676 661 62 26 &amp;  +43 681 208 115 99",IF(A32="Camp","+43 660 77 39 500",IF(A32="Turnier","+43 660 77 39 500","FEHLER")))))))))))</f>
        <v/>
      </c>
    </row>
    <row r="33" hidden="1" s="123">
      <c r="A33">
        <f>Heimspiele!C34</f>
        <v/>
      </c>
      <c r="B33" s="137">
        <f>Heimspiele!D34</f>
        <v/>
      </c>
      <c r="C33" s="137" t="n"/>
      <c r="D33">
        <f>Heimspiele!F34</f>
        <v/>
      </c>
      <c r="E33">
        <f>Heimspiele!G34</f>
        <v/>
      </c>
      <c r="F33" t="inlineStr">
        <is>
          <t>Großfeld</t>
        </is>
      </c>
      <c r="G33">
        <f>IF(F33="Großfeld","Großfeld",IF(F33="U16","Großfeld",IF(F33="U15","Großfeld",IF(F33="U14","Großfeld",IF(F33="U13","75x55",IF(F33="U11/U12","55x40",IF(F33="U9/U10","40x25",IF(F33="U8","29x22","25x20"))))))))</f>
        <v/>
      </c>
      <c r="H33">
        <f>IF(F33="Großfeld","7,32x2,44",IF(F33="U16","7,32x2,44",IF(F33="U15","7,32x2,44",IF(F33="U14","7,32x2,44",IF(F33="U13","5x2",IF(F33="U11/U12","5x2",IF(F33="U9/U10","5x2","4 Minitore")))))))</f>
        <v/>
      </c>
      <c r="I33">
        <f>IF(F33="Großfeld","5",IF(F33="U16","5",IF(F33="U15","5",IF(F33="U14","4",IF(F33="U13","4",IF(F33="U11/U12","4",IF(F33="U9/U10","4",IF(F33="U9","4","3"))))))))</f>
        <v/>
      </c>
      <c r="J33">
        <f>IF(A33="KM Neufeld","Pleninger Stefan",IF(A33="U16 LL","Josch Kögl",IF(A33="U15 LL Nord","Serdar Ekinci",IF(A33="U14 Nord","Gernot Servelda",IF(A33="U13 - Nord","Thomas Pöschl &amp; Lenz Honc",IF(A33="U11 Nord D","Mario Magler&amp;Ronny Archam",IF(A33="U9","Thomas Brandl&amp;Daniel Hofbauer",IF(A33="U8","Berger Tobias&amp;Sebastian Putric",IF(A33="U7","Türkes Ömer&amp;Mahsumi Taha",IF(A33="Camp","Berger Dieter",IF(A33="Turnier","Berger Dieter","FEHLER")))))))))))</f>
        <v/>
      </c>
      <c r="K33">
        <f>IF(A33="KM Neufeld","+43 664 415 99 09",IF(A33="U16 LL","+43 650 262 82 63",IF(A33="U15 LL Nord","+43 650 701 02 44",IF(A33="U14 - Nord","+43 676 401 09 13",IF(A33="U13 - Nord","+43 677 613 55 114 &amp; +43 664 114 43 52",IF(A33="U11 Nord D","+43 664 762 09 93 &amp; +43 699 111 93 828",IF(A33="U9","+43 676 377 16 30 &amp;  +43 399 197 871 81",IF(A33="U8","+43 660 199 13 52 &amp;  +43 660 914 92 36",IF(A33="U7","+43 676 661 62 26 &amp;  +43 681 208 115 99",IF(A33="Camp","+43 660 77 39 500",IF(A33="Turnier","+43 660 77 39 500","FEHLER")))))))))))</f>
        <v/>
      </c>
    </row>
    <row r="34" ht="15.6" customHeight="1" s="123">
      <c r="A34" s="61">
        <f>Heimspiele!C18</f>
        <v/>
      </c>
      <c r="B34" s="138">
        <f>Heimspiele!D18</f>
        <v/>
      </c>
      <c r="C34" s="139">
        <f>Heimspiele!E18</f>
        <v/>
      </c>
      <c r="D34" s="61">
        <f>Heimspiele!F18</f>
        <v/>
      </c>
      <c r="E34" s="61">
        <f>Heimspiele!G18</f>
        <v/>
      </c>
      <c r="F34" s="61" t="inlineStr">
        <is>
          <t>Großfeld</t>
        </is>
      </c>
      <c r="G34" s="61">
        <f>IF(F34="Großfeld","Großfeld",IF(F34="U16","Großfeld",IF(F34="U15","Großfeld",IF(F34="U14","Großfeld",IF(F34="U13","75x55",IF(F34="U11/U12","55x40",IF(F34="U9/U10","40x25",IF(F34="U8","29x22","25x20"))))))))</f>
        <v/>
      </c>
      <c r="H34" s="61">
        <f>IF(F34="Großfeld","7,32x2,44",IF(F34="U16","7,32x2,44",IF(F34="U15","7,32x2,44",IF(F34="U14","7,32x2,44",IF(F34="U13","5x2",IF(F34="U11/U12","5x2",IF(F34="U9/U10","5x2","4 Minitore")))))))</f>
        <v/>
      </c>
      <c r="I34" s="61">
        <f>IF(F34="Großfeld","5",IF(F34="U16","5",IF(F34="U15","5",IF(F34="U14","4",IF(F34="U13","4",IF(F34="U11/U12","4",IF(F34="U9/U10","4",IF(F34="U9","4","3"))))))))</f>
        <v/>
      </c>
      <c r="J34" s="61">
        <f>IF(A34="KM Neufeld","Pleninger Stefan",IF(A34="U16 LL","Josch Kögl",IF(A34="U15 LL Nord","Serdar Ekinci",IF(A34="U14 Nord","Gernot Servelda",IF(A34="U13 Nord","Thomas Pöschl &amp; Lenz Honc",IF(A34="U11 Nord D","Mario Magler&amp;Ronny Archam",IF(A34="U9","Thomas Brandl&amp;Daniel Hofbauer",IF(A34="U8","Berger Tobias&amp;Sebastian Putric",IF(A34="U7","Türkes Ömer&amp;Mahsumi Taha",IF(A34="Camp","Berger Dieter",IF(A34="Turnier","Berger Dieter","FEHLER")))))))))))</f>
        <v/>
      </c>
      <c r="K34" s="61">
        <f>IF(A34="KM Neufeld","+43 664 415 99 09",IF(A34="U16 LL","+43 650 262 82 63",IF(A34="U15 LL Nord","+43 650 701 02 44",IF(A34="U14 Nord","+43 676 401 09 13",IF(A34="U13 Nord","+43 677 613 55 114 &amp; +43 664 114 43 52",IF(A34="U11 Nord D","+43 664 762 09 93 &amp; +43 699 111 93 828",IF(A34="U9","+43 676 377 16 30 &amp;  +43 399 197 871 81",IF(A34="U8","+43 660 199 13 52 &amp;  +43 660 914 92 36",IF(A34="U7","+43 676 661 62 26 &amp;  +43 681 208 115 99",IF(A34="Camp","+43 660 77 39 500",IF(A34="Turnier","+43 660 77 39 500","FEHLER")))))))))))</f>
        <v/>
      </c>
    </row>
    <row r="35" hidden="1" s="123">
      <c r="A35">
        <f>Heimspiele!C36</f>
        <v/>
      </c>
      <c r="B35" s="137">
        <f>Heimspiele!D36</f>
        <v/>
      </c>
      <c r="C35" s="137" t="n"/>
      <c r="D35">
        <f>Heimspiele!F36</f>
        <v/>
      </c>
      <c r="E35">
        <f>Heimspiele!G36</f>
        <v/>
      </c>
      <c r="F35" t="inlineStr">
        <is>
          <t>Großfeld</t>
        </is>
      </c>
      <c r="G35">
        <f>IF(F35="Großfeld","Großfeld",IF(F35="U16","Großfeld",IF(F35="U15","Großfeld",IF(F35="U14","Großfeld",IF(F35="U13","75x55",IF(F35="U11/U12","55x40",IF(F35="U9/U10","40x25",IF(F35="U8","29x22","25x20"))))))))</f>
        <v/>
      </c>
      <c r="H35">
        <f>IF(F35="Großfeld","7,32x2,44",IF(F35="U16","7,32x2,44",IF(F35="U15","7,32x2,44",IF(F35="U14","7,32x2,44",IF(F35="U13","5x2",IF(F35="U11/U12","5x2",IF(F35="U9/U10","5x2","4 Minitore")))))))</f>
        <v/>
      </c>
      <c r="I35">
        <f>IF(F35="Großfeld","5",IF(F35="U16","5",IF(F35="U15","5",IF(F35="U14","4",IF(F35="U13","4",IF(F35="U11/U12","4",IF(F35="U9/U10","4",IF(F35="U9","4","3"))))))))</f>
        <v/>
      </c>
      <c r="J35">
        <f>IF(A35="KM Neufeld","Pleninger Stefan",IF(A35="U16 LL","Josch Kögl",IF(A35="U15 LL Nord","Serdar Ekinci",IF(A35="U14 Nord","Gernot Servelda",IF(A35="U13 - Nord","Thomas Pöschl &amp; Lenz Honc",IF(A35="U11 Nord D","Mario Magler&amp;Ronny Archam",IF(A35="U9","Thomas Brandl&amp;Daniel Hofbauer",IF(A35="U8","Berger Tobias&amp;Sebastian Putric",IF(A35="U7","Türkes Ömer&amp;Mahsumi Taha",IF(A35="Camp","Berger Dieter",IF(A35="Turnier","Berger Dieter","FEHLER")))))))))))</f>
        <v/>
      </c>
      <c r="K35">
        <f>IF(A35="KM Neufeld","+43 664 415 99 09",IF(A35="U16 LL","+43 650 262 82 63",IF(A35="U15 LL Nord","+43 650 701 02 44",IF(A35="U14 - Nord","+43 676 401 09 13",IF(A35="U13 - Nord","+43 677 613 55 114 &amp; +43 664 114 43 52",IF(A35="U11 Nord D","+43 664 762 09 93 &amp; +43 699 111 93 828",IF(A35="U9","+43 676 377 16 30 &amp;  +43 399 197 871 81",IF(A35="U8","+43 660 199 13 52 &amp;  +43 660 914 92 36",IF(A35="U7","+43 676 661 62 26 &amp;  +43 681 208 115 99",IF(A35="Camp","+43 660 77 39 500",IF(A35="Turnier","+43 660 77 39 500","FEHLER")))))))))))</f>
        <v/>
      </c>
    </row>
    <row r="36" hidden="1" s="123">
      <c r="A36">
        <f>Heimspiele!C37</f>
        <v/>
      </c>
      <c r="B36" s="137">
        <f>Heimspiele!D37</f>
        <v/>
      </c>
      <c r="C36" s="137" t="n"/>
      <c r="D36">
        <f>Heimspiele!F37</f>
        <v/>
      </c>
      <c r="E36">
        <f>Heimspiele!G37</f>
        <v/>
      </c>
      <c r="F36" t="inlineStr">
        <is>
          <t>Großfeld</t>
        </is>
      </c>
      <c r="G36">
        <f>IF(F36="Großfeld","Großfeld",IF(F36="U16","Großfeld",IF(F36="U15","Großfeld",IF(F36="U14","Großfeld",IF(F36="U13","75x55",IF(F36="U11/U12","55x40",IF(F36="U9/U10","40x25",IF(F36="U8","29x22","25x20"))))))))</f>
        <v/>
      </c>
      <c r="H36">
        <f>IF(F36="Großfeld","7,32x2,44",IF(F36="U16","7,32x2,44",IF(F36="U15","7,32x2,44",IF(F36="U14","7,32x2,44",IF(F36="U13","5x2",IF(F36="U11/U12","5x2",IF(F36="U9/U10","5x2","4 Minitore")))))))</f>
        <v/>
      </c>
      <c r="I36">
        <f>IF(F36="Großfeld","5",IF(F36="U16","5",IF(F36="U15","5",IF(F36="U14","4",IF(F36="U13","4",IF(F36="U11/U12","4",IF(F36="U9/U10","4",IF(F36="U9","4","3"))))))))</f>
        <v/>
      </c>
      <c r="J36">
        <f>IF(A36="KM Neufeld","Pleninger Stefan",IF(A36="U16 LL","Josch Kögl",IF(A36="U15 LL Nord","Serdar Ekinci",IF(A36="U14 Nord","Gernot Servelda",IF(A36="U13 - Nord","Thomas Pöschl &amp; Lenz Honc",IF(A36="U11 Nord D","Mario Magler&amp;Ronny Archam",IF(A36="U9","Thomas Brandl&amp;Daniel Hofbauer",IF(A36="U8","Berger Tobias&amp;Sebastian Putric",IF(A36="U7","Türkes Ömer&amp;Mahsumi Taha",IF(A36="Camp","Berger Dieter",IF(A36="Turnier","Berger Dieter","FEHLER")))))))))))</f>
        <v/>
      </c>
      <c r="K36">
        <f>IF(A36="KM Neufeld","+43 664 415 99 09",IF(A36="U16 LL","+43 650 262 82 63",IF(A36="U15 LL Nord","+43 650 701 02 44",IF(A36="U14 - Nord","+43 676 401 09 13",IF(A36="U13 - Nord","+43 677 613 55 114 &amp; +43 664 114 43 52",IF(A36="U11 Nord D","+43 664 762 09 93 &amp; +43 699 111 93 828",IF(A36="U9","+43 676 377 16 30 &amp;  +43 399 197 871 81",IF(A36="U8","+43 660 199 13 52 &amp;  +43 660 914 92 36",IF(A36="U7","+43 676 661 62 26 &amp;  +43 681 208 115 99",IF(A36="Camp","+43 660 77 39 500",IF(A36="Turnier","+43 660 77 39 500","FEHLER")))))))))))</f>
        <v/>
      </c>
    </row>
    <row r="37" ht="15.6" customHeight="1" s="123">
      <c r="A37" s="61">
        <f>Heimspiele!C24</f>
        <v/>
      </c>
      <c r="B37" s="138">
        <f>Heimspiele!D24</f>
        <v/>
      </c>
      <c r="C37" s="139">
        <f>Heimspiele!E24</f>
        <v/>
      </c>
      <c r="D37" s="61">
        <f>Heimspiele!F24</f>
        <v/>
      </c>
      <c r="E37" s="61">
        <f>Heimspiele!G24</f>
        <v/>
      </c>
      <c r="F37" s="61" t="inlineStr">
        <is>
          <t>U9/U10</t>
        </is>
      </c>
      <c r="G37" s="61">
        <f>IF(F37="Großfeld","Großfeld",IF(F37="U16","Großfeld",IF(F37="U15","Großfeld",IF(F37="U14","Großfeld",IF(F37="U13","75x55",IF(F37="U11/U12","55x40",IF(F37="U9/U10","40x25",IF(F37="U8","29x22","25x20"))))))))</f>
        <v/>
      </c>
      <c r="H37" s="61">
        <f>IF(F37="Großfeld","7,32x2,44",IF(F37="U16","7,32x2,44",IF(F37="U15","7,32x2,44",IF(F37="U14","7,32x2,44",IF(F37="U13","5x2",IF(F37="U11/U12","5x2",IF(F37="U9/U10","5x2","4 Minitore")))))))</f>
        <v/>
      </c>
      <c r="I37" s="61">
        <f>IF(F37="Großfeld","5",IF(F37="U16","5",IF(F37="U15","5",IF(F37="U14","4",IF(F37="U13","4",IF(F37="U11/U12","4",IF(F37="U9/U10","4",IF(F37="U9","4","3"))))))))</f>
        <v/>
      </c>
      <c r="J37" s="61">
        <f>IF(A37="KM Neufeld","Pleninger Stefan",IF(A37="U16 LL","Josch Kögl",IF(A37="U15 LL Nord","Serdar Ekinci",IF(A37="U14 Nord","Gernot Servelda",IF(A37="U13 Nord","Thomas Pöschl &amp; Lenz Honc",IF(A37="U11 Nord D","Mario Magler&amp;Ronny Archam",IF(A37="U9","Thomas Brandl&amp;Daniel Hofbauer",IF(A37="U8","Berger Tobias&amp;Sebastian Putric",IF(A37="U7","Türkes Ömer&amp;Mahsumi Taha",IF(A37="Camp","Berger Dieter",IF(A37="Turnier","Berger Dieter","FEHLER")))))))))))</f>
        <v/>
      </c>
      <c r="K37" s="61">
        <f>IF(A37="KM Neufeld","+43 664 415 99 09",IF(A37="U16 LL","+43 650 262 82 63",IF(A37="U15 LL Nord","+43 650 701 02 44",IF(A37="U14 Nord","+43 676 401 09 13",IF(A37="U13 Nord","+43 677 613 55 114 &amp; +43 664 114 43 52",IF(A37="U11 Nord D","+43 664 762 09 93 &amp; +43 699 111 93 828",IF(A37="U9","+43 676 377 16 30 &amp;  +43 399 197 871 81",IF(A37="U8","+43 660 199 13 52 &amp;  +43 660 914 92 36",IF(A37="U7","+43 676 661 62 26 &amp;  +43 681 208 115 99",IF(A37="Camp","+43 660 77 39 500",IF(A37="Turnier","+43 660 77 39 500","FEHLER")))))))))))</f>
        <v/>
      </c>
    </row>
    <row r="38" hidden="1" s="123">
      <c r="A38">
        <f>Heimspiele!C39</f>
        <v/>
      </c>
      <c r="B38" s="137">
        <f>Heimspiele!D39</f>
        <v/>
      </c>
      <c r="C38" s="137" t="n"/>
      <c r="D38">
        <f>Heimspiele!F39</f>
        <v/>
      </c>
      <c r="E38">
        <f>Heimspiele!G39</f>
        <v/>
      </c>
      <c r="F38" t="inlineStr">
        <is>
          <t>Großfeld</t>
        </is>
      </c>
      <c r="G38">
        <f>IF(F38="Großfeld","Großfeld",IF(F38="U16","Großfeld",IF(F38="U15","Großfeld",IF(F38="U14","Großfeld",IF(F38="U13","75x55",IF(F38="U11/U12","55x40",IF(F38="U9/U10","40x25",IF(F38="U8","29x22","25x20"))))))))</f>
        <v/>
      </c>
      <c r="H38">
        <f>IF(F38="Großfeld","7,32x2,44",IF(F38="U16","7,32x2,44",IF(F38="U15","7,32x2,44",IF(F38="U14","7,32x2,44",IF(F38="U13","5x2",IF(F38="U11/U12","5x2",IF(F38="U9/U10","5x2","4 Minitore")))))))</f>
        <v/>
      </c>
      <c r="I38">
        <f>IF(F38="Großfeld","5",IF(F38="U16","5",IF(F38="U15","5",IF(F38="U14","4",IF(F38="U13","4",IF(F38="U11/U12","4",IF(F38="U9/U10","4",IF(F38="U9","4","3"))))))))</f>
        <v/>
      </c>
      <c r="J38">
        <f>IF(A38="KM Neufeld","Pleninger Stefan",IF(A38="U16 LL","Josch Kögl",IF(A38="U15 LL Nord","Serdar Ekinci",IF(A38="U14 Nord","Gernot Servelda",IF(A38="U13 - Nord","Thomas Pöschl &amp; Lenz Honc",IF(A38="U11 Nord D","Mario Magler&amp;Ronny Archam",IF(A38="U9","Thomas Brandl&amp;Daniel Hofbauer",IF(A38="U8","Berger Tobias&amp;Sebastian Putric",IF(A38="U7","Türkes Ömer&amp;Mahsumi Taha",IF(A38="Camp","Berger Dieter",IF(A38="Turnier","Berger Dieter","FEHLER")))))))))))</f>
        <v/>
      </c>
      <c r="K38">
        <f>IF(A38="KM Neufeld","+43 664 415 99 09",IF(A38="U16 LL","+43 650 262 82 63",IF(A38="U15 LL Nord","+43 650 701 02 44",IF(A38="U14 - Nord","+43 676 401 09 13",IF(A38="U13 - Nord","+43 677 613 55 114 &amp; +43 664 114 43 52",IF(A38="U11 Nord D","+43 664 762 09 93 &amp; +43 699 111 93 828",IF(A38="U9","+43 676 377 16 30 &amp;  +43 399 197 871 81",IF(A38="U8","+43 660 199 13 52 &amp;  +43 660 914 92 36",IF(A38="U7","+43 676 661 62 26 &amp;  +43 681 208 115 99",IF(A38="Camp","+43 660 77 39 500",IF(A38="Turnier","+43 660 77 39 500","FEHLER")))))))))))</f>
        <v/>
      </c>
    </row>
    <row r="39" hidden="1" s="123">
      <c r="A39">
        <f>Heimspiele!C40</f>
        <v/>
      </c>
      <c r="B39" s="137">
        <f>Heimspiele!D40</f>
        <v/>
      </c>
      <c r="C39" s="137" t="n"/>
      <c r="D39">
        <f>Heimspiele!F40</f>
        <v/>
      </c>
      <c r="E39">
        <f>Heimspiele!G40</f>
        <v/>
      </c>
      <c r="F39" t="inlineStr">
        <is>
          <t>Großfeld</t>
        </is>
      </c>
      <c r="G39">
        <f>IF(F39="Großfeld","Großfeld",IF(F39="U16","Großfeld",IF(F39="U15","Großfeld",IF(F39="U14","Großfeld",IF(F39="U13","75x55",IF(F39="U11/U12","55x40",IF(F39="U9/U10","40x25",IF(F39="U8","29x22","25x20"))))))))</f>
        <v/>
      </c>
      <c r="H39">
        <f>IF(F39="Großfeld","7,32x2,44",IF(F39="U16","7,32x2,44",IF(F39="U15","7,32x2,44",IF(F39="U14","7,32x2,44",IF(F39="U13","5x2",IF(F39="U11/U12","5x2",IF(F39="U9/U10","5x2","4 Minitore")))))))</f>
        <v/>
      </c>
      <c r="I39">
        <f>IF(F39="Großfeld","5",IF(F39="U16","5",IF(F39="U15","5",IF(F39="U14","4",IF(F39="U13","4",IF(F39="U11/U12","4",IF(F39="U9/U10","4",IF(F39="U9","4","3"))))))))</f>
        <v/>
      </c>
      <c r="J39">
        <f>IF(A39="KM Neufeld","Pleninger Stefan",IF(A39="U16 LL","Josch Kögl",IF(A39="U15 LL Nord","Serdar Ekinci",IF(A39="U14 Nord","Gernot Servelda",IF(A39="U13 - Nord","Thomas Pöschl &amp; Lenz Honc",IF(A39="U11 Nord D","Mario Magler&amp;Ronny Archam",IF(A39="U9","Thomas Brandl&amp;Daniel Hofbauer",IF(A39="U8","Berger Tobias&amp;Sebastian Putric",IF(A39="U7","Türkes Ömer&amp;Mahsumi Taha",IF(A39="Camp","Berger Dieter",IF(A39="Turnier","Berger Dieter","FEHLER")))))))))))</f>
        <v/>
      </c>
      <c r="K39">
        <f>IF(A39="KM Neufeld","+43 664 415 99 09",IF(A39="U16 LL","+43 650 262 82 63",IF(A39="U15 LL Nord","+43 650 701 02 44",IF(A39="U14 - Nord","+43 676 401 09 13",IF(A39="U13 - Nord","+43 677 613 55 114 &amp; +43 664 114 43 52",IF(A39="U11 Nord D","+43 664 762 09 93 &amp; +43 699 111 93 828",IF(A39="U9","+43 676 377 16 30 &amp;  +43 399 197 871 81",IF(A39="U8","+43 660 199 13 52 &amp;  +43 660 914 92 36",IF(A39="U7","+43 676 661 62 26 &amp;  +43 681 208 115 99",IF(A39="Camp","+43 660 77 39 500",IF(A39="Turnier","+43 660 77 39 500","FEHLER")))))))))))</f>
        <v/>
      </c>
    </row>
    <row r="40" ht="15.6" customHeight="1" s="123">
      <c r="A40" s="61">
        <f>Heimspiele!C26</f>
        <v/>
      </c>
      <c r="B40" s="138">
        <f>Heimspiele!D26</f>
        <v/>
      </c>
      <c r="C40" s="139">
        <f>Heimspiele!E26</f>
        <v/>
      </c>
      <c r="D40" s="61">
        <f>Heimspiele!F26</f>
        <v/>
      </c>
      <c r="E40" s="61">
        <f>Heimspiele!G26</f>
        <v/>
      </c>
      <c r="F40" s="61" t="inlineStr">
        <is>
          <t>U8</t>
        </is>
      </c>
      <c r="G40" s="61">
        <f>IF(F40="Großfeld","Großfeld",IF(F40="U16","Großfeld",IF(F40="U15","Großfeld",IF(F40="U14","Großfeld",IF(F40="U13","75x55",IF(F40="U11/U12","55x40",IF(F40="U9/U10","40x25",IF(F40="U8","29x22","25x20"))))))))</f>
        <v/>
      </c>
      <c r="H40" s="61">
        <f>IF(F40="Großfeld","7,32x2,44",IF(F40="U16","7,32x2,44",IF(F40="U15","7,32x2,44",IF(F40="U14","7,32x2,44",IF(F40="U13","5x2",IF(F40="U11/U12","5x2",IF(F40="U9/U10","5x2","4 Minitore")))))))</f>
        <v/>
      </c>
      <c r="I40" s="61">
        <f>IF(F40="Großfeld","5",IF(F40="U16","5",IF(F40="U15","5",IF(F40="U14","4",IF(F40="U13","4",IF(F40="U11/U12","4",IF(F40="U9/U10","4",IF(F40="U9","4","3"))))))))</f>
        <v/>
      </c>
      <c r="J40" s="61">
        <f>IF(A40="KM Neufeld","Pleninger Stefan",IF(A40="U16 LL","Josch Kögl",IF(A40="U15 LL Nord","Serdar Ekinci",IF(A40="U14 Nord","Gernot Servelda",IF(A40="U13 Nord","Thomas Pöschl &amp; Lenz Honc",IF(A40="U11 Nord D","Mario Magler&amp;Ronny Archam",IF(A40="U9","Thomas Brandl&amp;Daniel Hofbauer",IF(A40="U8","Berger Tobias&amp;Sebastian Putric",IF(A40="U7","Türkes Ömer&amp;Mahsumi Taha",IF(A40="Camp","Berger Dieter",IF(A40="Turnier","Berger Dieter","FEHLER")))))))))))</f>
        <v/>
      </c>
      <c r="K40" s="61">
        <f>IF(A40="KM Neufeld","+43 664 415 99 09",IF(A40="U16 LL","+43 650 262 82 63",IF(A40="U15 LL Nord","+43 650 701 02 44",IF(A40="U14 Nord","+43 676 401 09 13",IF(A40="U13 Nord","+43 677 613 55 114 &amp; +43 664 114 43 52",IF(A40="U11 Nord D","+43 664 762 09 93 &amp; +43 699 111 93 828",IF(A40="U9","+43 676 377 16 30 &amp;  +43 399 197 871 81",IF(A40="U8","+43 660 199 13 52 &amp;  +43 660 914 92 36",IF(A40="U7","+43 676 661 62 26 &amp;  +43 681 208 115 99",IF(A40="Camp","+43 660 77 39 500",IF(A40="Turnier","+43 660 77 39 500","FEHLER")))))))))))</f>
        <v/>
      </c>
    </row>
    <row r="41" ht="15.6" customHeight="1" s="123">
      <c r="A41" s="61">
        <f>Heimspiele!C29</f>
        <v/>
      </c>
      <c r="B41" s="138">
        <f>Heimspiele!D29</f>
        <v/>
      </c>
      <c r="C41" s="139">
        <f>Heimspiele!E29</f>
        <v/>
      </c>
      <c r="D41" s="61">
        <f>Heimspiele!F29</f>
        <v/>
      </c>
      <c r="E41" s="61">
        <f>Heimspiele!G29</f>
        <v/>
      </c>
      <c r="F41" s="61" t="inlineStr">
        <is>
          <t>U7</t>
        </is>
      </c>
      <c r="G41" s="61">
        <f>IF(F41="Großfeld","Großfeld",IF(F41="U16","Großfeld",IF(F41="U15","Großfeld",IF(F41="U14","Großfeld",IF(F41="U13","75x55",IF(F41="U11/U12","55x40",IF(F41="U9/U10","40x25",IF(F41="U8","29x22","25x20"))))))))</f>
        <v/>
      </c>
      <c r="H41" s="61">
        <f>IF(F41="Großfeld","7,32x2,44",IF(F41="U16","7,32x2,44",IF(F41="U15","7,32x2,44",IF(F41="U14","7,32x2,44",IF(F41="U13","5x2",IF(F41="U11/U12","5x2",IF(F41="U9/U10","5x2","4 Minitore")))))))</f>
        <v/>
      </c>
      <c r="I41" s="61">
        <f>IF(F41="Großfeld","5",IF(F41="U16","5",IF(F41="U15","5",IF(F41="U14","4",IF(F41="U13","4",IF(F41="U11/U12","4",IF(F41="U9/U10","4",IF(F41="U9","4","3"))))))))</f>
        <v/>
      </c>
      <c r="J41" s="61">
        <f>IF(A41="KM Neufeld","Pleninger Stefan",IF(A41="U16 LL","Josch Kögl",IF(A41="U15 LL Nord","Serdar Ekinci",IF(A41="U14 Nord","Gernot Servelda",IF(A41="U13 Nord","Thomas Pöschl &amp; Lenz Honc",IF(A41="U11 Nord D","Mario Magler&amp;Ronny Archam",IF(A41="U9","Thomas Brandl&amp;Daniel Hofbauer",IF(A41="U8","Berger Tobias&amp;Sebastian Putric",IF(A41="U7","Türkes Ömer&amp;Mahsumi Taha",IF(A41="Camp","Berger Dieter",IF(A41="Turnier","Berger Dieter","FEHLER")))))))))))</f>
        <v/>
      </c>
      <c r="K41" s="61">
        <f>IF(A41="KM Neufeld","+43 664 415 99 09",IF(A41="U16 LL","+43 650 262 82 63",IF(A41="U15 LL Nord","+43 650 701 02 44",IF(A41="U14 Nord","+43 676 401 09 13",IF(A41="U13 Nord","+43 677 613 55 114 &amp; +43 664 114 43 52",IF(A41="U11 Nord D","+43 664 762 09 93 &amp; +43 699 111 93 828",IF(A41="U9","+43 676 377 16 30 &amp;  +43 399 197 871 81",IF(A41="U8","+43 660 199 13 52 &amp;  +43 660 914 92 36",IF(A41="U7","+43 676 661 62 26 &amp;  +43 681 208 115 99",IF(A41="Camp","+43 660 77 39 500",IF(A41="Turnier","+43 660 77 39 500","FEHLER")))))))))))</f>
        <v/>
      </c>
    </row>
    <row r="42" hidden="1" s="123">
      <c r="A42">
        <f>Heimspiele!C43</f>
        <v/>
      </c>
      <c r="B42" s="137">
        <f>Heimspiele!D43</f>
        <v/>
      </c>
      <c r="C42" s="137" t="n"/>
      <c r="D42">
        <f>Heimspiele!F43</f>
        <v/>
      </c>
      <c r="E42">
        <f>Heimspiele!G43</f>
        <v/>
      </c>
      <c r="F42" t="inlineStr">
        <is>
          <t>Großfeld</t>
        </is>
      </c>
      <c r="G42">
        <f>IF(F42="Großfeld","Großfeld",IF(F42="U16","Großfeld",IF(F42="U15","Großfeld",IF(F42="U14","Großfeld",IF(F42="U13","75x55",IF(F42="U11/U12","55x40",IF(F42="U9/U10","40x25",IF(F42="U8","29x22","25x20"))))))))</f>
        <v/>
      </c>
      <c r="H42">
        <f>IF(F42="Großfeld","7,32x2,44",IF(F42="U16","7,32x2,44",IF(F42="U15","7,32x2,44",IF(F42="U14","7,32x2,44",IF(F42="U13","5x2",IF(F42="U11/U12","5x2",IF(F42="U9/U10","5x2","4 Minitore")))))))</f>
        <v/>
      </c>
      <c r="I42">
        <f>IF(F42="Großfeld","5",IF(F42="U16","5",IF(F42="U15","5",IF(F42="U14","4",IF(F42="U13","4",IF(F42="U11/U12","4",IF(F42="U9/U10","4",IF(F42="U9","4","3"))))))))</f>
        <v/>
      </c>
      <c r="J42">
        <f>IF(A42="KM Neufeld","Pleninger Stefan",IF(A42="U16 LL","Josch Kögl",IF(A42="U15 LL Nord","Serdar Ekinci",IF(A42="U14 Nord","Gernot Servelda",IF(A42="U13 - Nord","Thomas Pöschl &amp; Lenz Honc",IF(A42="U11 Nord D","Mario Magler&amp;Ronny Archam",IF(A42="U9","Thomas Brandl&amp;Daniel Hofbauer",IF(A42="U8","Berger Tobias&amp;Sebastian Putric",IF(A42="U7","Türkes Ömer&amp;Mahsumi Taha",IF(A42="Camp","Berger Dieter",IF(A42="Turnier","Berger Dieter","FEHLER")))))))))))</f>
        <v/>
      </c>
      <c r="K42">
        <f>IF(A42="KM Neufeld","+43 664 415 99 09",IF(A42="U16 LL","+43 650 262 82 63",IF(A42="U15 LL Nord","+43 650 701 02 44",IF(A42="U14 - Nord","+43 676 401 09 13",IF(A42="U13 - Nord","+43 677 613 55 114 &amp; +43 664 114 43 52",IF(A42="U11 Nord D","+43 664 762 09 93 &amp; +43 699 111 93 828",IF(A42="U9","+43 676 377 16 30 &amp;  +43 399 197 871 81",IF(A42="U8","+43 660 199 13 52 &amp;  +43 660 914 92 36",IF(A42="U7","+43 676 661 62 26 &amp;  +43 681 208 115 99",IF(A42="Camp","+43 660 77 39 500",IF(A42="Turnier","+43 660 77 39 500","FEHLER")))))))))))</f>
        <v/>
      </c>
    </row>
    <row r="43" ht="15.6" customHeight="1" s="123">
      <c r="A43" s="61">
        <f>Heimspiele!C35</f>
        <v/>
      </c>
      <c r="B43" s="138">
        <f>Heimspiele!D35</f>
        <v/>
      </c>
      <c r="C43" s="139">
        <f>Heimspiele!E35</f>
        <v/>
      </c>
      <c r="D43" s="61">
        <f>Heimspiele!F35</f>
        <v/>
      </c>
      <c r="E43" s="61">
        <f>Heimspiele!G35</f>
        <v/>
      </c>
      <c r="F43" s="61" t="inlineStr">
        <is>
          <t>U11/U12</t>
        </is>
      </c>
      <c r="G43" s="61">
        <f>IF(F43="Großfeld","Großfeld",IF(F43="U16","Großfeld",IF(F43="U15","Großfeld",IF(F43="U14","Großfeld",IF(F43="U13","75x55",IF(F43="U11/U12","55x40",IF(F43="U9/U10","40x25",IF(F43="U8","29x22","25x20"))))))))</f>
        <v/>
      </c>
      <c r="H43" s="61">
        <f>IF(F43="Großfeld","7,32x2,44",IF(F43="U16","7,32x2,44",IF(F43="U15","7,32x2,44",IF(F43="U14","7,32x2,44",IF(F43="U13","5x2",IF(F43="U11/U12","5x2",IF(F43="U9/U10","5x2","4 Minitore")))))))</f>
        <v/>
      </c>
      <c r="I43" s="61">
        <f>IF(F43="Großfeld","5",IF(F43="U16","5",IF(F43="U15","5",IF(F43="U14","4",IF(F43="U13","4",IF(F43="U11/U12","4",IF(F43="U9/U10","4",IF(F43="U9","4","3"))))))))</f>
        <v/>
      </c>
      <c r="J43" s="61">
        <f>IF(A43="KM Neufeld","Pleninger Stefan",IF(A43="U16 LL","Josch Kögl",IF(A43="U15 LL Nord","Serdar Ekinci",IF(A43="U14 Nord","Gernot Servelda",IF(A43="U13 Nord","Thomas Pöschl &amp; Lenz Honc",IF(A43="U11 Nord D","Mario Magler&amp;Ronny Archam",IF(A43="U9","Thomas Brandl&amp;Daniel Hofbauer",IF(A43="U8","Berger Tobias&amp;Sebastian Putric",IF(A43="U7","Türkes Ömer&amp;Mahsumi Taha",IF(A43="Camp","Berger Dieter",IF(A43="Turnier","Berger Dieter","FEHLER")))))))))))</f>
        <v/>
      </c>
      <c r="K43" s="61">
        <f>IF(A43="KM Neufeld","+43 664 415 99 09",IF(A43="U16 LL","+43 650 262 82 63",IF(A43="U15 LL Nord","+43 650 701 02 44",IF(A43="U14 Nord","+43 676 401 09 13",IF(A43="U13 Nord","+43 677 613 55 114 &amp; +43 664 114 43 52",IF(A43="U11 Nord D","+43 664 762 09 93 &amp; +43 699 111 93 828",IF(A43="U9","+43 676 377 16 30 &amp;  +43 399 197 871 81",IF(A43="U8","+43 660 199 13 52 &amp;  +43 660 914 92 36",IF(A43="U7","+43 676 661 62 26 &amp;  +43 681 208 115 99",IF(A43="Camp","+43 660 77 39 500",IF(A43="Turnier","+43 660 77 39 500","FEHLER")))))))))))</f>
        <v/>
      </c>
    </row>
    <row r="44" ht="15.6" customHeight="1" s="123">
      <c r="A44" s="61">
        <f>Heimspiele!C38</f>
        <v/>
      </c>
      <c r="B44" s="138">
        <f>Heimspiele!D38</f>
        <v/>
      </c>
      <c r="C44" s="139">
        <f>Heimspiele!E38</f>
        <v/>
      </c>
      <c r="D44" s="61">
        <f>Heimspiele!F38</f>
        <v/>
      </c>
      <c r="E44" s="61">
        <f>Heimspiele!G38</f>
        <v/>
      </c>
      <c r="F44" s="61" t="inlineStr">
        <is>
          <t>U15</t>
        </is>
      </c>
      <c r="G44" s="61">
        <f>IF(F44="Großfeld","Großfeld",IF(F44="U16","Großfeld",IF(F44="U15","Großfeld",IF(F44="U14","Großfeld",IF(F44="U13","75x55",IF(F44="U11/U12","55x40",IF(F44="U9/U10","40x25",IF(F44="U8","29x22","25x20"))))))))</f>
        <v/>
      </c>
      <c r="H44" s="61">
        <f>IF(F44="Großfeld","7,32x2,44",IF(F44="U16","7,32x2,44",IF(F44="U15","7,32x2,44",IF(F44="U14","7,32x2,44",IF(F44="U13","5x2",IF(F44="U11/U12","5x2",IF(F44="U9/U10","5x2","4 Minitore")))))))</f>
        <v/>
      </c>
      <c r="I44" s="61">
        <f>IF(F44="Großfeld","5",IF(F44="U16","5",IF(F44="U15","5",IF(F44="U14","4",IF(F44="U13","4",IF(F44="U11/U12","4",IF(F44="U9/U10","4",IF(F44="U9","4","3"))))))))</f>
        <v/>
      </c>
      <c r="J44" s="61">
        <f>IF(A44="KM Neufeld","Pleninger Stefan",IF(A44="U16 LL","Josch Kögl",IF(A44="U15 LL Nord","Serdar Ekinci",IF(A44="U14 Nord","Gernot Servelda",IF(A44="U13 Nord","Thomas Pöschl &amp; Lenz Honc",IF(A44="U11 Nord D","Mario Magler&amp;Ronny Archam",IF(A44="U9","Thomas Brandl&amp;Daniel Hofbauer",IF(A44="U8","Berger Tobias&amp;Sebastian Putric",IF(A44="U7","Türkes Ömer&amp;Mahsumi Taha",IF(A44="Camp","Berger Dieter",IF(A44="Turnier","Berger Dieter","FEHLER")))))))))))</f>
        <v/>
      </c>
      <c r="K44" s="61">
        <f>IF(A44="KM Neufeld","+43 664 415 99 09",IF(A44="U16 LL","+43 650 262 82 63",IF(A44="U15 LL Nord","+43 650 701 02 44",IF(A44="U14 Nord","+43 676 401 09 13",IF(A44="U13 Nord","+43 677 613 55 114 &amp; +43 664 114 43 52",IF(A44="U11 Nord D","+43 664 762 09 93 &amp; +43 699 111 93 828",IF(A44="U9","+43 676 377 16 30 &amp;  +43 399 197 871 81",IF(A44="U8","+43 660 199 13 52 &amp;  +43 660 914 92 36",IF(A44="U7","+43 676 661 62 26 &amp;  +43 681 208 115 99",IF(A44="Camp","+43 660 77 39 500",IF(A44="Turnier","+43 660 77 39 500","FEHLER")))))))))))</f>
        <v/>
      </c>
    </row>
    <row r="45" hidden="1" s="123">
      <c r="A45">
        <f>Heimspiele!C46</f>
        <v/>
      </c>
      <c r="B45" s="137">
        <f>Heimspiele!D46</f>
        <v/>
      </c>
      <c r="C45" s="137" t="n"/>
      <c r="D45">
        <f>Heimspiele!F46</f>
        <v/>
      </c>
      <c r="E45">
        <f>Heimspiele!G46</f>
        <v/>
      </c>
      <c r="F45" t="inlineStr">
        <is>
          <t>Großfeld</t>
        </is>
      </c>
      <c r="G45">
        <f>IF(F45="Großfeld","Großfeld",IF(F45="U16","Großfeld",IF(F45="U15","Großfeld",IF(F45="U14","Großfeld",IF(F45="U13","75x55",IF(F45="U11/U12","55x40",IF(F45="U9/U10","40x25",IF(F45="U8","29x22","25x20"))))))))</f>
        <v/>
      </c>
      <c r="H45">
        <f>IF(F45="Großfeld","7,32x2,44",IF(F45="U16","7,32x2,44",IF(F45="U15","7,32x2,44",IF(F45="U14","7,32x2,44",IF(F45="U13","5x2",IF(F45="U11/U12","5x2",IF(F45="U9/U10","5x2","4 Minitore")))))))</f>
        <v/>
      </c>
      <c r="I45">
        <f>IF(F45="Großfeld","5",IF(F45="U16","5",IF(F45="U15","5",IF(F45="U14","4",IF(F45="U13","4",IF(F45="U11/U12","4",IF(F45="U9/U10","4",IF(F45="U9","4","3"))))))))</f>
        <v/>
      </c>
      <c r="J45">
        <f>IF(A45="KM Neufeld","Pleninger Stefan",IF(A45="U16 LL","Josch Kögl",IF(A45="U15 LL Nord","Serdar Ekinci",IF(A45="U14 Nord","Gernot Servelda",IF(A45="U13 - Nord","Thomas Pöschl &amp; Lenz Honc",IF(A45="U11 Nord D","Mario Magler&amp;Ronny Archam",IF(A45="U9","Thomas Brandl&amp;Daniel Hofbauer",IF(A45="U8","Berger Tobias&amp;Sebastian Putric",IF(A45="U7","Türkes Ömer&amp;Mahsumi Taha",IF(A45="Camp","Berger Dieter",IF(A45="Turnier","Berger Dieter","FEHLER")))))))))))</f>
        <v/>
      </c>
      <c r="K45">
        <f>IF(A45="KM Neufeld","+43 664 415 99 09",IF(A45="U16 LL","+43 650 262 82 63",IF(A45="U15 LL Nord","+43 650 701 02 44",IF(A45="U14 - Nord","+43 676 401 09 13",IF(A45="U13 - Nord","+43 677 613 55 114 &amp; +43 664 114 43 52",IF(A45="U11 Nord D","+43 664 762 09 93 &amp; +43 699 111 93 828",IF(A45="U9","+43 676 377 16 30 &amp;  +43 399 197 871 81",IF(A45="U8","+43 660 199 13 52 &amp;  +43 660 914 92 36",IF(A45="U7","+43 676 661 62 26 &amp;  +43 681 208 115 99",IF(A45="Camp","+43 660 77 39 500",IF(A45="Turnier","+43 660 77 39 500","FEHLER")))))))))))</f>
        <v/>
      </c>
    </row>
    <row r="46" hidden="1" s="123">
      <c r="A46">
        <f>Heimspiele!C47</f>
        <v/>
      </c>
      <c r="B46" s="137">
        <f>Heimspiele!D47</f>
        <v/>
      </c>
      <c r="C46" s="137" t="n"/>
      <c r="D46">
        <f>Heimspiele!F47</f>
        <v/>
      </c>
      <c r="E46">
        <f>Heimspiele!G47</f>
        <v/>
      </c>
      <c r="F46" t="inlineStr">
        <is>
          <t>Großfeld</t>
        </is>
      </c>
      <c r="G46">
        <f>IF(F46="Großfeld","Großfeld",IF(F46="U16","Großfeld",IF(F46="U15","Großfeld",IF(F46="U14","Großfeld",IF(F46="U13","75x55",IF(F46="U11/U12","55x40",IF(F46="U9/U10","40x25",IF(F46="U8","29x22","25x20"))))))))</f>
        <v/>
      </c>
      <c r="H46">
        <f>IF(F46="Großfeld","7,32x2,44",IF(F46="U16","7,32x2,44",IF(F46="U15","7,32x2,44",IF(F46="U14","7,32x2,44",IF(F46="U13","5x2",IF(F46="U11/U12","5x2",IF(F46="U9/U10","5x2","4 Minitore")))))))</f>
        <v/>
      </c>
      <c r="I46">
        <f>IF(F46="Großfeld","5",IF(F46="U16","5",IF(F46="U15","5",IF(F46="U14","4",IF(F46="U13","4",IF(F46="U11/U12","4",IF(F46="U9/U10","4",IF(F46="U9","4","3"))))))))</f>
        <v/>
      </c>
      <c r="J46">
        <f>IF(A46="KM Neufeld","Pleninger Stefan",IF(A46="U16 LL","Josch Kögl",IF(A46="U15 LL Nord","Serdar Ekinci",IF(A46="U14 Nord","Gernot Servelda",IF(A46="U13 - Nord","Thomas Pöschl &amp; Lenz Honc",IF(A46="U11 Nord D","Mario Magler&amp;Ronny Archam",IF(A46="U9","Thomas Brandl&amp;Daniel Hofbauer",IF(A46="U8","Berger Tobias&amp;Sebastian Putric",IF(A46="U7","Türkes Ömer&amp;Mahsumi Taha",IF(A46="Camp","Berger Dieter",IF(A46="Turnier","Berger Dieter","FEHLER")))))))))))</f>
        <v/>
      </c>
      <c r="K46">
        <f>IF(A46="KM Neufeld","+43 664 415 99 09",IF(A46="U16 LL","+43 650 262 82 63",IF(A46="U15 LL Nord","+43 650 701 02 44",IF(A46="U14 - Nord","+43 676 401 09 13",IF(A46="U13 - Nord","+43 677 613 55 114 &amp; +43 664 114 43 52",IF(A46="U11 Nord D","+43 664 762 09 93 &amp; +43 699 111 93 828",IF(A46="U9","+43 676 377 16 30 &amp;  +43 399 197 871 81",IF(A46="U8","+43 660 199 13 52 &amp;  +43 660 914 92 36",IF(A46="U7","+43 676 661 62 26 &amp;  +43 681 208 115 99",IF(A46="Camp","+43 660 77 39 500",IF(A46="Turnier","+43 660 77 39 500","FEHLER")))))))))))</f>
        <v/>
      </c>
    </row>
    <row r="47" ht="15.6" customHeight="1" s="123">
      <c r="A47" s="61">
        <f>Heimspiele!C41</f>
        <v/>
      </c>
      <c r="B47" s="138">
        <f>Heimspiele!D41</f>
        <v/>
      </c>
      <c r="C47" s="139">
        <f>Heimspiele!E41</f>
        <v/>
      </c>
      <c r="D47" s="61">
        <f>Heimspiele!F41</f>
        <v/>
      </c>
      <c r="E47" s="61">
        <f>Heimspiele!G41</f>
        <v/>
      </c>
      <c r="F47" s="61" t="inlineStr">
        <is>
          <t>Großfeld</t>
        </is>
      </c>
      <c r="G47" s="61">
        <f>IF(F47="Großfeld","Großfeld",IF(F47="U16","Großfeld",IF(F47="U15","Großfeld",IF(F47="U14","Großfeld",IF(F47="U13","75x55",IF(F47="U11/U12","55x40",IF(F47="U9/U10","40x25",IF(F47="U8","29x22","25x20"))))))))</f>
        <v/>
      </c>
      <c r="H47" s="61">
        <f>IF(F47="Großfeld","7,32x2,44",IF(F47="U16","7,32x2,44",IF(F47="U15","7,32x2,44",IF(F47="U14","7,32x2,44",IF(F47="U13","5x2",IF(F47="U11/U12","5x2",IF(F47="U9/U10","5x2","4 Minitore")))))))</f>
        <v/>
      </c>
      <c r="I47" s="61">
        <f>IF(F47="Großfeld","5",IF(F47="U16","5",IF(F47="U15","5",IF(F47="U14","4",IF(F47="U13","4",IF(F47="U11/U12","4",IF(F47="U9/U10","4",IF(F47="U9","4","3"))))))))</f>
        <v/>
      </c>
      <c r="J47" s="61">
        <f>IF(A47="KM Neufeld","Pleninger Stefan",IF(A47="U16 LL","Josch Kögl",IF(A47="U15 LL Nord","Serdar Ekinci",IF(A47="U14 Nord","Gernot Servelda",IF(A47="U13 Nord","Thomas Pöschl &amp; Lenz Honc",IF(A47="U11 Nord D","Mario Magler&amp;Ronny Archam",IF(A47="U9","Thomas Brandl&amp;Daniel Hofbauer",IF(A47="U8","Berger Tobias&amp;Sebastian Putric",IF(A47="U7","Türkes Ömer&amp;Mahsumi Taha",IF(A47="Camp","Berger Dieter",IF(A47="Turnier","Berger Dieter","FEHLER")))))))))))</f>
        <v/>
      </c>
      <c r="K47" s="61">
        <f>IF(A47="KM Neufeld","+43 664 415 99 09",IF(A47="U16 LL","+43 650 262 82 63",IF(A47="U15 LL Nord","+43 650 701 02 44",IF(A47="U14 Nord","+43 676 401 09 13",IF(A47="U13 Nord","+43 677 613 55 114 &amp; +43 664 114 43 52",IF(A47="U11 Nord D","+43 664 762 09 93 &amp; +43 699 111 93 828",IF(A47="U9","+43 676 377 16 30 &amp;  +43 399 197 871 81",IF(A47="U8","+43 660 199 13 52 &amp;  +43 660 914 92 36",IF(A47="U7","+43 676 661 62 26 &amp;  +43 681 208 115 99",IF(A47="Camp","+43 660 77 39 500",IF(A47="Turnier","+43 660 77 39 500","FEHLER")))))))))))</f>
        <v/>
      </c>
    </row>
    <row r="48" hidden="1" s="123">
      <c r="A48">
        <f>Heimspiele!C49</f>
        <v/>
      </c>
      <c r="B48" s="137">
        <f>Heimspiele!D49</f>
        <v/>
      </c>
      <c r="C48" s="137" t="n"/>
      <c r="D48">
        <f>Heimspiele!F49</f>
        <v/>
      </c>
      <c r="E48">
        <f>Heimspiele!G49</f>
        <v/>
      </c>
      <c r="F48" t="inlineStr">
        <is>
          <t>Großfeld</t>
        </is>
      </c>
      <c r="G48">
        <f>IF(F48="Großfeld","Großfeld",IF(F48="U16","Großfeld",IF(F48="U15","Großfeld",IF(F48="U14","Großfeld",IF(F48="U13","75x55",IF(F48="U11/U12","55x40",IF(F48="U9/U10","40x25",IF(F48="U8","29x22","25x20"))))))))</f>
        <v/>
      </c>
      <c r="H48">
        <f>IF(F48="Großfeld","7,32x2,44",IF(F48="U16","7,32x2,44",IF(F48="U15","7,32x2,44",IF(F48="U14","7,32x2,44",IF(F48="U13","5x2",IF(F48="U11/U12","5x2",IF(F48="U9/U10","5x2","4 Minitore")))))))</f>
        <v/>
      </c>
      <c r="I48">
        <f>IF(F48="Großfeld","5",IF(F48="U16","5",IF(F48="U15","5",IF(F48="U14","4",IF(F48="U13","4",IF(F48="U11/U12","4",IF(F48="U9/U10","4",IF(F48="U9","4","3"))))))))</f>
        <v/>
      </c>
      <c r="J48">
        <f>IF(A48="KM Neufeld","Pleninger Stefan",IF(A48="U16 LL","Josch Kögl",IF(A48="U15 LL Nord","Serdar Ekinci",IF(A48="U14 Nord","Gernot Servelda",IF(A48="U13 - Nord","Thomas Pöschl &amp; Lenz Honc",IF(A48="U11 Nord D","Mario Magler&amp;Ronny Archam",IF(A48="U9","Thomas Brandl&amp;Daniel Hofbauer",IF(A48="U8","Berger Tobias&amp;Sebastian Putric",IF(A48="U7","Türkes Ömer&amp;Mahsumi Taha",IF(A48="Camp","Berger Dieter",IF(A48="Turnier","Berger Dieter","FEHLER")))))))))))</f>
        <v/>
      </c>
      <c r="K48">
        <f>IF(A48="KM Neufeld","+43 664 415 99 09",IF(A48="U16 LL","+43 650 262 82 63",IF(A48="U15 LL Nord","+43 650 701 02 44",IF(A48="U14 - Nord","+43 676 401 09 13",IF(A48="U13 - Nord","+43 677 613 55 114 &amp; +43 664 114 43 52",IF(A48="U11 Nord D","+43 664 762 09 93 &amp; +43 699 111 93 828",IF(A48="U9","+43 676 377 16 30 &amp;  +43 399 197 871 81",IF(A48="U8","+43 660 199 13 52 &amp;  +43 660 914 92 36",IF(A48="U7","+43 676 661 62 26 &amp;  +43 681 208 115 99",IF(A48="Camp","+43 660 77 39 500",IF(A48="Turnier","+43 660 77 39 500","FEHLER")))))))))))</f>
        <v/>
      </c>
    </row>
    <row r="49" hidden="1" s="123">
      <c r="A49">
        <f>Heimspiele!C50</f>
        <v/>
      </c>
      <c r="B49" s="137">
        <f>Heimspiele!D50</f>
        <v/>
      </c>
      <c r="C49" s="137" t="n"/>
      <c r="D49">
        <f>Heimspiele!F50</f>
        <v/>
      </c>
      <c r="E49">
        <f>Heimspiele!G50</f>
        <v/>
      </c>
      <c r="F49" t="inlineStr">
        <is>
          <t>Großfeld</t>
        </is>
      </c>
      <c r="G49">
        <f>IF(F49="Großfeld","Großfeld",IF(F49="U16","Großfeld",IF(F49="U15","Großfeld",IF(F49="U14","Großfeld",IF(F49="U13","75x55",IF(F49="U11/U12","55x40",IF(F49="U9/U10","40x25",IF(F49="U8","29x22","25x20"))))))))</f>
        <v/>
      </c>
      <c r="H49">
        <f>IF(F49="Großfeld","7,32x2,44",IF(F49="U16","7,32x2,44",IF(F49="U15","7,32x2,44",IF(F49="U14","7,32x2,44",IF(F49="U13","5x2",IF(F49="U11/U12","5x2",IF(F49="U9/U10","5x2","4 Minitore")))))))</f>
        <v/>
      </c>
      <c r="I49">
        <f>IF(F49="Großfeld","5",IF(F49="U16","5",IF(F49="U15","5",IF(F49="U14","4",IF(F49="U13","4",IF(F49="U11/U12","4",IF(F49="U9/U10","4",IF(F49="U9","4","3"))))))))</f>
        <v/>
      </c>
      <c r="J49">
        <f>IF(A49="KM Neufeld","Pleninger Stefan",IF(A49="U16 LL","Josch Kögl",IF(A49="U15 LL Nord","Serdar Ekinci",IF(A49="U14 Nord","Gernot Servelda",IF(A49="U13 - Nord","Thomas Pöschl &amp; Lenz Honc",IF(A49="U11 Nord D","Mario Magler&amp;Ronny Archam",IF(A49="U9","Thomas Brandl&amp;Daniel Hofbauer",IF(A49="U8","Berger Tobias&amp;Sebastian Putric",IF(A49="U7","Türkes Ömer&amp;Mahsumi Taha",IF(A49="Camp","Berger Dieter",IF(A49="Turnier","Berger Dieter","FEHLER")))))))))))</f>
        <v/>
      </c>
      <c r="K49">
        <f>IF(A49="KM Neufeld","+43 664 415 99 09",IF(A49="U16 LL","+43 650 262 82 63",IF(A49="U15 LL Nord","+43 650 701 02 44",IF(A49="U14 - Nord","+43 676 401 09 13",IF(A49="U13 - Nord","+43 677 613 55 114 &amp; +43 664 114 43 52",IF(A49="U11 Nord D","+43 664 762 09 93 &amp; +43 699 111 93 828",IF(A49="U9","+43 676 377 16 30 &amp;  +43 399 197 871 81",IF(A49="U8","+43 660 199 13 52 &amp;  +43 660 914 92 36",IF(A49="U7","+43 676 661 62 26 &amp;  +43 681 208 115 99",IF(A49="Camp","+43 660 77 39 500",IF(A49="Turnier","+43 660 77 39 500","FEHLER")))))))))))</f>
        <v/>
      </c>
    </row>
    <row r="50" hidden="1" s="123">
      <c r="A50">
        <f>Heimspiele!C51</f>
        <v/>
      </c>
      <c r="B50" s="137">
        <f>Heimspiele!D51</f>
        <v/>
      </c>
      <c r="C50" s="137" t="n"/>
      <c r="D50">
        <f>Heimspiele!F51</f>
        <v/>
      </c>
      <c r="E50">
        <f>Heimspiele!G51</f>
        <v/>
      </c>
      <c r="F50" t="inlineStr">
        <is>
          <t>Großfeld</t>
        </is>
      </c>
      <c r="G50">
        <f>IF(F50="Großfeld","Großfeld",IF(F50="U16","Großfeld",IF(F50="U15","Großfeld",IF(F50="U14","Großfeld",IF(F50="U13","75x55",IF(F50="U11/U12","55x40",IF(F50="U9/U10","40x25",IF(F50="U8","29x22","25x20"))))))))</f>
        <v/>
      </c>
      <c r="H50">
        <f>IF(F50="Großfeld","7,32x2,44",IF(F50="U16","7,32x2,44",IF(F50="U15","7,32x2,44",IF(F50="U14","7,32x2,44",IF(F50="U13","5x2",IF(F50="U11/U12","5x2",IF(F50="U9/U10","5x2","4 Minitore")))))))</f>
        <v/>
      </c>
      <c r="I50">
        <f>IF(F50="Großfeld","5",IF(F50="U16","5",IF(F50="U15","5",IF(F50="U14","4",IF(F50="U13","4",IF(F50="U11/U12","4",IF(F50="U9/U10","4",IF(F50="U9","4","3"))))))))</f>
        <v/>
      </c>
      <c r="J50">
        <f>IF(A50="KM Neufeld","Pleninger Stefan",IF(A50="U16 LL","Josch Kögl",IF(A50="U15 LL Nord","Serdar Ekinci",IF(A50="U14 Nord","Gernot Servelda",IF(A50="U13 - Nord","Thomas Pöschl &amp; Lenz Honc",IF(A50="U11 Nord D","Mario Magler&amp;Ronny Archam",IF(A50="U9","Thomas Brandl&amp;Daniel Hofbauer",IF(A50="U8","Berger Tobias&amp;Sebastian Putric",IF(A50="U7","Türkes Ömer&amp;Mahsumi Taha",IF(A50="Camp","Berger Dieter",IF(A50="Turnier","Berger Dieter","FEHLER")))))))))))</f>
        <v/>
      </c>
      <c r="K50">
        <f>IF(A50="KM Neufeld","+43 664 415 99 09",IF(A50="U16 LL","+43 650 262 82 63",IF(A50="U15 LL Nord","+43 650 701 02 44",IF(A50="U14 - Nord","+43 676 401 09 13",IF(A50="U13 - Nord","+43 677 613 55 114 &amp; +43 664 114 43 52",IF(A50="U11 Nord D","+43 664 762 09 93 &amp; +43 699 111 93 828",IF(A50="U9","+43 676 377 16 30 &amp;  +43 399 197 871 81",IF(A50="U8","+43 660 199 13 52 &amp;  +43 660 914 92 36",IF(A50="U7","+43 676 661 62 26 &amp;  +43 681 208 115 99",IF(A50="Camp","+43 660 77 39 500",IF(A50="Turnier","+43 660 77 39 500","FEHLER")))))))))))</f>
        <v/>
      </c>
    </row>
    <row r="51" ht="15.6" customHeight="1" s="123">
      <c r="A51" s="61">
        <f>Heimspiele!C42</f>
        <v/>
      </c>
      <c r="B51" s="138">
        <f>Heimspiele!D42</f>
        <v/>
      </c>
      <c r="C51" s="139">
        <f>Heimspiele!E42</f>
        <v/>
      </c>
      <c r="D51" s="61">
        <f>Heimspiele!F42</f>
        <v/>
      </c>
      <c r="E51" s="61">
        <f>Heimspiele!G42</f>
        <v/>
      </c>
      <c r="F51" s="61" t="inlineStr">
        <is>
          <t>U11/U12</t>
        </is>
      </c>
      <c r="G51" s="61">
        <f>IF(F51="Großfeld","Großfeld",IF(F51="U16","Großfeld",IF(F51="U15","Großfeld",IF(F51="U14","Großfeld",IF(F51="U13","75x55",IF(F51="U11/U12","55x40",IF(F51="U9/U10","40x25",IF(F51="U8","29x22","25x20"))))))))</f>
        <v/>
      </c>
      <c r="H51" s="61">
        <f>IF(F51="Großfeld","7,32x2,44",IF(F51="U16","7,32x2,44",IF(F51="U15","7,32x2,44",IF(F51="U14","7,32x2,44",IF(F51="U13","5x2",IF(F51="U11/U12","5x2",IF(F51="U9/U10","5x2","4 Minitore")))))))</f>
        <v/>
      </c>
      <c r="I51" s="61">
        <f>IF(F51="Großfeld","5",IF(F51="U16","5",IF(F51="U15","5",IF(F51="U14","4",IF(F51="U13","4",IF(F51="U11/U12","4",IF(F51="U9/U10","4",IF(F51="U9","4","3"))))))))</f>
        <v/>
      </c>
      <c r="J51" s="61">
        <f>IF(A51="KM Neufeld","Pleninger Stefan",IF(A51="U16 LL","Josch Kögl",IF(A51="U15 LL Nord","Serdar Ekinci",IF(A51="U14 Nord","Gernot Servelda",IF(A51="U13 Nord","Thomas Pöschl &amp; Lenz Honc",IF(A51="U11 Nord D","Mario Magler&amp;Ronny Archam",IF(A51="U9","Thomas Brandl&amp;Daniel Hofbauer",IF(A51="U8","Berger Tobias&amp;Sebastian Putric",IF(A51="U7","Türkes Ömer&amp;Mahsumi Taha",IF(A51="Camp","Berger Dieter",IF(A51="Turnier","Berger Dieter","FEHLER")))))))))))</f>
        <v/>
      </c>
      <c r="K51" s="61">
        <f>IF(A51="KM Neufeld","+43 664 415 99 09",IF(A51="U16 LL","+43 650 262 82 63",IF(A51="U15 LL Nord","+43 650 701 02 44",IF(A51="U14 Nord","+43 676 401 09 13",IF(A51="U13 Nord","+43 677 613 55 114 &amp; +43 664 114 43 52",IF(A51="U11 Nord D","+43 664 762 09 93 &amp; +43 699 111 93 828",IF(A51="U9","+43 676 377 16 30 &amp;  +43 399 197 871 81",IF(A51="U8","+43 660 199 13 52 &amp;  +43 660 914 92 36",IF(A51="U7","+43 676 661 62 26 &amp;  +43 681 208 115 99",IF(A51="Camp","+43 660 77 39 500",IF(A51="Turnier","+43 660 77 39 500","FEHLER")))))))))))</f>
        <v/>
      </c>
    </row>
    <row r="52" hidden="1" s="123">
      <c r="A52">
        <f>Heimspiele!C53</f>
        <v/>
      </c>
      <c r="B52" s="137">
        <f>Heimspiele!D53</f>
        <v/>
      </c>
      <c r="C52" s="137" t="n"/>
      <c r="D52">
        <f>Heimspiele!F53</f>
        <v/>
      </c>
      <c r="E52">
        <f>Heimspiele!G53</f>
        <v/>
      </c>
      <c r="F52" t="inlineStr">
        <is>
          <t>Großfeld</t>
        </is>
      </c>
      <c r="G52">
        <f>IF(F52="Großfeld","Großfeld",IF(F52="U16","Großfeld",IF(F52="U15","Großfeld",IF(F52="U14","Großfeld",IF(F52="U13","75x55",IF(F52="U11/U12","55x40",IF(F52="U9/U10","40x25",IF(F52="U8","29x22","25x20"))))))))</f>
        <v/>
      </c>
      <c r="H52">
        <f>IF(F52="Großfeld","7,32x2,44",IF(F52="U16","7,32x2,44",IF(F52="U15","7,32x2,44",IF(F52="U14","7,32x2,44",IF(F52="U13","5x2",IF(F52="U11/U12","5x2",IF(F52="U9/U10","5x2","4 Minitore")))))))</f>
        <v/>
      </c>
      <c r="I52">
        <f>IF(F52="Großfeld","5",IF(F52="U16","5",IF(F52="U15","5",IF(F52="U14","4",IF(F52="U13","4",IF(F52="U11/U12","4",IF(F52="U9/U10","4",IF(F52="U9","4","3"))))))))</f>
        <v/>
      </c>
      <c r="J52">
        <f>IF(A52="KM Neufeld","Pleninger Stefan",IF(A52="U16 LL","Josch Kögl",IF(A52="U15 LL Nord","Serdar Ekinci",IF(A52="U14 Nord","Gernot Servelda",IF(A52="U13 - Nord","Thomas Pöschl &amp; Lenz Honc",IF(A52="U11 Nord D","Mario Magler&amp;Ronny Archam",IF(A52="U9","Thomas Brandl&amp;Daniel Hofbauer",IF(A52="U8","Berger Tobias&amp;Sebastian Putric",IF(A52="U7","Türkes Ömer&amp;Mahsumi Taha",IF(A52="Camp","Berger Dieter",IF(A52="Turnier","Berger Dieter","FEHLER")))))))))))</f>
        <v/>
      </c>
      <c r="K52">
        <f>IF(A52="KM Neufeld","+43 664 415 99 09",IF(A52="U16 LL","+43 650 262 82 63",IF(A52="U15 LL Nord","+43 650 701 02 44",IF(A52="U14 - Nord","+43 676 401 09 13",IF(A52="U13 - Nord","+43 677 613 55 114 &amp; +43 664 114 43 52",IF(A52="U11 Nord D","+43 664 762 09 93 &amp; +43 699 111 93 828",IF(A52="U9","+43 676 377 16 30 &amp;  +43 399 197 871 81",IF(A52="U8","+43 660 199 13 52 &amp;  +43 660 914 92 36",IF(A52="U7","+43 676 661 62 26 &amp;  +43 681 208 115 99",IF(A52="Camp","+43 660 77 39 500",IF(A52="Turnier","+43 660 77 39 500","FEHLER")))))))))))</f>
        <v/>
      </c>
    </row>
    <row r="53" ht="15.6" customHeight="1" s="123">
      <c r="A53" s="61">
        <f>Heimspiele!C45</f>
        <v/>
      </c>
      <c r="B53" s="138">
        <f>Heimspiele!D45</f>
        <v/>
      </c>
      <c r="C53" s="139">
        <f>Heimspiele!E45</f>
        <v/>
      </c>
      <c r="D53" s="61">
        <f>Heimspiele!F45</f>
        <v/>
      </c>
      <c r="E53" s="61">
        <f>Heimspiele!G45</f>
        <v/>
      </c>
      <c r="F53" s="61" t="inlineStr">
        <is>
          <t>U14</t>
        </is>
      </c>
      <c r="G53" s="61">
        <f>IF(F53="Großfeld","Großfeld",IF(F53="U16","Großfeld",IF(F53="U15","Großfeld",IF(F53="U14","Großfeld",IF(F53="U13","75x55",IF(F53="U11/U12","55x40",IF(F53="U9/U10","40x25",IF(F53="U8","29x22","25x20"))))))))</f>
        <v/>
      </c>
      <c r="H53" s="61">
        <f>IF(F53="Großfeld","7,32x2,44",IF(F53="U16","7,32x2,44",IF(F53="U15","7,32x2,44",IF(F53="U14","7,32x2,44",IF(F53="U13","5x2",IF(F53="U11/U12","5x2",IF(F53="U9/U10","5x2","4 Minitore")))))))</f>
        <v/>
      </c>
      <c r="I53" s="61">
        <f>IF(F53="Großfeld","5",IF(F53="U16","5",IF(F53="U15","5",IF(F53="U14","4",IF(F53="U13","4",IF(F53="U11/U12","4",IF(F53="U9/U10","4",IF(F53="U9","4","3"))))))))</f>
        <v/>
      </c>
      <c r="J53" s="61">
        <f>IF(A53="KM Neufeld","Pleninger Stefan",IF(A53="U16 LL","Josch Kögl",IF(A53="U15 LL Nord","Serdar Ekinci",IF(A53="U14 Nord","Gernot Servelda",IF(A53="U13 Nord","Thomas Pöschl &amp; Lenz Honc",IF(A53="U11 Nord D","Mario Magler&amp;Ronny Archam",IF(A53="U9","Thomas Brandl&amp;Daniel Hofbauer",IF(A53="U8","Berger Tobias&amp;Sebastian Putric",IF(A53="U7","Türkes Ömer&amp;Mahsumi Taha",IF(A53="Camp","Berger Dieter",IF(A53="Turnier","Berger Dieter","FEHLER")))))))))))</f>
        <v/>
      </c>
      <c r="K53" s="61">
        <f>IF(A53="KM Neufeld","+43 664 415 99 09",IF(A53="U16 LL","+43 650 262 82 63",IF(A53="U15 LL Nord","+43 650 701 02 44",IF(A53="U14 Nord","+43 676 401 09 13",IF(A53="U13 Nord","+43 677 613 55 114 &amp; +43 664 114 43 52",IF(A53="U11 Nord D","+43 664 762 09 93 &amp; +43 699 111 93 828",IF(A53="U9","+43 676 377 16 30 &amp;  +43 399 197 871 81",IF(A53="U8","+43 660 199 13 52 &amp;  +43 660 914 92 36",IF(A53="U7","+43 676 661 62 26 &amp;  +43 681 208 115 99",IF(A53="Camp","+43 660 77 39 500",IF(A53="Turnier","+43 660 77 39 500","FEHLER")))))))))))</f>
        <v/>
      </c>
    </row>
    <row r="54" hidden="1" s="123">
      <c r="A54">
        <f>Heimspiele!C55</f>
        <v/>
      </c>
      <c r="B54" s="137">
        <f>Heimspiele!D55</f>
        <v/>
      </c>
      <c r="C54" s="137" t="n"/>
      <c r="D54">
        <f>Heimspiele!F55</f>
        <v/>
      </c>
      <c r="E54">
        <f>Heimspiele!G55</f>
        <v/>
      </c>
      <c r="F54" t="inlineStr">
        <is>
          <t>Großfeld</t>
        </is>
      </c>
      <c r="G54">
        <f>IF(F54="Großfeld","Großfeld",IF(F54="U16","Großfeld",IF(F54="U15","Großfeld",IF(F54="U14","Großfeld",IF(F54="U13","75x55",IF(F54="U11/U12","55x40",IF(F54="U9/U10","40x25",IF(F54="U8","29x22","25x20"))))))))</f>
        <v/>
      </c>
      <c r="H54">
        <f>IF(F54="Großfeld","7,32x2,44",IF(F54="U16","7,32x2,44",IF(F54="U15","7,32x2,44",IF(F54="U14","7,32x2,44",IF(F54="U13","5x2",IF(F54="U11/U12","5x2",IF(F54="U9/U10","5x2","4 Minitore")))))))</f>
        <v/>
      </c>
      <c r="I54">
        <f>IF(F54="Großfeld","5",IF(F54="U16","5",IF(F54="U15","5",IF(F54="U14","4",IF(F54="U13","4",IF(F54="U11/U12","4",IF(F54="U9/U10","4",IF(F54="U9","4","3"))))))))</f>
        <v/>
      </c>
      <c r="J54">
        <f>IF(A54="KM Neufeld","Pleninger Stefan",IF(A54="U16 LL","Josch Kögl",IF(A54="U15 LL Nord","Serdar Ekinci",IF(A54="U14 Nord","Gernot Servelda",IF(A54="U13 - Nord","Thomas Pöschl &amp; Lenz Honc",IF(A54="U11 Nord D","Mario Magler&amp;Ronny Archam",IF(A54="U9","Thomas Brandl&amp;Daniel Hofbauer",IF(A54="U8","Berger Tobias&amp;Sebastian Putric",IF(A54="U7","Türkes Ömer&amp;Mahsumi Taha",IF(A54="Camp","Berger Dieter",IF(A54="Turnier","Berger Dieter","FEHLER")))))))))))</f>
        <v/>
      </c>
      <c r="K54">
        <f>IF(A54="KM Neufeld","+43 664 415 99 09",IF(A54="U16 LL","+43 650 262 82 63",IF(A54="U15 LL Nord","+43 650 701 02 44",IF(A54="U14 - Nord","+43 676 401 09 13",IF(A54="U13 - Nord","+43 677 613 55 114 &amp; +43 664 114 43 52",IF(A54="U11 Nord D","+43 664 762 09 93 &amp; +43 699 111 93 828",IF(A54="U9","+43 676 377 16 30 &amp;  +43 399 197 871 81",IF(A54="U8","+43 660 199 13 52 &amp;  +43 660 914 92 36",IF(A54="U7","+43 676 661 62 26 &amp;  +43 681 208 115 99",IF(A54="Camp","+43 660 77 39 500",IF(A54="Turnier","+43 660 77 39 500","FEHLER")))))))))))</f>
        <v/>
      </c>
    </row>
    <row r="55" ht="15.6" customHeight="1" s="123">
      <c r="A55" s="61">
        <f>Heimspiele!C44</f>
        <v/>
      </c>
      <c r="B55" s="138">
        <f>Heimspiele!D44</f>
        <v/>
      </c>
      <c r="C55" s="139">
        <f>Heimspiele!E44</f>
        <v/>
      </c>
      <c r="D55" s="61">
        <f>Heimspiele!F44</f>
        <v/>
      </c>
      <c r="E55" s="61">
        <f>Heimspiele!G44</f>
        <v/>
      </c>
      <c r="F55" s="61" t="inlineStr">
        <is>
          <t>U13</t>
        </is>
      </c>
      <c r="G55" s="61">
        <f>IF(F55="Großfeld","Großfeld",IF(F55="U16","Großfeld",IF(F55="U15","Großfeld",IF(F55="U14","Großfeld",IF(F55="U13","75x55",IF(F55="U11/U12","55x40",IF(F55="U9/U10","40x25",IF(F55="U8","29x22","25x20"))))))))</f>
        <v/>
      </c>
      <c r="H55" s="61">
        <f>IF(F55="Großfeld","7,32x2,44",IF(F55="U16","7,32x2,44",IF(F55="U15","7,32x2,44",IF(F55="U14","7,32x2,44",IF(F55="U13","5x2",IF(F55="U11/U12","5x2",IF(F55="U9/U10","5x2","4 Minitore")))))))</f>
        <v/>
      </c>
      <c r="I55" s="61">
        <f>IF(F55="Großfeld","5",IF(F55="U16","5",IF(F55="U15","5",IF(F55="U14","4",IF(F55="U13","4",IF(F55="U11/U12","4",IF(F55="U9/U10","4",IF(F55="U9","4","3"))))))))</f>
        <v/>
      </c>
      <c r="J55" s="61">
        <f>IF(A55="KM Neufeld","Pleninger Stefan",IF(A55="U16 LL","Josch Kögl",IF(A55="U15 LL Nord","Serdar Ekinci",IF(A55="U14 Nord","Gernot Servelda",IF(A55="U13 Nord","Thomas Pöschl &amp; Lenz Honc",IF(A55="U11 Nord D","Mario Magler&amp;Ronny Archam",IF(A55="U9","Thomas Brandl&amp;Daniel Hofbauer",IF(A55="U8","Berger Tobias&amp;Sebastian Putric",IF(A55="U7","Türkes Ömer&amp;Mahsumi Taha",IF(A55="Camp","Berger Dieter",IF(A55="Turnier","Berger Dieter","FEHLER")))))))))))</f>
        <v/>
      </c>
      <c r="K55" s="61">
        <f>IF(A55="KM Neufeld","+43 664 415 99 09",IF(A55="U16 LL","+43 650 262 82 63",IF(A55="U15 LL Nord","+43 650 701 02 44",IF(A55="U14 Nord","+43 676 401 09 13",IF(A55="U13 Nord","+43 677 613 55 114 &amp; +43 664 114 43 52",IF(A55="U11 Nord D","+43 664 762 09 93 &amp; +43 699 111 93 828",IF(A55="U9","+43 676 377 16 30 &amp;  +43 399 197 871 81",IF(A55="U8","+43 660 199 13 52 &amp;  +43 660 914 92 36",IF(A55="U7","+43 676 661 62 26 &amp;  +43 681 208 115 99",IF(A55="Camp","+43 660 77 39 500",IF(A55="Turnier","+43 660 77 39 500","FEHLER")))))))))))</f>
        <v/>
      </c>
    </row>
    <row r="56" hidden="1" s="123">
      <c r="A56">
        <f>Heimspiele!C57</f>
        <v/>
      </c>
      <c r="B56" s="137">
        <f>Heimspiele!D57</f>
        <v/>
      </c>
      <c r="C56" s="137" t="n"/>
      <c r="D56">
        <f>Heimspiele!F57</f>
        <v/>
      </c>
      <c r="E56">
        <f>Heimspiele!G57</f>
        <v/>
      </c>
      <c r="F56" t="inlineStr">
        <is>
          <t>Großfeld</t>
        </is>
      </c>
      <c r="G56">
        <f>IF(F56="Großfeld","Großfeld",IF(F56="U16","Großfeld",IF(F56="U15","Großfeld",IF(F56="U14","Großfeld",IF(F56="U13","75x55",IF(F56="U11/U12","55x40",IF(F56="U9/U10","40x25",IF(F56="U8","29x22","25x20"))))))))</f>
        <v/>
      </c>
      <c r="H56">
        <f>IF(F56="Großfeld","7,32x2,44",IF(F56="U16","7,32x2,44",IF(F56="U15","7,32x2,44",IF(F56="U14","7,32x2,44",IF(F56="U13","5x2",IF(F56="U11/U12","5x2",IF(F56="U9/U10","5x2","4 Minitore")))))))</f>
        <v/>
      </c>
      <c r="I56">
        <f>IF(F56="Großfeld","5",IF(F56="U16","5",IF(F56="U15","5",IF(F56="U14","4",IF(F56="U13","4",IF(F56="U11/U12","4",IF(F56="U9/U10","4",IF(F56="U9","4","3"))))))))</f>
        <v/>
      </c>
      <c r="J56">
        <f>IF(A56="KM Neufeld","Pleninger Stefan",IF(A56="U16 LL","Josch Kögl",IF(A56="U15 LL Nord","Serdar Ekinci",IF(A56="U14 Nord","Gernot Servelda",IF(A56="U13 - Nord","Thomas Pöschl &amp; Lenz Honc",IF(A56="U11 Nord D","Mario Magler&amp;Ronny Archam",IF(A56="U9","Thomas Brandl&amp;Daniel Hofbauer",IF(A56="U8","Berger Tobias&amp;Sebastian Putric",IF(A56="U7","Türkes Ömer&amp;Mahsumi Taha",IF(A56="Camp","Berger Dieter",IF(A56="Turnier","Berger Dieter","FEHLER")))))))))))</f>
        <v/>
      </c>
      <c r="K56">
        <f>IF(A56="KM Neufeld","+43 664 415 99 09",IF(A56="U16 LL","+43 650 262 82 63",IF(A56="U15 LL Nord","+43 650 701 02 44",IF(A56="U14 - Nord","+43 676 401 09 13",IF(A56="U13 - Nord","+43 677 613 55 114 &amp; +43 664 114 43 52",IF(A56="U11 Nord D","+43 664 762 09 93 &amp; +43 699 111 93 828",IF(A56="U9","+43 676 377 16 30 &amp;  +43 399 197 871 81",IF(A56="U8","+43 660 199 13 52 &amp;  +43 660 914 92 36",IF(A56="U7","+43 676 661 62 26 &amp;  +43 681 208 115 99",IF(A56="Camp","+43 660 77 39 500",IF(A56="Turnier","+43 660 77 39 500","FEHLER")))))))))))</f>
        <v/>
      </c>
    </row>
    <row r="57" ht="15.6" customHeight="1" s="123">
      <c r="A57" s="61">
        <f>Heimspiele!C48</f>
        <v/>
      </c>
      <c r="B57" s="138">
        <f>Heimspiele!D48</f>
        <v/>
      </c>
      <c r="C57" s="139">
        <f>Heimspiele!E48</f>
        <v/>
      </c>
      <c r="D57" s="61">
        <f>Heimspiele!F48</f>
        <v/>
      </c>
      <c r="E57" s="61">
        <f>Heimspiele!G48</f>
        <v/>
      </c>
      <c r="F57" s="61" t="inlineStr">
        <is>
          <t>U16</t>
        </is>
      </c>
      <c r="G57" s="61">
        <f>IF(F57="Großfeld","Großfeld",IF(F57="U16","Großfeld",IF(F57="U15","Großfeld",IF(F57="U14","Großfeld",IF(F57="U13","75x55",IF(F57="U11/U12","55x40",IF(F57="U9/U10","40x25",IF(F57="U8","29x22","25x20"))))))))</f>
        <v/>
      </c>
      <c r="H57" s="61">
        <f>IF(F57="Großfeld","7,32x2,44",IF(F57="U16","7,32x2,44",IF(F57="U15","7,32x2,44",IF(F57="U14","7,32x2,44",IF(F57="U13","5x2",IF(F57="U11/U12","5x2",IF(F57="U9/U10","5x2","4 Minitore")))))))</f>
        <v/>
      </c>
      <c r="I57" s="61">
        <f>IF(F57="Großfeld","5",IF(F57="U16","5",IF(F57="U15","5",IF(F57="U14","4",IF(F57="U13","4",IF(F57="U11/U12","4",IF(F57="U9/U10","4",IF(F57="U9","4","3"))))))))</f>
        <v/>
      </c>
      <c r="J57" s="61">
        <f>IF(A57="KM Neufeld","Pleninger Stefan",IF(A57="U16 LL","Josch Kögl",IF(A57="U15 LL Nord","Serdar Ekinci",IF(A57="U14 Nord","Gernot Servelda",IF(A57="U13 Nord","Thomas Pöschl &amp; Lenz Honc",IF(A57="U11 Nord D","Mario Magler&amp;Ronny Archam",IF(A57="U9","Thomas Brandl&amp;Daniel Hofbauer",IF(A57="U8","Berger Tobias&amp;Sebastian Putric",IF(A57="U7","Türkes Ömer&amp;Mahsumi Taha",IF(A57="Camp","Berger Dieter",IF(A57="Turnier","Berger Dieter","FEHLER")))))))))))</f>
        <v/>
      </c>
      <c r="K57" s="61">
        <f>IF(A57="KM Neufeld","+43 664 415 99 09",IF(A57="U16 LL","+43 650 262 82 63",IF(A57="U15 LL Nord","+43 650 701 02 44",IF(A57="U14 Nord","+43 676 401 09 13",IF(A57="U13 Nord","+43 677 613 55 114 &amp; +43 664 114 43 52",IF(A57="U11 Nord D","+43 664 762 09 93 &amp; +43 699 111 93 828",IF(A57="U9","+43 676 377 16 30 &amp;  +43 399 197 871 81",IF(A57="U8","+43 660 199 13 52 &amp;  +43 660 914 92 36",IF(A57="U7","+43 676 661 62 26 &amp;  +43 681 208 115 99",IF(A57="Camp","+43 660 77 39 500",IF(A57="Turnier","+43 660 77 39 500","FEHLER")))))))))))</f>
        <v/>
      </c>
    </row>
    <row r="58" hidden="1" s="123">
      <c r="A58">
        <f>Heimspiele!C59</f>
        <v/>
      </c>
      <c r="B58" s="137">
        <f>Heimspiele!D59</f>
        <v/>
      </c>
      <c r="C58" s="137" t="n"/>
      <c r="D58">
        <f>Heimspiele!F59</f>
        <v/>
      </c>
      <c r="E58">
        <f>Heimspiele!G59</f>
        <v/>
      </c>
      <c r="F58" t="inlineStr">
        <is>
          <t>Großfeld</t>
        </is>
      </c>
      <c r="G58">
        <f>IF(F58="Großfeld","Großfeld",IF(F58="U16","Großfeld",IF(F58="U15","Großfeld",IF(F58="U14","Großfeld",IF(F58="U13","75x55",IF(F58="U11/U12","55x40",IF(F58="U9/U10","40x25",IF(F58="U8","29x22","25x20"))))))))</f>
        <v/>
      </c>
      <c r="H58">
        <f>IF(F58="Großfeld","7,32x2,44",IF(F58="U16","7,32x2,44",IF(F58="U15","7,32x2,44",IF(F58="U14","7,32x2,44",IF(F58="U13","5x2",IF(F58="U11/U12","5x2",IF(F58="U9/U10","5x2","4 Minitore")))))))</f>
        <v/>
      </c>
      <c r="I58">
        <f>IF(F58="Großfeld","5",IF(F58="U16","5",IF(F58="U15","5",IF(F58="U14","4",IF(F58="U13","4",IF(F58="U11/U12","4",IF(F58="U9/U10","4",IF(F58="U9","4","3"))))))))</f>
        <v/>
      </c>
      <c r="J58">
        <f>IF(A58="KM Neufeld","Pleninger Stefan",IF(A58="U16 LL","Josch Kögl",IF(A58="U15 LL Nord","Serdar Ekinci",IF(A58="U14 Nord","Gernot Servelda",IF(A58="U13 - Nord","Thomas Pöschl &amp; Lenz Honc",IF(A58="U11 Nord D","Mario Magler&amp;Ronny Archam",IF(A58="U9","Thomas Brandl&amp;Daniel Hofbauer",IF(A58="U8","Berger Tobias&amp;Sebastian Putric",IF(A58="U7","Türkes Ömer&amp;Mahsumi Taha",IF(A58="Camp","Berger Dieter",IF(A58="Turnier","Berger Dieter","FEHLER")))))))))))</f>
        <v/>
      </c>
      <c r="K58">
        <f>IF(A58="KM Neufeld","+43 664 415 99 09",IF(A58="U16 LL","+43 650 262 82 63",IF(A58="U15 LL Nord","+43 650 701 02 44",IF(A58="U14 - Nord","+43 676 401 09 13",IF(A58="U13 - Nord","+43 677 613 55 114 &amp; +43 664 114 43 52",IF(A58="U11 Nord D","+43 664 762 09 93 &amp; +43 699 111 93 828",IF(A58="U9","+43 676 377 16 30 &amp;  +43 399 197 871 81",IF(A58="U8","+43 660 199 13 52 &amp;  +43 660 914 92 36",IF(A58="U7","+43 676 661 62 26 &amp;  +43 681 208 115 99",IF(A58="Camp","+43 660 77 39 500",IF(A58="Turnier","+43 660 77 39 500","FEHLER")))))))))))</f>
        <v/>
      </c>
    </row>
    <row r="59" ht="15.6" customHeight="1" s="123">
      <c r="A59" s="61">
        <f>Heimspiele!C52</f>
        <v/>
      </c>
      <c r="B59" s="138">
        <f>Heimspiele!D52</f>
        <v/>
      </c>
      <c r="C59" s="139">
        <f>Heimspiele!E52</f>
        <v/>
      </c>
      <c r="D59" s="61">
        <f>Heimspiele!F52</f>
        <v/>
      </c>
      <c r="E59" s="61">
        <f>Heimspiele!G52</f>
        <v/>
      </c>
      <c r="F59" s="61" t="inlineStr">
        <is>
          <t>Großfeld</t>
        </is>
      </c>
      <c r="G59" s="61">
        <f>IF(F59="Großfeld","Großfeld",IF(F59="U16","Großfeld",IF(F59="U15","Großfeld",IF(F59="U14","Großfeld",IF(F59="U13","75x55",IF(F59="U11/U12","55x40",IF(F59="U9/U10","40x25",IF(F59="U8","29x22","25x20"))))))))</f>
        <v/>
      </c>
      <c r="H59" s="61">
        <f>IF(F59="Großfeld","7,32x2,44",IF(F59="U16","7,32x2,44",IF(F59="U15","7,32x2,44",IF(F59="U14","7,32x2,44",IF(F59="U13","5x2",IF(F59="U11/U12","5x2",IF(F59="U9/U10","5x2","4 Minitore")))))))</f>
        <v/>
      </c>
      <c r="I59" s="61">
        <f>IF(F59="Großfeld","5",IF(F59="U16","5",IF(F59="U15","5",IF(F59="U14","4",IF(F59="U13","4",IF(F59="U11/U12","4",IF(F59="U9/U10","4",IF(F59="U9","4","3"))))))))</f>
        <v/>
      </c>
      <c r="J59" s="61">
        <f>IF(A59="KM Neufeld","Pleninger Stefan",IF(A59="U16 LL","Josch Kögl",IF(A59="U15 LL Nord","Serdar Ekinci",IF(A59="U14 Nord","Gernot Servelda",IF(A59="U13 Nord","Thomas Pöschl &amp; Lenz Honc",IF(A59="U11 Nord D","Mario Magler&amp;Ronny Archam",IF(A59="U9","Thomas Brandl&amp;Daniel Hofbauer",IF(A59="U8","Berger Tobias&amp;Sebastian Putric",IF(A59="U7","Türkes Ömer&amp;Mahsumi Taha",IF(A59="Camp","Berger Dieter",IF(A59="Turnier","Berger Dieter","FEHLER")))))))))))</f>
        <v/>
      </c>
      <c r="K59" s="61">
        <f>IF(A59="KM Neufeld","+43 664 415 99 09",IF(A59="U16 LL","+43 650 262 82 63",IF(A59="U15 LL Nord","+43 650 701 02 44",IF(A59="U14 Nord","+43 676 401 09 13",IF(A59="U13 Nord","+43 677 613 55 114 &amp; +43 664 114 43 52",IF(A59="U11 Nord D","+43 664 762 09 93 &amp; +43 699 111 93 828",IF(A59="U9","+43 676 377 16 30 &amp;  +43 399 197 871 81",IF(A59="U8","+43 660 199 13 52 &amp;  +43 660 914 92 36",IF(A59="U7","+43 676 661 62 26 &amp;  +43 681 208 115 99",IF(A59="Camp","+43 660 77 39 500",IF(A59="Turnier","+43 660 77 39 500","FEHLER")))))))))))</f>
        <v/>
      </c>
    </row>
    <row r="60" hidden="1" s="123">
      <c r="A60">
        <f>Heimspiele!C61</f>
        <v/>
      </c>
      <c r="B60" s="137">
        <f>Heimspiele!D61</f>
        <v/>
      </c>
      <c r="C60" s="137" t="n"/>
      <c r="D60">
        <f>Heimspiele!F61</f>
        <v/>
      </c>
      <c r="E60">
        <f>Heimspiele!G61</f>
        <v/>
      </c>
      <c r="F60" t="inlineStr">
        <is>
          <t>Großfeld</t>
        </is>
      </c>
      <c r="G60">
        <f>IF(F60="Großfeld","Großfeld",IF(F60="U16","Großfeld",IF(F60="U15","Großfeld",IF(F60="U14","Großfeld",IF(F60="U13","75x55",IF(F60="U11/U12","55x40",IF(F60="U9/U10","40x25",IF(F60="U8","29x22","25x20"))))))))</f>
        <v/>
      </c>
      <c r="H60">
        <f>IF(F60="Großfeld","7,32x2,44",IF(F60="U16","7,32x2,44",IF(F60="U15","7,32x2,44",IF(F60="U14","7,32x2,44",IF(F60="U13","5x2",IF(F60="U11/U12","5x2",IF(F60="U9/U10","5x2","4 Minitore")))))))</f>
        <v/>
      </c>
      <c r="I60">
        <f>IF(F60="Großfeld","5",IF(F60="U16","5",IF(F60="U15","5",IF(F60="U14","4",IF(F60="U13","4",IF(F60="U11/U12","4",IF(F60="U9/U10","4",IF(F60="U9","4","3"))))))))</f>
        <v/>
      </c>
      <c r="J60">
        <f>IF(A60="KM Neufeld","Pleninger Stefan",IF(A60="U16 LL","Josch Kögl",IF(A60="U15 LL Nord","Serdar Ekinci",IF(A60="U14 Nord","Gernot Servelda",IF(A60="U13 - Nord","Thomas Pöschl &amp; Lenz Honc",IF(A60="U11 Nord D","Mario Magler&amp;Ronny Archam",IF(A60="U9","Thomas Brandl&amp;Daniel Hofbauer",IF(A60="U8","Berger Tobias&amp;Sebastian Putric",IF(A60="U7","Türkes Ömer&amp;Mahsumi Taha",IF(A60="Camp","Berger Dieter",IF(A60="Turnier","Berger Dieter","FEHLER")))))))))))</f>
        <v/>
      </c>
      <c r="K60">
        <f>IF(A60="KM Neufeld","+43 664 415 99 09",IF(A60="U16 LL","+43 650 262 82 63",IF(A60="U15 LL Nord","+43 650 701 02 44",IF(A60="U14 - Nord","+43 676 401 09 13",IF(A60="U13 - Nord","+43 677 613 55 114 &amp; +43 664 114 43 52",IF(A60="U11 Nord D","+43 664 762 09 93 &amp; +43 699 111 93 828",IF(A60="U9","+43 676 377 16 30 &amp;  +43 399 197 871 81",IF(A60="U8","+43 660 199 13 52 &amp;  +43 660 914 92 36",IF(A60="U7","+43 676 661 62 26 &amp;  +43 681 208 115 99",IF(A60="Camp","+43 660 77 39 500",IF(A60="Turnier","+43 660 77 39 500","FEHLER")))))))))))</f>
        <v/>
      </c>
    </row>
    <row r="61" ht="15.6" customHeight="1" s="123">
      <c r="A61" s="61">
        <f>Heimspiele!C54</f>
        <v/>
      </c>
      <c r="B61" s="138">
        <f>Heimspiele!D54</f>
        <v/>
      </c>
      <c r="C61" s="139">
        <f>Heimspiele!E54</f>
        <v/>
      </c>
      <c r="D61" s="61">
        <f>Heimspiele!F54</f>
        <v/>
      </c>
      <c r="E61" s="61">
        <f>Heimspiele!G54</f>
        <v/>
      </c>
      <c r="F61" s="61" t="inlineStr">
        <is>
          <t>U15</t>
        </is>
      </c>
      <c r="G61" s="61">
        <f>IF(F61="Großfeld","Großfeld",IF(F61="U16","Großfeld",IF(F61="U15","Großfeld",IF(F61="U14","Großfeld",IF(F61="U13","75x55",IF(F61="U11/U12","55x40",IF(F61="U9/U10","40x25",IF(F61="U8","29x22","25x20"))))))))</f>
        <v/>
      </c>
      <c r="H61" s="61">
        <f>IF(F61="Großfeld","7,32x2,44",IF(F61="U16","7,32x2,44",IF(F61="U15","7,32x2,44",IF(F61="U14","7,32x2,44",IF(F61="U13","5x2",IF(F61="U11/U12","5x2",IF(F61="U9/U10","5x2","4 Minitore")))))))</f>
        <v/>
      </c>
      <c r="I61" s="61">
        <f>IF(F61="Großfeld","5",IF(F61="U16","5",IF(F61="U15","5",IF(F61="U14","4",IF(F61="U13","4",IF(F61="U11/U12","4",IF(F61="U9/U10","4",IF(F61="U9","4","3"))))))))</f>
        <v/>
      </c>
      <c r="J61" s="61">
        <f>IF(A61="KM Neufeld","Pleninger Stefan",IF(A61="U16 LL","Josch Kögl",IF(A61="U15 LL Nord","Serdar Ekinci",IF(A61="U14 Nord","Gernot Servelda",IF(A61="U13 Nord","Thomas Pöschl &amp; Lenz Honc",IF(A61="U11 Nord D","Mario Magler&amp;Ronny Archam",IF(A61="U9","Thomas Brandl&amp;Daniel Hofbauer",IF(A61="U8","Berger Tobias&amp;Sebastian Putric",IF(A61="U7","Türkes Ömer&amp;Mahsumi Taha",IF(A61="Camp","Berger Dieter",IF(A61="Turnier","Berger Dieter","FEHLER")))))))))))</f>
        <v/>
      </c>
      <c r="K61" s="61">
        <f>IF(A61="KM Neufeld","+43 664 415 99 09",IF(A61="U16 LL","+43 650 262 82 63",IF(A61="U15 LL Nord","+43 650 701 02 44",IF(A61="U14 Nord","+43 676 401 09 13",IF(A61="U13 Nord","+43 677 613 55 114 &amp; +43 664 114 43 52",IF(A61="U11 Nord D","+43 664 762 09 93 &amp; +43 699 111 93 828",IF(A61="U9","+43 676 377 16 30 &amp;  +43 399 197 871 81",IF(A61="U8","+43 660 199 13 52 &amp;  +43 660 914 92 36",IF(A61="U7","+43 676 661 62 26 &amp;  +43 681 208 115 99",IF(A61="Camp","+43 660 77 39 500",IF(A61="Turnier","+43 660 77 39 500","FEHLER")))))))))))</f>
        <v/>
      </c>
    </row>
    <row r="62" hidden="1" s="123">
      <c r="A62">
        <f>Heimspiele!C63</f>
        <v/>
      </c>
      <c r="B62" s="137">
        <f>Heimspiele!D63</f>
        <v/>
      </c>
      <c r="C62" s="137" t="n"/>
      <c r="D62">
        <f>Heimspiele!F63</f>
        <v/>
      </c>
      <c r="E62">
        <f>Heimspiele!G63</f>
        <v/>
      </c>
      <c r="F62" t="inlineStr">
        <is>
          <t>Großfeld</t>
        </is>
      </c>
      <c r="G62">
        <f>IF(F62="Großfeld","Großfeld",IF(F62="U16","Großfeld",IF(F62="U15","Großfeld",IF(F62="U14","Großfeld",IF(F62="U13","75x55",IF(F62="U11/U12","55x40",IF(F62="U9/U10","40x25",IF(F62="U8","29x22","25x20"))))))))</f>
        <v/>
      </c>
      <c r="H62">
        <f>IF(F62="Großfeld","7,32x2,44",IF(F62="U16","7,32x2,44",IF(F62="U15","7,32x2,44",IF(F62="U14","7,32x2,44",IF(F62="U13","5x2",IF(F62="U11/U12","5x2",IF(F62="U9/U10","5x2","4 Minitore")))))))</f>
        <v/>
      </c>
      <c r="I62">
        <f>IF(F62="Großfeld","5",IF(F62="U16","5",IF(F62="U15","5",IF(F62="U14","4",IF(F62="U13","4",IF(F62="U11/U12","4",IF(F62="U9/U10","4",IF(F62="U9","4","3"))))))))</f>
        <v/>
      </c>
      <c r="J62">
        <f>IF(A62="KM Neufeld","Pleninger Stefan",IF(A62="U16 LL","Josch Kögl",IF(A62="U15 LL Nord","Serdar Ekinci",IF(A62="U14 Nord","Gernot Servelda",IF(A62="U13 - Nord","Thomas Pöschl &amp; Lenz Honc",IF(A62="U11 Nord D","Mario Magler&amp;Ronny Archam",IF(A62="U9","Thomas Brandl&amp;Daniel Hofbauer",IF(A62="U8","Berger Tobias&amp;Sebastian Putric",IF(A62="U7","Türkes Ömer&amp;Mahsumi Taha",IF(A62="Camp","Berger Dieter",IF(A62="Turnier","Berger Dieter","FEHLER")))))))))))</f>
        <v/>
      </c>
      <c r="K62">
        <f>IF(A62="KM Neufeld","+43 664 415 99 09",IF(A62="U16 LL","+43 650 262 82 63",IF(A62="U15 LL Nord","+43 650 701 02 44",IF(A62="U14 - Nord","+43 676 401 09 13",IF(A62="U13 - Nord","+43 677 613 55 114 &amp; +43 664 114 43 52",IF(A62="U11 Nord D","+43 664 762 09 93 &amp; +43 699 111 93 828",IF(A62="U9","+43 676 377 16 30 &amp;  +43 399 197 871 81",IF(A62="U8","+43 660 199 13 52 &amp;  +43 660 914 92 36",IF(A62="U7","+43 676 661 62 26 &amp;  +43 681 208 115 99",IF(A62="Camp","+43 660 77 39 500",IF(A62="Turnier","+43 660 77 39 500","FEHLER")))))))))))</f>
        <v/>
      </c>
    </row>
    <row r="63" hidden="1" s="123">
      <c r="A63">
        <f>Heimspiele!C64</f>
        <v/>
      </c>
      <c r="B63" s="137">
        <f>Heimspiele!D64</f>
        <v/>
      </c>
      <c r="C63" s="137" t="n"/>
      <c r="D63">
        <f>Heimspiele!F64</f>
        <v/>
      </c>
      <c r="E63">
        <f>Heimspiele!G64</f>
        <v/>
      </c>
      <c r="F63" t="inlineStr">
        <is>
          <t>Großfeld</t>
        </is>
      </c>
      <c r="G63">
        <f>IF(F63="Großfeld","Großfeld",IF(F63="U16","Großfeld",IF(F63="U15","Großfeld",IF(F63="U14","Großfeld",IF(F63="U13","75x55",IF(F63="U11/U12","55x40",IF(F63="U9/U10","40x25",IF(F63="U8","29x22","25x20"))))))))</f>
        <v/>
      </c>
      <c r="H63">
        <f>IF(F63="Großfeld","7,32x2,44",IF(F63="U16","7,32x2,44",IF(F63="U15","7,32x2,44",IF(F63="U14","7,32x2,44",IF(F63="U13","5x2",IF(F63="U11/U12","5x2",IF(F63="U9/U10","5x2","4 Minitore")))))))</f>
        <v/>
      </c>
      <c r="I63">
        <f>IF(F63="Großfeld","5",IF(F63="U16","5",IF(F63="U15","5",IF(F63="U14","4",IF(F63="U13","4",IF(F63="U11/U12","4",IF(F63="U9/U10","4",IF(F63="U9","4","3"))))))))</f>
        <v/>
      </c>
      <c r="J63">
        <f>IF(A63="KM Neufeld","Pleninger Stefan",IF(A63="U16 LL","Josch Kögl",IF(A63="U15 LL Nord","Serdar Ekinci",IF(A63="U14 Nord","Gernot Servelda",IF(A63="U13 - Nord","Thomas Pöschl &amp; Lenz Honc",IF(A63="U11 Nord D","Mario Magler&amp;Ronny Archam",IF(A63="U9","Thomas Brandl&amp;Daniel Hofbauer",IF(A63="U8","Berger Tobias&amp;Sebastian Putric",IF(A63="U7","Türkes Ömer&amp;Mahsumi Taha",IF(A63="Camp","Berger Dieter",IF(A63="Turnier","Berger Dieter","FEHLER")))))))))))</f>
        <v/>
      </c>
      <c r="K63">
        <f>IF(A63="KM Neufeld","+43 664 415 99 09",IF(A63="U16 LL","+43 650 262 82 63",IF(A63="U15 LL Nord","+43 650 701 02 44",IF(A63="U14 - Nord","+43 676 401 09 13",IF(A63="U13 - Nord","+43 677 613 55 114 &amp; +43 664 114 43 52",IF(A63="U11 Nord D","+43 664 762 09 93 &amp; +43 699 111 93 828",IF(A63="U9","+43 676 377 16 30 &amp;  +43 399 197 871 81",IF(A63="U8","+43 660 199 13 52 &amp;  +43 660 914 92 36",IF(A63="U7","+43 676 661 62 26 &amp;  +43 681 208 115 99",IF(A63="Camp","+43 660 77 39 500",IF(A63="Turnier","+43 660 77 39 500","FEHLER")))))))))))</f>
        <v/>
      </c>
    </row>
    <row r="64" ht="15.6" customHeight="1" s="123">
      <c r="A64" s="61">
        <f>Heimspiele!C56</f>
        <v/>
      </c>
      <c r="B64" s="138">
        <f>Heimspiele!D56</f>
        <v/>
      </c>
      <c r="C64" s="139">
        <f>Heimspiele!E56</f>
        <v/>
      </c>
      <c r="D64" s="61">
        <f>Heimspiele!F56</f>
        <v/>
      </c>
      <c r="E64" s="61">
        <f>Heimspiele!G56</f>
        <v/>
      </c>
      <c r="F64" s="61" t="inlineStr">
        <is>
          <t>U11/U12</t>
        </is>
      </c>
      <c r="G64" s="61">
        <f>IF(F64="Großfeld","Großfeld",IF(F64="U16","Großfeld",IF(F64="U15","Großfeld",IF(F64="U14","Großfeld",IF(F64="U13","75x55",IF(F64="U11/U12","55x40",IF(F64="U9/U10","40x25",IF(F64="U8","29x22","25x20"))))))))</f>
        <v/>
      </c>
      <c r="H64" s="61">
        <f>IF(F64="Großfeld","7,32x2,44",IF(F64="U16","7,32x2,44",IF(F64="U15","7,32x2,44",IF(F64="U14","7,32x2,44",IF(F64="U13","5x2",IF(F64="U11/U12","5x2",IF(F64="U9/U10","5x2","4 Minitore")))))))</f>
        <v/>
      </c>
      <c r="I64" s="61">
        <f>IF(F64="Großfeld","5",IF(F64="U16","5",IF(F64="U15","5",IF(F64="U14","4",IF(F64="U13","4",IF(F64="U11/U12","4",IF(F64="U9/U10","4",IF(F64="U9","4","3"))))))))</f>
        <v/>
      </c>
      <c r="J64" s="61">
        <f>IF(A64="KM Neufeld","Pleninger Stefan",IF(A64="U16 LL","Josch Kögl",IF(A64="U15 LL Nord","Serdar Ekinci",IF(A64="U14 Nord","Gernot Servelda",IF(A64="U13 Nord","Thomas Pöschl &amp; Lenz Honc",IF(A64="U11 Nord D","Mario Magler&amp;Ronny Archam",IF(A64="U9","Thomas Brandl&amp;Daniel Hofbauer",IF(A64="U8","Berger Tobias&amp;Sebastian Putric",IF(A64="U7","Türkes Ömer&amp;Mahsumi Taha",IF(A64="Camp","Berger Dieter",IF(A64="Turnier","Berger Dieter","FEHLER")))))))))))</f>
        <v/>
      </c>
      <c r="K64" s="61">
        <f>IF(A64="KM Neufeld","+43 664 415 99 09",IF(A64="U16 LL","+43 650 262 82 63",IF(A64="U15 LL Nord","+43 650 701 02 44",IF(A64="U14 Nord","+43 676 401 09 13",IF(A64="U13 Nord","+43 677 613 55 114 &amp; +43 664 114 43 52",IF(A64="U11 Nord D","+43 664 762 09 93 &amp; +43 699 111 93 828",IF(A64="U9","+43 676 377 16 30 &amp;  +43 399 197 871 81",IF(A64="U8","+43 660 199 13 52 &amp;  +43 660 914 92 36",IF(A64="U7","+43 676 661 62 26 &amp;  +43 681 208 115 99",IF(A64="Camp","+43 660 77 39 500",IF(A64="Turnier","+43 660 77 39 500","FEHLER")))))))))))</f>
        <v/>
      </c>
    </row>
    <row r="65" hidden="1" s="123">
      <c r="A65">
        <f>Heimspiele!C66</f>
        <v/>
      </c>
      <c r="B65" s="137">
        <f>Heimspiele!D66</f>
        <v/>
      </c>
      <c r="C65" s="137" t="n"/>
      <c r="D65">
        <f>Heimspiele!F66</f>
        <v/>
      </c>
      <c r="E65">
        <f>Heimspiele!G66</f>
        <v/>
      </c>
      <c r="F65" t="inlineStr">
        <is>
          <t>Großfeld</t>
        </is>
      </c>
      <c r="G65">
        <f>IF(F65="Großfeld","Großfeld",IF(F65="U16","Großfeld",IF(F65="U15","Großfeld",IF(F65="U14","Großfeld",IF(F65="U13","75x55",IF(F65="U11/U12","55x40",IF(F65="U9/U10","40x25",IF(F65="U8","29x22","25x20"))))))))</f>
        <v/>
      </c>
      <c r="H65">
        <f>IF(F65="Großfeld","7,32x2,44",IF(F65="U16","7,32x2,44",IF(F65="U15","7,32x2,44",IF(F65="U14","7,32x2,44",IF(F65="U13","5x2",IF(F65="U11/U12","5x2",IF(F65="U9/U10","5x2","4 Minitore")))))))</f>
        <v/>
      </c>
      <c r="I65">
        <f>IF(F65="Großfeld","5",IF(F65="U16","5",IF(F65="U15","5",IF(F65="U14","4",IF(F65="U13","4",IF(F65="U11/U12","4",IF(F65="U9/U10","4",IF(F65="U9","4","3"))))))))</f>
        <v/>
      </c>
      <c r="J65">
        <f>IF(A65="KM Neufeld","Pleninger Stefan",IF(A65="U16 LL","Josch Kögl",IF(A65="U15 LL Nord","Serdar Ekinci",IF(A65="U14 Nord","Gernot Servelda",IF(A65="U13 - Nord","Thomas Pöschl &amp; Lenz Honc",IF(A65="U11 Nord D","Mario Magler&amp;Ronny Archam",IF(A65="U9","Thomas Brandl&amp;Daniel Hofbauer",IF(A65="U8","Berger Tobias&amp;Sebastian Putric",IF(A65="U7","Türkes Ömer&amp;Mahsumi Taha",IF(A65="Camp","Berger Dieter",IF(A65="Turnier","Berger Dieter","FEHLER")))))))))))</f>
        <v/>
      </c>
      <c r="K65">
        <f>IF(A65="KM Neufeld","+43 664 415 99 09",IF(A65="U16 LL","+43 650 262 82 63",IF(A65="U15 LL Nord","+43 650 701 02 44",IF(A65="U14 - Nord","+43 676 401 09 13",IF(A65="U13 - Nord","+43 677 613 55 114 &amp; +43 664 114 43 52",IF(A65="U11 Nord D","+43 664 762 09 93 &amp; +43 699 111 93 828",IF(A65="U9","+43 676 377 16 30 &amp;  +43 399 197 871 81",IF(A65="U8","+43 660 199 13 52 &amp;  +43 660 914 92 36",IF(A65="U7","+43 676 661 62 26 &amp;  +43 681 208 115 99",IF(A65="Camp","+43 660 77 39 500",IF(A65="Turnier","+43 660 77 39 500","FEHLER")))))))))))</f>
        <v/>
      </c>
    </row>
    <row r="66" hidden="1" s="123">
      <c r="A66">
        <f>Heimspiele!C67</f>
        <v/>
      </c>
      <c r="B66" s="137">
        <f>Heimspiele!D67</f>
        <v/>
      </c>
      <c r="C66" s="137" t="n"/>
      <c r="D66">
        <f>Heimspiele!F67</f>
        <v/>
      </c>
      <c r="E66">
        <f>Heimspiele!G67</f>
        <v/>
      </c>
      <c r="F66" t="inlineStr">
        <is>
          <t>Großfeld</t>
        </is>
      </c>
      <c r="G66">
        <f>IF(F66="Großfeld","Großfeld",IF(F66="U16","Großfeld",IF(F66="U15","Großfeld",IF(F66="U14","Großfeld",IF(F66="U13","75x55",IF(F66="U11/U12","55x40",IF(F66="U9/U10","40x25",IF(F66="U8","29x22","25x20"))))))))</f>
        <v/>
      </c>
      <c r="H66">
        <f>IF(F66="Großfeld","7,32x2,44",IF(F66="U16","7,32x2,44",IF(F66="U15","7,32x2,44",IF(F66="U14","7,32x2,44",IF(F66="U13","5x2",IF(F66="U11/U12","5x2",IF(F66="U9/U10","5x2","4 Minitore")))))))</f>
        <v/>
      </c>
      <c r="I66">
        <f>IF(F66="Großfeld","5",IF(F66="U16","5",IF(F66="U15","5",IF(F66="U14","4",IF(F66="U13","4",IF(F66="U11/U12","4",IF(F66="U9/U10","4",IF(F66="U9","4","3"))))))))</f>
        <v/>
      </c>
      <c r="J66">
        <f>IF(A66="KM Neufeld","Pleninger Stefan",IF(A66="U16 LL","Josch Kögl",IF(A66="U15 LL Nord","Serdar Ekinci",IF(A66="U14 Nord","Gernot Servelda",IF(A66="U13 - Nord","Thomas Pöschl &amp; Lenz Honc",IF(A66="U11 Nord D","Mario Magler&amp;Ronny Archam",IF(A66="U9","Thomas Brandl&amp;Daniel Hofbauer",IF(A66="U8","Berger Tobias&amp;Sebastian Putric",IF(A66="U7","Türkes Ömer&amp;Mahsumi Taha",IF(A66="Camp","Berger Dieter",IF(A66="Turnier","Berger Dieter","FEHLER")))))))))))</f>
        <v/>
      </c>
      <c r="K66">
        <f>IF(A66="KM Neufeld","+43 664 415 99 09",IF(A66="U16 LL","+43 650 262 82 63",IF(A66="U15 LL Nord","+43 650 701 02 44",IF(A66="U14 - Nord","+43 676 401 09 13",IF(A66="U13 - Nord","+43 677 613 55 114 &amp; +43 664 114 43 52",IF(A66="U11 Nord D","+43 664 762 09 93 &amp; +43 699 111 93 828",IF(A66="U9","+43 676 377 16 30 &amp;  +43 399 197 871 81",IF(A66="U8","+43 660 199 13 52 &amp;  +43 660 914 92 36",IF(A66="U7","+43 676 661 62 26 &amp;  +43 681 208 115 99",IF(A66="Camp","+43 660 77 39 500",IF(A66="Turnier","+43 660 77 39 500","FEHLER")))))))))))</f>
        <v/>
      </c>
    </row>
    <row r="67" hidden="1" s="123">
      <c r="A67">
        <f>Heimspiele!C68</f>
        <v/>
      </c>
      <c r="B67" s="137">
        <f>Heimspiele!D68</f>
        <v/>
      </c>
      <c r="C67" s="137" t="n"/>
      <c r="D67">
        <f>Heimspiele!F68</f>
        <v/>
      </c>
      <c r="E67">
        <f>Heimspiele!G68</f>
        <v/>
      </c>
      <c r="F67" t="inlineStr">
        <is>
          <t>Großfeld</t>
        </is>
      </c>
      <c r="G67">
        <f>IF(F67="Großfeld","Großfeld",IF(F67="U16","Großfeld",IF(F67="U15","Großfeld",IF(F67="U14","Großfeld",IF(F67="U13","75x55",IF(F67="U11/U12","55x40",IF(F67="U9/U10","40x25",IF(F67="U8","29x22","25x20"))))))))</f>
        <v/>
      </c>
      <c r="H67">
        <f>IF(F67="Großfeld","7,32x2,44",IF(F67="U16","7,32x2,44",IF(F67="U15","7,32x2,44",IF(F67="U14","7,32x2,44",IF(F67="U13","5x2",IF(F67="U11/U12","5x2",IF(F67="U9/U10","5x2","4 Minitore")))))))</f>
        <v/>
      </c>
      <c r="I67">
        <f>IF(F67="Großfeld","5",IF(F67="U16","5",IF(F67="U15","5",IF(F67="U14","4",IF(F67="U13","4",IF(F67="U11/U12","4",IF(F67="U9/U10","4",IF(F67="U9","4","3"))))))))</f>
        <v/>
      </c>
      <c r="J67">
        <f>IF(A67="KM Neufeld","Pleninger Stefan",IF(A67="U16 LL","Josch Kögl",IF(A67="U15 LL Nord","Serdar Ekinci",IF(A67="U14 Nord","Gernot Servelda",IF(A67="U13 - Nord","Thomas Pöschl &amp; Lenz Honc",IF(A67="U11 Nord D","Mario Magler&amp;Ronny Archam",IF(A67="U9","Thomas Brandl&amp;Daniel Hofbauer",IF(A67="U8","Berger Tobias&amp;Sebastian Putric",IF(A67="U7","Türkes Ömer&amp;Mahsumi Taha",IF(A67="Camp","Berger Dieter",IF(A67="Turnier","Berger Dieter","FEHLER")))))))))))</f>
        <v/>
      </c>
      <c r="K67">
        <f>IF(A67="KM Neufeld","+43 664 415 99 09",IF(A67="U16 LL","+43 650 262 82 63",IF(A67="U15 LL Nord","+43 650 701 02 44",IF(A67="U14 - Nord","+43 676 401 09 13",IF(A67="U13 - Nord","+43 677 613 55 114 &amp; +43 664 114 43 52",IF(A67="U11 Nord D","+43 664 762 09 93 &amp; +43 699 111 93 828",IF(A67="U9","+43 676 377 16 30 &amp;  +43 399 197 871 81",IF(A67="U8","+43 660 199 13 52 &amp;  +43 660 914 92 36",IF(A67="U7","+43 676 661 62 26 &amp;  +43 681 208 115 99",IF(A67="Camp","+43 660 77 39 500",IF(A67="Turnier","+43 660 77 39 500","FEHLER")))))))))))</f>
        <v/>
      </c>
    </row>
    <row r="68" hidden="1" s="123">
      <c r="A68">
        <f>Heimspiele!C69</f>
        <v/>
      </c>
      <c r="B68" s="137">
        <f>Heimspiele!D69</f>
        <v/>
      </c>
      <c r="C68" s="137" t="n"/>
      <c r="D68">
        <f>Heimspiele!F69</f>
        <v/>
      </c>
      <c r="E68">
        <f>Heimspiele!G69</f>
        <v/>
      </c>
      <c r="F68" t="inlineStr">
        <is>
          <t>Großfeld</t>
        </is>
      </c>
      <c r="G68">
        <f>IF(F68="Großfeld","Großfeld",IF(F68="U16","Großfeld",IF(F68="U15","Großfeld",IF(F68="U14","Großfeld",IF(F68="U13","75x55",IF(F68="U11/U12","55x40",IF(F68="U9/U10","40x25",IF(F68="U8","29x22","25x20"))))))))</f>
        <v/>
      </c>
      <c r="H68">
        <f>IF(F68="Großfeld","7,32x2,44",IF(F68="U16","7,32x2,44",IF(F68="U15","7,32x2,44",IF(F68="U14","7,32x2,44",IF(F68="U13","5x2",IF(F68="U11/U12","5x2",IF(F68="U9/U10","5x2","4 Minitore")))))))</f>
        <v/>
      </c>
      <c r="I68">
        <f>IF(F68="Großfeld","5",IF(F68="U16","5",IF(F68="U15","5",IF(F68="U14","4",IF(F68="U13","4",IF(F68="U11/U12","4",IF(F68="U9/U10","4",IF(F68="U9","4","3"))))))))</f>
        <v/>
      </c>
      <c r="J68">
        <f>IF(A68="KM Neufeld","Pleninger Stefan",IF(A68="U16 LL","Josch Kögl",IF(A68="U15 LL Nord","Serdar Ekinci",IF(A68="U14 Nord","Gernot Servelda",IF(A68="U13 - Nord","Thomas Pöschl &amp; Lenz Honc",IF(A68="U11 Nord D","Mario Magler&amp;Ronny Archam",IF(A68="U9","Thomas Brandl&amp;Daniel Hofbauer",IF(A68="U8","Berger Tobias&amp;Sebastian Putric",IF(A68="U7","Türkes Ömer&amp;Mahsumi Taha",IF(A68="Camp","Berger Dieter",IF(A68="Turnier","Berger Dieter","FEHLER")))))))))))</f>
        <v/>
      </c>
      <c r="K68">
        <f>IF(A68="KM Neufeld","+43 664 415 99 09",IF(A68="U16 LL","+43 650 262 82 63",IF(A68="U15 LL Nord","+43 650 701 02 44",IF(A68="U14 - Nord","+43 676 401 09 13",IF(A68="U13 - Nord","+43 677 613 55 114 &amp; +43 664 114 43 52",IF(A68="U11 Nord D","+43 664 762 09 93 &amp; +43 699 111 93 828",IF(A68="U9","+43 676 377 16 30 &amp;  +43 399 197 871 81",IF(A68="U8","+43 660 199 13 52 &amp;  +43 660 914 92 36",IF(A68="U7","+43 676 661 62 26 &amp;  +43 681 208 115 99",IF(A68="Camp","+43 660 77 39 500",IF(A68="Turnier","+43 660 77 39 500","FEHLER")))))))))))</f>
        <v/>
      </c>
    </row>
    <row r="69" ht="15.6" customHeight="1" s="123">
      <c r="A69" s="61">
        <f>Heimspiele!C58</f>
        <v/>
      </c>
      <c r="B69" s="138">
        <f>Heimspiele!D58</f>
        <v/>
      </c>
      <c r="C69" s="139">
        <f>Heimspiele!E58</f>
        <v/>
      </c>
      <c r="D69" s="61">
        <f>Heimspiele!F58</f>
        <v/>
      </c>
      <c r="E69" s="61">
        <f>Heimspiele!G58</f>
        <v/>
      </c>
      <c r="F69" s="61" t="inlineStr">
        <is>
          <t>Großfeld</t>
        </is>
      </c>
      <c r="G69" s="61">
        <f>IF(F69="Großfeld","Großfeld",IF(F69="U16","Großfeld",IF(F69="U15","Großfeld",IF(F69="U14","Großfeld",IF(F69="U13","75x55",IF(F69="U11/U12","55x40",IF(F69="U9/U10","40x25",IF(F69="U8","29x22","25x20"))))))))</f>
        <v/>
      </c>
      <c r="H69" s="61">
        <f>IF(F69="Großfeld","7,32x2,44",IF(F69="U16","7,32x2,44",IF(F69="U15","7,32x2,44",IF(F69="U14","7,32x2,44",IF(F69="U13","5x2",IF(F69="U11/U12","5x2",IF(F69="U9/U10","5x2","4 Minitore")))))))</f>
        <v/>
      </c>
      <c r="I69" s="61">
        <f>IF(F69="Großfeld","5",IF(F69="U16","5",IF(F69="U15","5",IF(F69="U14","4",IF(F69="U13","4",IF(F69="U11/U12","4",IF(F69="U9/U10","4",IF(F69="U9","4","3"))))))))</f>
        <v/>
      </c>
      <c r="J69" s="61">
        <f>IF(A69="KM Neufeld","Pleninger Stefan",IF(A69="U16 LL","Josch Kögl",IF(A69="U15 LL Nord","Serdar Ekinci",IF(A69="U14 Nord","Gernot Servelda",IF(A69="U13 Nord","Thomas Pöschl &amp; Lenz Honc",IF(A69="U11 Nord D","Mario Magler&amp;Ronny Archam",IF(A69="U9","Thomas Brandl&amp;Daniel Hofbauer",IF(A69="U8","Berger Tobias&amp;Sebastian Putric",IF(A69="U7","Türkes Ömer&amp;Mahsumi Taha",IF(A69="Camp","Berger Dieter",IF(A69="Turnier","Berger Dieter","FEHLER")))))))))))</f>
        <v/>
      </c>
      <c r="K69" s="61">
        <f>IF(A69="KM Neufeld","+43 664 415 99 09",IF(A69="U16 LL","+43 650 262 82 63",IF(A69="U15 LL Nord","+43 650 701 02 44",IF(A69="U14 Nord","+43 676 401 09 13",IF(A69="U13 Nord","+43 677 613 55 114 &amp; +43 664 114 43 52",IF(A69="U11 Nord D","+43 664 762 09 93 &amp; +43 699 111 93 828",IF(A69="U9","+43 676 377 16 30 &amp;  +43 399 197 871 81",IF(A69="U8","+43 660 199 13 52 &amp;  +43 660 914 92 36",IF(A69="U7","+43 676 661 62 26 &amp;  +43 681 208 115 99",IF(A69="Camp","+43 660 77 39 500",IF(A69="Turnier","+43 660 77 39 500","FEHLER")))))))))))</f>
        <v/>
      </c>
    </row>
    <row r="70" hidden="1" s="123">
      <c r="A70">
        <f>Heimspiele!C71</f>
        <v/>
      </c>
      <c r="B70" s="137">
        <f>Heimspiele!D71</f>
        <v/>
      </c>
      <c r="C70" s="137" t="n"/>
      <c r="D70">
        <f>Heimspiele!F71</f>
        <v/>
      </c>
      <c r="E70">
        <f>Heimspiele!G71</f>
        <v/>
      </c>
      <c r="F70" t="inlineStr">
        <is>
          <t>Großfeld</t>
        </is>
      </c>
      <c r="G70">
        <f>IF(F70="Großfeld","Großfeld",IF(F70="U16","Großfeld",IF(F70="U15","Großfeld",IF(F70="U14","Großfeld",IF(F70="U13","75x55",IF(F70="U11/U12","55x40",IF(F70="U9/U10","40x25",IF(F70="U8","29x22","25x20"))))))))</f>
        <v/>
      </c>
      <c r="H70">
        <f>IF(F70="Großfeld","7,32x2,44",IF(F70="U16","7,32x2,44",IF(F70="U15","7,32x2,44",IF(F70="U14","7,32x2,44",IF(F70="U13","5x2",IF(F70="U11/U12","5x2",IF(F70="U9/U10","5x2","4 Minitore")))))))</f>
        <v/>
      </c>
      <c r="I70">
        <f>IF(F70="Großfeld","5",IF(F70="U16","5",IF(F70="U15","5",IF(F70="U14","4",IF(F70="U13","4",IF(F70="U11/U12","4",IF(F70="U9/U10","4",IF(F70="U9","4","3"))))))))</f>
        <v/>
      </c>
      <c r="J70">
        <f>IF(A70="KM Neufeld","Pleninger Stefan",IF(A70="U16 LL","Josch Kögl",IF(A70="U15 LL Nord","Serdar Ekinci",IF(A70="U14 Nord","Gernot Servelda",IF(A70="U13 - Nord","Thomas Pöschl &amp; Lenz Honc",IF(A70="U11 Nord D","Mario Magler&amp;Ronny Archam",IF(A70="U9","Thomas Brandl&amp;Daniel Hofbauer",IF(A70="U8","Berger Tobias&amp;Sebastian Putric",IF(A70="U7","Türkes Ömer&amp;Mahsumi Taha",IF(A70="Camp","Berger Dieter",IF(A70="Turnier","Berger Dieter","FEHLER")))))))))))</f>
        <v/>
      </c>
      <c r="K70">
        <f>IF(A70="KM Neufeld","+43 664 415 99 09",IF(A70="U16 LL","+43 650 262 82 63",IF(A70="U15 LL Nord","+43 650 701 02 44",IF(A70="U14 - Nord","+43 676 401 09 13",IF(A70="U13 - Nord","+43 677 613 55 114 &amp; +43 664 114 43 52",IF(A70="U11 Nord D","+43 664 762 09 93 &amp; +43 699 111 93 828",IF(A70="U9","+43 676 377 16 30 &amp;  +43 399 197 871 81",IF(A70="U8","+43 660 199 13 52 &amp;  +43 660 914 92 36",IF(A70="U7","+43 676 661 62 26 &amp;  +43 681 208 115 99",IF(A70="Camp","+43 660 77 39 500",IF(A70="Turnier","+43 660 77 39 500","FEHLER")))))))))))</f>
        <v/>
      </c>
    </row>
    <row r="71" hidden="1" s="123">
      <c r="A71">
        <f>Heimspiele!C72</f>
        <v/>
      </c>
      <c r="B71" s="137">
        <f>Heimspiele!D72</f>
        <v/>
      </c>
      <c r="C71" s="137" t="n"/>
      <c r="D71">
        <f>Heimspiele!F72</f>
        <v/>
      </c>
      <c r="E71">
        <f>Heimspiele!G72</f>
        <v/>
      </c>
      <c r="F71" t="inlineStr">
        <is>
          <t>Großfeld</t>
        </is>
      </c>
      <c r="G71">
        <f>IF(F71="Großfeld","Großfeld",IF(F71="U16","Großfeld",IF(F71="U15","Großfeld",IF(F71="U14","Großfeld",IF(F71="U13","75x55",IF(F71="U11/U12","55x40",IF(F71="U9/U10","40x25",IF(F71="U8","29x22","25x20"))))))))</f>
        <v/>
      </c>
      <c r="H71">
        <f>IF(F71="Großfeld","7,32x2,44",IF(F71="U16","7,32x2,44",IF(F71="U15","7,32x2,44",IF(F71="U14","7,32x2,44",IF(F71="U13","5x2",IF(F71="U11/U12","5x2",IF(F71="U9/U10","5x2","4 Minitore")))))))</f>
        <v/>
      </c>
      <c r="I71">
        <f>IF(F71="Großfeld","5",IF(F71="U16","5",IF(F71="U15","5",IF(F71="U14","4",IF(F71="U13","4",IF(F71="U11/U12","4",IF(F71="U9/U10","4",IF(F71="U9","4","3"))))))))</f>
        <v/>
      </c>
      <c r="J71">
        <f>IF(A71="KM Neufeld","Pleninger Stefan",IF(A71="U16 LL","Josch Kögl",IF(A71="U15 LL Nord","Serdar Ekinci",IF(A71="U14 Nord","Gernot Servelda",IF(A71="U13 - Nord","Thomas Pöschl &amp; Lenz Honc",IF(A71="U11 Nord D","Mario Magler&amp;Ronny Archam",IF(A71="U9","Thomas Brandl&amp;Daniel Hofbauer",IF(A71="U8","Berger Tobias&amp;Sebastian Putric",IF(A71="U7","Türkes Ömer&amp;Mahsumi Taha",IF(A71="Camp","Berger Dieter",IF(A71="Turnier","Berger Dieter","FEHLER")))))))))))</f>
        <v/>
      </c>
      <c r="K71">
        <f>IF(A71="KM Neufeld","+43 664 415 99 09",IF(A71="U16 LL","+43 650 262 82 63",IF(A71="U15 LL Nord","+43 650 701 02 44",IF(A71="U14 - Nord","+43 676 401 09 13",IF(A71="U13 - Nord","+43 677 613 55 114 &amp; +43 664 114 43 52",IF(A71="U11 Nord D","+43 664 762 09 93 &amp; +43 699 111 93 828",IF(A71="U9","+43 676 377 16 30 &amp;  +43 399 197 871 81",IF(A71="U8","+43 660 199 13 52 &amp;  +43 660 914 92 36",IF(A71="U7","+43 676 661 62 26 &amp;  +43 681 208 115 99",IF(A71="Camp","+43 660 77 39 500",IF(A71="Turnier","+43 660 77 39 500","FEHLER")))))))))))</f>
        <v/>
      </c>
    </row>
    <row r="72" hidden="1" s="123">
      <c r="A72">
        <f>Heimspiele!C73</f>
        <v/>
      </c>
      <c r="B72" s="137">
        <f>Heimspiele!D73</f>
        <v/>
      </c>
      <c r="C72" s="137" t="n"/>
      <c r="D72">
        <f>Heimspiele!F73</f>
        <v/>
      </c>
      <c r="E72">
        <f>Heimspiele!G73</f>
        <v/>
      </c>
      <c r="F72" t="inlineStr">
        <is>
          <t>Großfeld</t>
        </is>
      </c>
      <c r="G72">
        <f>IF(F72="Großfeld","Großfeld",IF(F72="U16","Großfeld",IF(F72="U15","Großfeld",IF(F72="U14","Großfeld",IF(F72="U13","75x55",IF(F72="U11/U12","55x40",IF(F72="U9/U10","40x25",IF(F72="U8","29x22","25x20"))))))))</f>
        <v/>
      </c>
      <c r="H72">
        <f>IF(F72="Großfeld","7,32x2,44",IF(F72="U16","7,32x2,44",IF(F72="U15","7,32x2,44",IF(F72="U14","7,32x2,44",IF(F72="U13","5x2",IF(F72="U11/U12","5x2",IF(F72="U9/U10","5x2","4 Minitore")))))))</f>
        <v/>
      </c>
      <c r="I72">
        <f>IF(F72="Großfeld","5",IF(F72="U16","5",IF(F72="U15","5",IF(F72="U14","4",IF(F72="U13","4",IF(F72="U11/U12","4",IF(F72="U9/U10","4",IF(F72="U9","4","3"))))))))</f>
        <v/>
      </c>
      <c r="J72">
        <f>IF(A72="KM Neufeld","Pleninger Stefan",IF(A72="U16 LL","Josch Kögl",IF(A72="U15 LL Nord","Serdar Ekinci",IF(A72="U14 Nord","Gernot Servelda",IF(A72="U13 - Nord","Thomas Pöschl &amp; Lenz Honc",IF(A72="U11 Nord D","Mario Magler&amp;Ronny Archam",IF(A72="U9","Thomas Brandl&amp;Daniel Hofbauer",IF(A72="U8","Berger Tobias&amp;Sebastian Putric",IF(A72="U7","Türkes Ömer&amp;Mahsumi Taha",IF(A72="Camp","Berger Dieter",IF(A72="Turnier","Berger Dieter","FEHLER")))))))))))</f>
        <v/>
      </c>
      <c r="K72">
        <f>IF(A72="KM Neufeld","+43 664 415 99 09",IF(A72="U16 LL","+43 650 262 82 63",IF(A72="U15 LL Nord","+43 650 701 02 44",IF(A72="U14 - Nord","+43 676 401 09 13",IF(A72="U13 - Nord","+43 677 613 55 114 &amp; +43 664 114 43 52",IF(A72="U11 Nord D","+43 664 762 09 93 &amp; +43 699 111 93 828",IF(A72="U9","+43 676 377 16 30 &amp;  +43 399 197 871 81",IF(A72="U8","+43 660 199 13 52 &amp;  +43 660 914 92 36",IF(A72="U7","+43 676 661 62 26 &amp;  +43 681 208 115 99",IF(A72="Camp","+43 660 77 39 500",IF(A72="Turnier","+43 660 77 39 500","FEHLER")))))))))))</f>
        <v/>
      </c>
    </row>
    <row r="73" hidden="1" s="123">
      <c r="A73">
        <f>Heimspiele!C74</f>
        <v/>
      </c>
      <c r="B73" s="137">
        <f>Heimspiele!D74</f>
        <v/>
      </c>
      <c r="C73" s="137" t="n"/>
      <c r="D73">
        <f>Heimspiele!F74</f>
        <v/>
      </c>
      <c r="E73">
        <f>Heimspiele!G74</f>
        <v/>
      </c>
      <c r="F73" t="inlineStr">
        <is>
          <t>Großfeld</t>
        </is>
      </c>
      <c r="G73">
        <f>IF(F73="Großfeld","Großfeld",IF(F73="U16","Großfeld",IF(F73="U15","Großfeld",IF(F73="U14","Großfeld",IF(F73="U13","75x55",IF(F73="U11/U12","55x40",IF(F73="U9/U10","40x25",IF(F73="U8","29x22","25x20"))))))))</f>
        <v/>
      </c>
      <c r="H73">
        <f>IF(F73="Großfeld","7,32x2,44",IF(F73="U16","7,32x2,44",IF(F73="U15","7,32x2,44",IF(F73="U14","7,32x2,44",IF(F73="U13","5x2",IF(F73="U11/U12","5x2",IF(F73="U9/U10","5x2","4 Minitore")))))))</f>
        <v/>
      </c>
      <c r="I73">
        <f>IF(F73="Großfeld","5",IF(F73="U16","5",IF(F73="U15","5",IF(F73="U14","4",IF(F73="U13","4",IF(F73="U11/U12","4",IF(F73="U9/U10","4",IF(F73="U9","4","3"))))))))</f>
        <v/>
      </c>
      <c r="J73">
        <f>IF(A73="KM Neufeld","Pleninger Stefan",IF(A73="U16 LL","Josch Kögl",IF(A73="U15 LL Nord","Serdar Ekinci",IF(A73="U14 Nord","Gernot Servelda",IF(A73="U13 - Nord","Thomas Pöschl &amp; Lenz Honc",IF(A73="U11 Nord D","Mario Magler&amp;Ronny Archam",IF(A73="U9","Thomas Brandl&amp;Daniel Hofbauer",IF(A73="U8","Berger Tobias&amp;Sebastian Putric",IF(A73="U7","Türkes Ömer&amp;Mahsumi Taha",IF(A73="Camp","Berger Dieter",IF(A73="Turnier","Berger Dieter","FEHLER")))))))))))</f>
        <v/>
      </c>
      <c r="K73">
        <f>IF(A73="KM Neufeld","+43 664 415 99 09",IF(A73="U16 LL","+43 650 262 82 63",IF(A73="U15 LL Nord","+43 650 701 02 44",IF(A73="U14 - Nord","+43 676 401 09 13",IF(A73="U13 - Nord","+43 677 613 55 114 &amp; +43 664 114 43 52",IF(A73="U11 Nord D","+43 664 762 09 93 &amp; +43 699 111 93 828",IF(A73="U9","+43 676 377 16 30 &amp;  +43 399 197 871 81",IF(A73="U8","+43 660 199 13 52 &amp;  +43 660 914 92 36",IF(A73="U7","+43 676 661 62 26 &amp;  +43 681 208 115 99",IF(A73="Camp","+43 660 77 39 500",IF(A73="Turnier","+43 660 77 39 500","FEHLER")))))))))))</f>
        <v/>
      </c>
    </row>
    <row r="74" ht="15.6" customHeight="1" s="123">
      <c r="A74" s="61">
        <f>Heimspiele!C60</f>
        <v/>
      </c>
      <c r="B74" s="138">
        <f>Heimspiele!D60</f>
        <v/>
      </c>
      <c r="C74" s="139">
        <f>Heimspiele!E60</f>
        <v/>
      </c>
      <c r="D74" s="61">
        <f>Heimspiele!F60</f>
        <v/>
      </c>
      <c r="E74" s="61">
        <f>Heimspiele!G60</f>
        <v/>
      </c>
      <c r="F74" s="61" t="inlineStr">
        <is>
          <t>U14</t>
        </is>
      </c>
      <c r="G74" s="61">
        <f>IF(F74="Großfeld","Großfeld",IF(F74="U16","Großfeld",IF(F74="U15","Großfeld",IF(F74="U14","Großfeld",IF(F74="U13","75x55",IF(F74="U11/U12","55x40",IF(F74="U9/U10","40x25",IF(F74="U8","29x22","25x20"))))))))</f>
        <v/>
      </c>
      <c r="H74" s="61">
        <f>IF(F74="Großfeld","7,32x2,44",IF(F74="U16","7,32x2,44",IF(F74="U15","7,32x2,44",IF(F74="U14","7,32x2,44",IF(F74="U13","5x2",IF(F74="U11/U12","5x2",IF(F74="U9/U10","5x2","4 Minitore")))))))</f>
        <v/>
      </c>
      <c r="I74" s="61">
        <f>IF(F74="Großfeld","5",IF(F74="U16","5",IF(F74="U15","5",IF(F74="U14","4",IF(F74="U13","4",IF(F74="U11/U12","4",IF(F74="U9/U10","4",IF(F74="U9","4","3"))))))))</f>
        <v/>
      </c>
      <c r="J74" s="61">
        <f>IF(A74="KM Neufeld","Pleninger Stefan",IF(A74="U16 LL","Josch Kögl",IF(A74="U15 LL Nord","Serdar Ekinci",IF(A74="U14 Nord","Gernot Servelda",IF(A74="U13 Nord","Thomas Pöschl &amp; Lenz Honc",IF(A74="U11 Nord D","Mario Magler&amp;Ronny Archam",IF(A74="U9","Thomas Brandl&amp;Daniel Hofbauer",IF(A74="U8","Berger Tobias&amp;Sebastian Putric",IF(A74="U7","Türkes Ömer&amp;Mahsumi Taha",IF(A74="Camp","Berger Dieter",IF(A74="Turnier","Berger Dieter","FEHLER")))))))))))</f>
        <v/>
      </c>
      <c r="K74" s="61">
        <f>IF(A74="KM Neufeld","+43 664 415 99 09",IF(A74="U16 LL","+43 650 262 82 63",IF(A74="U15 LL Nord","+43 650 701 02 44",IF(A74="U14 Nord","+43 676 401 09 13",IF(A74="U13 Nord","+43 677 613 55 114 &amp; +43 664 114 43 52",IF(A74="U11 Nord D","+43 664 762 09 93 &amp; +43 699 111 93 828",IF(A74="U9","+43 676 377 16 30 &amp;  +43 399 197 871 81",IF(A74="U8","+43 660 199 13 52 &amp;  +43 660 914 92 36",IF(A74="U7","+43 676 661 62 26 &amp;  +43 681 208 115 99",IF(A74="Camp","+43 660 77 39 500",IF(A74="Turnier","+43 660 77 39 500","FEHLER")))))))))))</f>
        <v/>
      </c>
    </row>
    <row r="75" hidden="1" s="123">
      <c r="A75">
        <f>Heimspiele!C76</f>
        <v/>
      </c>
      <c r="B75" s="137">
        <f>Heimspiele!D76</f>
        <v/>
      </c>
      <c r="C75" s="137" t="n"/>
      <c r="D75">
        <f>Heimspiele!F76</f>
        <v/>
      </c>
      <c r="E75">
        <f>Heimspiele!G76</f>
        <v/>
      </c>
      <c r="F75" t="inlineStr">
        <is>
          <t>Großfeld</t>
        </is>
      </c>
      <c r="G75">
        <f>IF(F75="Großfeld","Großfeld",IF(F75="U16","Großfeld",IF(F75="U15","Großfeld",IF(F75="U14","Großfeld",IF(F75="U13","75x55",IF(F75="U11/U12","55x40",IF(F75="U9/U10","40x25",IF(F75="U8","29x22","25x20"))))))))</f>
        <v/>
      </c>
      <c r="H75">
        <f>IF(F75="Großfeld","7,32x2,44",IF(F75="U16","7,32x2,44",IF(F75="U15","7,32x2,44",IF(F75="U14","7,32x2,44",IF(F75="U13","5x2",IF(F75="U11/U12","5x2",IF(F75="U9/U10","5x2","4 Minitore")))))))</f>
        <v/>
      </c>
      <c r="I75">
        <f>IF(F75="Großfeld","5",IF(F75="U16","5",IF(F75="U15","5",IF(F75="U14","4",IF(F75="U13","4",IF(F75="U11/U12","4",IF(F75="U9/U10","4",IF(F75="U9","4","3"))))))))</f>
        <v/>
      </c>
      <c r="J75">
        <f>IF(A75="KM Neufeld","Pleninger Stefan",IF(A75="U16 LL","Josch Kögl",IF(A75="U15 LL Nord","Serdar Ekinci",IF(A75="U14 Nord","Gernot Servelda",IF(A75="U13 - Nord","Thomas Pöschl &amp; Lenz Honc",IF(A75="U11 Nord D","Mario Magler&amp;Ronny Archam",IF(A75="U9","Thomas Brandl&amp;Daniel Hofbauer",IF(A75="U8","Berger Tobias&amp;Sebastian Putric",IF(A75="U7","Türkes Ömer&amp;Mahsumi Taha",IF(A75="Camp","Berger Dieter",IF(A75="Turnier","Berger Dieter","FEHLER")))))))))))</f>
        <v/>
      </c>
      <c r="K75">
        <f>IF(A75="KM Neufeld","+43 664 415 99 09",IF(A75="U16 LL","+43 650 262 82 63",IF(A75="U15 LL Nord","+43 650 701 02 44",IF(A75="U14 - Nord","+43 676 401 09 13",IF(A75="U13 - Nord","+43 677 613 55 114 &amp; +43 664 114 43 52",IF(A75="U11 Nord D","+43 664 762 09 93 &amp; +43 699 111 93 828",IF(A75="U9","+43 676 377 16 30 &amp;  +43 399 197 871 81",IF(A75="U8","+43 660 199 13 52 &amp;  +43 660 914 92 36",IF(A75="U7","+43 676 661 62 26 &amp;  +43 681 208 115 99",IF(A75="Camp","+43 660 77 39 500",IF(A75="Turnier","+43 660 77 39 500","FEHLER")))))))))))</f>
        <v/>
      </c>
    </row>
    <row r="76" hidden="1" s="123">
      <c r="A76">
        <f>Heimspiele!C77</f>
        <v/>
      </c>
      <c r="B76" s="137">
        <f>Heimspiele!D77</f>
        <v/>
      </c>
      <c r="C76" s="137" t="n"/>
      <c r="D76">
        <f>Heimspiele!F77</f>
        <v/>
      </c>
      <c r="E76">
        <f>Heimspiele!G77</f>
        <v/>
      </c>
      <c r="F76" t="inlineStr">
        <is>
          <t>Großfeld</t>
        </is>
      </c>
      <c r="G76">
        <f>IF(F76="Großfeld","Großfeld",IF(F76="U16","Großfeld",IF(F76="U15","Großfeld",IF(F76="U14","Großfeld",IF(F76="U13","75x55",IF(F76="U11/U12","55x40",IF(F76="U9/U10","40x25",IF(F76="U8","29x22","25x20"))))))))</f>
        <v/>
      </c>
      <c r="H76">
        <f>IF(F76="Großfeld","7,32x2,44",IF(F76="U16","7,32x2,44",IF(F76="U15","7,32x2,44",IF(F76="U14","7,32x2,44",IF(F76="U13","5x2",IF(F76="U11/U12","5x2",IF(F76="U9/U10","5x2","4 Minitore")))))))</f>
        <v/>
      </c>
      <c r="I76">
        <f>IF(F76="Großfeld","5",IF(F76="U16","5",IF(F76="U15","5",IF(F76="U14","4",IF(F76="U13","4",IF(F76="U11/U12","4",IF(F76="U9/U10","4",IF(F76="U9","4","3"))))))))</f>
        <v/>
      </c>
      <c r="J76">
        <f>IF(A76="KM Neufeld","Pleninger Stefan",IF(A76="U16 LL","Josch Kögl",IF(A76="U15 LL Nord","Serdar Ekinci",IF(A76="U14 Nord","Gernot Servelda",IF(A76="U13 - Nord","Thomas Pöschl &amp; Lenz Honc",IF(A76="U11 Nord D","Mario Magler&amp;Ronny Archam",IF(A76="U9","Thomas Brandl&amp;Daniel Hofbauer",IF(A76="U8","Berger Tobias&amp;Sebastian Putric",IF(A76="U7","Türkes Ömer&amp;Mahsumi Taha",IF(A76="Camp","Berger Dieter",IF(A76="Turnier","Berger Dieter","FEHLER")))))))))))</f>
        <v/>
      </c>
      <c r="K76">
        <f>IF(A76="KM Neufeld","+43 664 415 99 09",IF(A76="U16 LL","+43 650 262 82 63",IF(A76="U15 LL Nord","+43 650 701 02 44",IF(A76="U14 - Nord","+43 676 401 09 13",IF(A76="U13 - Nord","+43 677 613 55 114 &amp; +43 664 114 43 52",IF(A76="U11 Nord D","+43 664 762 09 93 &amp; +43 699 111 93 828",IF(A76="U9","+43 676 377 16 30 &amp;  +43 399 197 871 81",IF(A76="U8","+43 660 199 13 52 &amp;  +43 660 914 92 36",IF(A76="U7","+43 676 661 62 26 &amp;  +43 681 208 115 99",IF(A76="Camp","+43 660 77 39 500",IF(A76="Turnier","+43 660 77 39 500","FEHLER")))))))))))</f>
        <v/>
      </c>
    </row>
    <row r="77" hidden="1" s="123">
      <c r="A77">
        <f>Heimspiele!C78</f>
        <v/>
      </c>
      <c r="B77" s="137">
        <f>Heimspiele!D78</f>
        <v/>
      </c>
      <c r="C77" s="137" t="n"/>
      <c r="D77">
        <f>Heimspiele!F78</f>
        <v/>
      </c>
      <c r="E77">
        <f>Heimspiele!G78</f>
        <v/>
      </c>
      <c r="F77" t="inlineStr">
        <is>
          <t>Großfeld</t>
        </is>
      </c>
      <c r="G77">
        <f>IF(F77="Großfeld","Großfeld",IF(F77="U16","Großfeld",IF(F77="U15","Großfeld",IF(F77="U14","Großfeld",IF(F77="U13","75x55",IF(F77="U11/U12","55x40",IF(F77="U9/U10","40x25",IF(F77="U8","29x22","25x20"))))))))</f>
        <v/>
      </c>
      <c r="H77">
        <f>IF(F77="Großfeld","7,32x2,44",IF(F77="U16","7,32x2,44",IF(F77="U15","7,32x2,44",IF(F77="U14","7,32x2,44",IF(F77="U13","5x2",IF(F77="U11/U12","5x2",IF(F77="U9/U10","5x2","4 Minitore")))))))</f>
        <v/>
      </c>
      <c r="I77">
        <f>IF(F77="Großfeld","5",IF(F77="U16","5",IF(F77="U15","5",IF(F77="U14","4",IF(F77="U13","4",IF(F77="U11/U12","4",IF(F77="U9/U10","4",IF(F77="U9","4","3"))))))))</f>
        <v/>
      </c>
      <c r="J77">
        <f>IF(A77="KM Neufeld","Pleninger Stefan",IF(A77="U16 LL","Josch Kögl",IF(A77="U15 LL Nord","Serdar Ekinci",IF(A77="U14 Nord","Gernot Servelda",IF(A77="U13 - Nord","Thomas Pöschl &amp; Lenz Honc",IF(A77="U11 Nord D","Mario Magler&amp;Ronny Archam",IF(A77="U9","Thomas Brandl&amp;Daniel Hofbauer",IF(A77="U8","Berger Tobias&amp;Sebastian Putric",IF(A77="U7","Türkes Ömer&amp;Mahsumi Taha",IF(A77="Camp","Berger Dieter",IF(A77="Turnier","Berger Dieter","FEHLER")))))))))))</f>
        <v/>
      </c>
      <c r="K77">
        <f>IF(A77="KM Neufeld","+43 664 415 99 09",IF(A77="U16 LL","+43 650 262 82 63",IF(A77="U15 LL Nord","+43 650 701 02 44",IF(A77="U14 - Nord","+43 676 401 09 13",IF(A77="U13 - Nord","+43 677 613 55 114 &amp; +43 664 114 43 52",IF(A77="U11 Nord D","+43 664 762 09 93 &amp; +43 699 111 93 828",IF(A77="U9","+43 676 377 16 30 &amp;  +43 399 197 871 81",IF(A77="U8","+43 660 199 13 52 &amp;  +43 660 914 92 36",IF(A77="U7","+43 676 661 62 26 &amp;  +43 681 208 115 99",IF(A77="Camp","+43 660 77 39 500",IF(A77="Turnier","+43 660 77 39 500","FEHLER")))))))))))</f>
        <v/>
      </c>
    </row>
    <row r="78" hidden="1" s="123">
      <c r="A78">
        <f>Heimspiele!C79</f>
        <v/>
      </c>
      <c r="B78" s="137">
        <f>Heimspiele!D79</f>
        <v/>
      </c>
      <c r="C78" s="137" t="n"/>
      <c r="D78">
        <f>Heimspiele!F79</f>
        <v/>
      </c>
      <c r="E78">
        <f>Heimspiele!G79</f>
        <v/>
      </c>
      <c r="F78" t="inlineStr">
        <is>
          <t>Großfeld</t>
        </is>
      </c>
      <c r="G78">
        <f>IF(F78="Großfeld","Großfeld",IF(F78="U16","Großfeld",IF(F78="U15","Großfeld",IF(F78="U14","Großfeld",IF(F78="U13","75x55",IF(F78="U11/U12","55x40",IF(F78="U9/U10","40x25",IF(F78="U8","29x22","25x20"))))))))</f>
        <v/>
      </c>
      <c r="H78">
        <f>IF(F78="Großfeld","7,32x2,44",IF(F78="U16","7,32x2,44",IF(F78="U15","7,32x2,44",IF(F78="U14","7,32x2,44",IF(F78="U13","5x2",IF(F78="U11/U12","5x2",IF(F78="U9/U10","5x2","4 Minitore")))))))</f>
        <v/>
      </c>
      <c r="I78">
        <f>IF(F78="Großfeld","5",IF(F78="U16","5",IF(F78="U15","5",IF(F78="U14","4",IF(F78="U13","4",IF(F78="U11/U12","4",IF(F78="U9/U10","4",IF(F78="U9","4","3"))))))))</f>
        <v/>
      </c>
      <c r="J78">
        <f>IF(A78="KM Neufeld","Pleninger Stefan",IF(A78="U16 LL","Josch Kögl",IF(A78="U15 LL Nord","Serdar Ekinci",IF(A78="U14 Nord","Gernot Servelda",IF(A78="U13 - Nord","Thomas Pöschl &amp; Lenz Honc",IF(A78="U11 Nord D","Mario Magler&amp;Ronny Archam",IF(A78="U9","Thomas Brandl&amp;Daniel Hofbauer",IF(A78="U8","Berger Tobias&amp;Sebastian Putric",IF(A78="U7","Türkes Ömer&amp;Mahsumi Taha",IF(A78="Camp","Berger Dieter",IF(A78="Turnier","Berger Dieter","FEHLER")))))))))))</f>
        <v/>
      </c>
      <c r="K78">
        <f>IF(A78="KM Neufeld","+43 664 415 99 09",IF(A78="U16 LL","+43 650 262 82 63",IF(A78="U15 LL Nord","+43 650 701 02 44",IF(A78="U14 - Nord","+43 676 401 09 13",IF(A78="U13 - Nord","+43 677 613 55 114 &amp; +43 664 114 43 52",IF(A78="U11 Nord D","+43 664 762 09 93 &amp; +43 699 111 93 828",IF(A78="U9","+43 676 377 16 30 &amp;  +43 399 197 871 81",IF(A78="U8","+43 660 199 13 52 &amp;  +43 660 914 92 36",IF(A78="U7","+43 676 661 62 26 &amp;  +43 681 208 115 99",IF(A78="Camp","+43 660 77 39 500",IF(A78="Turnier","+43 660 77 39 500","FEHLER")))))))))))</f>
        <v/>
      </c>
    </row>
    <row r="79" ht="15.6" customHeight="1" s="123">
      <c r="A79" s="61">
        <f>Heimspiele!C62</f>
        <v/>
      </c>
      <c r="B79" s="138">
        <f>Heimspiele!D62</f>
        <v/>
      </c>
      <c r="C79" s="139">
        <f>Heimspiele!E62</f>
        <v/>
      </c>
      <c r="D79" s="61">
        <f>Heimspiele!F62</f>
        <v/>
      </c>
      <c r="E79" s="61">
        <f>Heimspiele!G62</f>
        <v/>
      </c>
      <c r="F79" s="61" t="inlineStr">
        <is>
          <t>U14</t>
        </is>
      </c>
      <c r="G79" s="61">
        <f>IF(F79="Großfeld","Großfeld",IF(F79="U16","Großfeld",IF(F79="U15","Großfeld",IF(F79="U14","Großfeld",IF(F79="U13","75x55",IF(F79="U11/U12","55x40",IF(F79="U9/U10","40x25",IF(F79="U8","29x22","25x20"))))))))</f>
        <v/>
      </c>
      <c r="H79" s="61">
        <f>IF(F79="Großfeld","7,32x2,44",IF(F79="U16","7,32x2,44",IF(F79="U15","7,32x2,44",IF(F79="U14","7,32x2,44",IF(F79="U13","5x2",IF(F79="U11/U12","5x2",IF(F79="U9/U10","5x2","4 Minitore")))))))</f>
        <v/>
      </c>
      <c r="I79" s="61">
        <f>IF(F79="Großfeld","5",IF(F79="U16","5",IF(F79="U15","5",IF(F79="U14","4",IF(F79="U13","4",IF(F79="U11/U12","4",IF(F79="U9/U10","4",IF(F79="U9","4","3"))))))))</f>
        <v/>
      </c>
      <c r="J79" s="61">
        <f>IF(A79="KM Neufeld","Pleninger Stefan",IF(A79="U16 LL","Josch Kögl",IF(A79="U15 LL Nord","Serdar Ekinci",IF(A79="U14 Nord","Gernot Servelda",IF(A79="U13 Nord","Thomas Pöschl &amp; Lenz Honc",IF(A79="U11 Nord D","Mario Magler&amp;Ronny Archam",IF(A79="U9","Thomas Brandl&amp;Daniel Hofbauer",IF(A79="U8","Berger Tobias&amp;Sebastian Putric",IF(A79="U7","Türkes Ömer&amp;Mahsumi Taha",IF(A79="Camp","Berger Dieter",IF(A79="Turnier","Berger Dieter","FEHLER")))))))))))</f>
        <v/>
      </c>
      <c r="K79" s="61">
        <f>IF(A79="KM Neufeld","+43 664 415 99 09",IF(A79="U16 LL","+43 650 262 82 63",IF(A79="U15 LL Nord","+43 650 701 02 44",IF(A79="U14 Nord","+43 676 401 09 13",IF(A79="U13 Nord","+43 677 613 55 114 &amp; +43 664 114 43 52",IF(A79="U11 Nord D","+43 664 762 09 93 &amp; +43 699 111 93 828",IF(A79="U9","+43 676 377 16 30 &amp;  +43 399 197 871 81",IF(A79="U8","+43 660 199 13 52 &amp;  +43 660 914 92 36",IF(A79="U7","+43 676 661 62 26 &amp;  +43 681 208 115 99",IF(A79="Camp","+43 660 77 39 500",IF(A79="Turnier","+43 660 77 39 500","FEHLER")))))))))))</f>
        <v/>
      </c>
    </row>
    <row r="80" ht="15.6" customHeight="1" s="123">
      <c r="A80" s="61">
        <f>Heimspiele!C65</f>
        <v/>
      </c>
      <c r="B80" s="138">
        <f>Heimspiele!D65</f>
        <v/>
      </c>
      <c r="C80" s="139">
        <f>Heimspiele!E65</f>
        <v/>
      </c>
      <c r="D80" s="61">
        <f>Heimspiele!F65</f>
        <v/>
      </c>
      <c r="E80" s="61">
        <f>Heimspiele!G65</f>
        <v/>
      </c>
      <c r="F80" s="61" t="inlineStr">
        <is>
          <t>U11/U12</t>
        </is>
      </c>
      <c r="G80" s="61">
        <f>IF(F80="Großfeld","Großfeld",IF(F80="U16","Großfeld",IF(F80="U15","Großfeld",IF(F80="U14","Großfeld",IF(F80="U13","75x55",IF(F80="U11/U12","55x40",IF(F80="U9/U10","40x25",IF(F80="U8","29x22","25x20"))))))))</f>
        <v/>
      </c>
      <c r="H80" s="61">
        <f>IF(F80="Großfeld","7,32x2,44",IF(F80="U16","7,32x2,44",IF(F80="U15","7,32x2,44",IF(F80="U14","7,32x2,44",IF(F80="U13","5x2",IF(F80="U11/U12","5x2",IF(F80="U9/U10","5x2","4 Minitore")))))))</f>
        <v/>
      </c>
      <c r="I80" s="61">
        <f>IF(F80="Großfeld","5",IF(F80="U16","5",IF(F80="U15","5",IF(F80="U14","4",IF(F80="U13","4",IF(F80="U11/U12","4",IF(F80="U9/U10","4",IF(F80="U9","4","3"))))))))</f>
        <v/>
      </c>
      <c r="J80" s="61">
        <f>IF(A80="KM Neufeld","Pleninger Stefan",IF(A80="U16 LL","Josch Kögl",IF(A80="U15 LL Nord","Serdar Ekinci",IF(A80="U14 Nord","Gernot Servelda",IF(A80="U13 Nord","Thomas Pöschl &amp; Lenz Honc",IF(A80="U11 Nord D","Mario Magler&amp;Ronny Archam",IF(A80="U9","Thomas Brandl&amp;Daniel Hofbauer",IF(A80="U8","Berger Tobias&amp;Sebastian Putric",IF(A80="U7","Türkes Ömer&amp;Mahsumi Taha",IF(A80="Camp","Berger Dieter",IF(A80="Turnier","Berger Dieter","FEHLER")))))))))))</f>
        <v/>
      </c>
      <c r="K80" s="61">
        <f>IF(A80="KM Neufeld","+43 664 415 99 09",IF(A80="U16 LL","+43 650 262 82 63",IF(A80="U15 LL Nord","+43 650 701 02 44",IF(A80="U14 Nord","+43 676 401 09 13",IF(A80="U13 Nord","+43 677 613 55 114 &amp; +43 664 114 43 52",IF(A80="U11 Nord D","+43 664 762 09 93 &amp; +43 699 111 93 828",IF(A80="U9","+43 676 377 16 30 &amp;  +43 399 197 871 81",IF(A80="U8","+43 660 199 13 52 &amp;  +43 660 914 92 36",IF(A80="U7","+43 676 661 62 26 &amp;  +43 681 208 115 99",IF(A80="Camp","+43 660 77 39 500",IF(A80="Turnier","+43 660 77 39 500","FEHLER")))))))))))</f>
        <v/>
      </c>
    </row>
    <row r="81" ht="15.6" customHeight="1" s="123">
      <c r="A81" s="61">
        <f>Heimspiele!C70</f>
        <v/>
      </c>
      <c r="B81" s="138">
        <f>Heimspiele!D70</f>
        <v/>
      </c>
      <c r="C81" s="139">
        <f>Heimspiele!E70</f>
        <v/>
      </c>
      <c r="D81" s="61">
        <f>Heimspiele!F70</f>
        <v/>
      </c>
      <c r="E81" s="61">
        <f>Heimspiele!G70</f>
        <v/>
      </c>
      <c r="F81" s="61" t="inlineStr">
        <is>
          <t>U13</t>
        </is>
      </c>
      <c r="G81" s="61">
        <f>IF(F81="Großfeld","Großfeld",IF(F81="U16","Großfeld",IF(F81="U15","Großfeld",IF(F81="U14","Großfeld",IF(F81="U13","75x55",IF(F81="U11/U12","55x40",IF(F81="U9/U10","40x25",IF(F81="U8","29x22","25x20"))))))))</f>
        <v/>
      </c>
      <c r="H81" s="61">
        <f>IF(F81="Großfeld","7,32x2,44",IF(F81="U16","7,32x2,44",IF(F81="U15","7,32x2,44",IF(F81="U14","7,32x2,44",IF(F81="U13","5x2",IF(F81="U11/U12","5x2",IF(F81="U9/U10","5x2","4 Minitore")))))))</f>
        <v/>
      </c>
      <c r="I81" s="61">
        <f>IF(F81="Großfeld","5",IF(F81="U16","5",IF(F81="U15","5",IF(F81="U14","4",IF(F81="U13","4",IF(F81="U11/U12","4",IF(F81="U9/U10","4",IF(F81="U9","4","3"))))))))</f>
        <v/>
      </c>
      <c r="J81" s="61">
        <f>IF(A81="KM Neufeld","Pleninger Stefan",IF(A81="U16 LL","Josch Kögl",IF(A81="U15 LL Nord","Serdar Ekinci",IF(A81="U14 Nord","Gernot Servelda",IF(A81="U13 Nord","Thomas Pöschl &amp; Lenz Honc",IF(A81="U11 Nord D","Mario Magler&amp;Ronny Archam",IF(A81="U9","Thomas Brandl&amp;Daniel Hofbauer",IF(A81="U8","Berger Tobias&amp;Sebastian Putric",IF(A81="U7","Türkes Ömer&amp;Mahsumi Taha",IF(A81="Camp","Berger Dieter",IF(A81="Turnier","Berger Dieter","FEHLER")))))))))))</f>
        <v/>
      </c>
      <c r="K81" s="61">
        <f>IF(A81="KM Neufeld","+43 664 415 99 09",IF(A81="U16 LL","+43 650 262 82 63",IF(A81="U15 LL Nord","+43 650 701 02 44",IF(A81="U14 Nord","+43 676 401 09 13",IF(A81="U13 Nord","+43 677 613 55 114 &amp; +43 664 114 43 52",IF(A81="U11 Nord D","+43 664 762 09 93 &amp; +43 699 111 93 828",IF(A81="U9","+43 676 377 16 30 &amp;  +43 399 197 871 81",IF(A81="U8","+43 660 199 13 52 &amp;  +43 660 914 92 36",IF(A81="U7","+43 676 661 62 26 &amp;  +43 681 208 115 99",IF(A81="Camp","+43 660 77 39 500",IF(A81="Turnier","+43 660 77 39 500","FEHLER")))))))))))</f>
        <v/>
      </c>
    </row>
    <row r="82" ht="15.6" customHeight="1" s="123">
      <c r="A82" s="61">
        <f>Heimspiele!C75</f>
        <v/>
      </c>
      <c r="B82" s="138">
        <f>Heimspiele!D75</f>
        <v/>
      </c>
      <c r="C82" s="139">
        <f>Heimspiele!E75</f>
        <v/>
      </c>
      <c r="D82" s="61">
        <f>Heimspiele!F75</f>
        <v/>
      </c>
      <c r="E82" s="61">
        <f>Heimspiele!G75</f>
        <v/>
      </c>
      <c r="F82" s="61" t="inlineStr">
        <is>
          <t>Großfeld</t>
        </is>
      </c>
      <c r="G82" s="61">
        <f>IF(F82="Großfeld","Großfeld",IF(F82="U16","Großfeld",IF(F82="U15","Großfeld",IF(F82="U14","Großfeld",IF(F82="U13","75x55",IF(F82="U11/U12","55x40",IF(F82="U9/U10","40x25",IF(F82="U8","29x22","25x20"))))))))</f>
        <v/>
      </c>
      <c r="H82" s="61">
        <f>IF(F82="Großfeld","7,32x2,44",IF(F82="U16","7,32x2,44",IF(F82="U15","7,32x2,44",IF(F82="U14","7,32x2,44",IF(F82="U13","5x2",IF(F82="U11/U12","5x2",IF(F82="U9/U10","5x2","4 Minitore")))))))</f>
        <v/>
      </c>
      <c r="I82" s="61">
        <f>IF(F82="Großfeld","5",IF(F82="U16","5",IF(F82="U15","5",IF(F82="U14","4",IF(F82="U13","4",IF(F82="U11/U12","4",IF(F82="U9/U10","4",IF(F82="U9","4","3"))))))))</f>
        <v/>
      </c>
      <c r="J82" s="61">
        <f>IF(A82="KM Neufeld","Pleninger Stefan",IF(A82="U16 LL","Josch Kögl",IF(A82="U15 LL Nord","Serdar Ekinci",IF(A82="U14 Nord","Gernot Servelda",IF(A82="U13 Nord","Thomas Pöschl &amp; Lenz Honc",IF(A82="U11 Nord D","Mario Magler&amp;Ronny Archam",IF(A82="U9","Thomas Brandl&amp;Daniel Hofbauer",IF(A82="U8","Berger Tobias&amp;Sebastian Putric",IF(A82="U7","Türkes Ömer&amp;Mahsumi Taha",IF(A82="Camp","Berger Dieter",IF(A82="Turnier","Berger Dieter","FEHLER")))))))))))</f>
        <v/>
      </c>
      <c r="K82" s="61">
        <f>IF(A82="KM Neufeld","+43 664 415 99 09",IF(A82="U16 LL","+43 650 262 82 63",IF(A82="U15 LL Nord","+43 650 701 02 44",IF(A82="U14 Nord","+43 676 401 09 13",IF(A82="U13 Nord","+43 677 613 55 114 &amp; +43 664 114 43 52",IF(A82="U11 Nord D","+43 664 762 09 93 &amp; +43 699 111 93 828",IF(A82="U9","+43 676 377 16 30 &amp;  +43 399 197 871 81",IF(A82="U8","+43 660 199 13 52 &amp;  +43 660 914 92 36",IF(A82="U7","+43 676 661 62 26 &amp;  +43 681 208 115 99",IF(A82="Camp","+43 660 77 39 500",IF(A82="Turnier","+43 660 77 39 500","FEHLER")))))))))))</f>
        <v/>
      </c>
    </row>
    <row r="83" ht="15.6" customHeight="1" s="123">
      <c r="A83" s="61">
        <f>Heimspiele!C80</f>
        <v/>
      </c>
      <c r="B83" s="138">
        <f>Heimspiele!D80</f>
        <v/>
      </c>
      <c r="C83" s="139">
        <f>Heimspiele!E80</f>
        <v/>
      </c>
      <c r="D83" s="61">
        <f>Heimspiele!F80</f>
        <v/>
      </c>
      <c r="E83" s="61">
        <f>Heimspiele!G80</f>
        <v/>
      </c>
      <c r="F83" s="61" t="inlineStr">
        <is>
          <t>U13</t>
        </is>
      </c>
      <c r="G83" s="61">
        <f>IF(F83="Großfeld","Großfeld",IF(F83="U16","Großfeld",IF(F83="U15","Großfeld",IF(F83="U14","Großfeld",IF(F83="U13","75x55",IF(F83="U11/U12","55x40",IF(F83="U9/U10","40x25",IF(F83="U8","29x22","25x20"))))))))</f>
        <v/>
      </c>
      <c r="H83" s="61">
        <f>IF(F83="Großfeld","7,32x2,44",IF(F83="U16","7,32x2,44",IF(F83="U15","7,32x2,44",IF(F83="U14","7,32x2,44",IF(F83="U13","5x2",IF(F83="U11/U12","5x2",IF(F83="U9/U10","5x2","4 Minitore")))))))</f>
        <v/>
      </c>
      <c r="I83" s="61">
        <f>IF(F83="Großfeld","5",IF(F83="U16","5",IF(F83="U15","5",IF(F83="U14","4",IF(F83="U13","4",IF(F83="U11/U12","4",IF(F83="U9/U10","4",IF(F83="U9","4","3"))))))))</f>
        <v/>
      </c>
      <c r="J83" s="61">
        <f>IF(A83="KM Neufeld","Pleninger Stefan",IF(A83="U16 LL","Josch Kögl",IF(A83="U15 LL Nord","Serdar Ekinci",IF(A83="U14 Nord","Gernot Servelda",IF(A83="U13 Nord","Thomas Pöschl &amp; Lenz Honc",IF(A83="U11 Nord D","Mario Magler&amp;Ronny Archam",IF(A83="U9","Thomas Brandl&amp;Daniel Hofbauer",IF(A83="U8","Berger Tobias&amp;Sebastian Putric",IF(A83="U7","Türkes Ömer&amp;Mahsumi Taha",IF(A83="Camp","Berger Dieter",IF(A83="Turnier","Berger Dieter","FEHLER")))))))))))</f>
        <v/>
      </c>
      <c r="K83" s="61">
        <f>IF(A83="KM Neufeld","+43 664 415 99 09",IF(A83="U16 LL","+43 650 262 82 63",IF(A83="U15 LL Nord","+43 650 701 02 44",IF(A83="U14 Nord","+43 676 401 09 13",IF(A83="U13 Nord","+43 677 613 55 114 &amp; +43 664 114 43 52",IF(A83="U11 Nord D","+43 664 762 09 93 &amp; +43 699 111 93 828",IF(A83="U9","+43 676 377 16 30 &amp;  +43 399 197 871 81",IF(A83="U8","+43 660 199 13 52 &amp;  +43 660 914 92 36",IF(A83="U7","+43 676 661 62 26 &amp;  +43 681 208 115 99",IF(A83="Camp","+43 660 77 39 500",IF(A83="Turnier","+43 660 77 39 500","FEHLER")))))))))))</f>
        <v/>
      </c>
    </row>
    <row r="84" ht="15.6" customHeight="1" s="123">
      <c r="A84" s="61">
        <f>Heimspiele!C81</f>
        <v/>
      </c>
      <c r="B84" s="138">
        <f>Heimspiele!D81</f>
        <v/>
      </c>
      <c r="C84" s="139">
        <f>Heimspiele!E81</f>
        <v/>
      </c>
      <c r="D84" s="61">
        <f>Heimspiele!F81</f>
        <v/>
      </c>
      <c r="E84" s="61">
        <f>Heimspiele!G81</f>
        <v/>
      </c>
      <c r="F84" s="61" t="inlineStr">
        <is>
          <t>U14</t>
        </is>
      </c>
      <c r="G84" s="61">
        <f>IF(F84="Großfeld","Großfeld",IF(F84="U16","Großfeld",IF(F84="U15","Großfeld",IF(F84="U14","Großfeld",IF(F84="U13","75x55",IF(F84="U11/U12","55x40",IF(F84="U9/U10","40x25",IF(F84="U8","29x22","25x20"))))))))</f>
        <v/>
      </c>
      <c r="H84" s="61">
        <f>IF(F84="Großfeld","7,32x2,44",IF(F84="U16","7,32x2,44",IF(F84="U15","7,32x2,44",IF(F84="U14","7,32x2,44",IF(F84="U13","5x2",IF(F84="U11/U12","5x2",IF(F84="U9/U10","5x2","4 Minitore")))))))</f>
        <v/>
      </c>
      <c r="I84" s="61">
        <f>IF(F84="Großfeld","5",IF(F84="U16","5",IF(F84="U15","5",IF(F84="U14","4",IF(F84="U13","4",IF(F84="U11/U12","4",IF(F84="U9/U10","4",IF(F84="U9","4","3"))))))))</f>
        <v/>
      </c>
      <c r="J84" s="61">
        <f>IF(A84="KM Neufeld","Pleninger Stefan",IF(A84="U16 LL","Josch Kögl",IF(A84="U15 LL Nord","Serdar Ekinci",IF(A84="U14 Nord","Gernot Servelda",IF(A84="U13 Nord","Thomas Pöschl &amp; Lenz Honc",IF(A84="U11 Nord D","Mario Magler&amp;Ronny Archam",IF(A84="U9","Thomas Brandl&amp;Daniel Hofbauer",IF(A84="U8","Berger Tobias&amp;Sebastian Putric",IF(A84="U7","Türkes Ömer&amp;Mahsumi Taha",IF(A84="Camp","Berger Dieter",IF(A84="Turnier","Berger Dieter","FEHLER")))))))))))</f>
        <v/>
      </c>
      <c r="K84" s="61">
        <f>IF(A84="KM Neufeld","+43 664 415 99 09",IF(A84="U16 LL","+43 650 262 82 63",IF(A84="U15 LL Nord","+43 650 701 02 44",IF(A84="U14 Nord","+43 676 401 09 13",IF(A84="U13 Nord","+43 677 613 55 114 &amp; +43 664 114 43 52",IF(A84="U11 Nord D","+43 664 762 09 93 &amp; +43 699 111 93 828",IF(A84="U9","+43 676 377 16 30 &amp;  +43 399 197 871 81",IF(A84="U8","+43 660 199 13 52 &amp;  +43 660 914 92 36",IF(A84="U7","+43 676 661 62 26 &amp;  +43 681 208 115 99",IF(A84="Camp","+43 660 77 39 500",IF(A84="Turnier","+43 660 77 39 500","FEHLER")))))))))))</f>
        <v/>
      </c>
    </row>
    <row r="85" ht="15.6" customHeight="1" s="123">
      <c r="A85" s="61">
        <f>Heimspiele!C82</f>
        <v/>
      </c>
      <c r="B85" s="138">
        <f>Heimspiele!D82</f>
        <v/>
      </c>
      <c r="C85" s="139">
        <f>Heimspiele!E82</f>
        <v/>
      </c>
      <c r="D85" s="61">
        <f>Heimspiele!F82</f>
        <v/>
      </c>
      <c r="E85" s="61">
        <f>Heimspiele!G82</f>
        <v/>
      </c>
      <c r="F85" s="61" t="inlineStr">
        <is>
          <t>U16</t>
        </is>
      </c>
      <c r="G85" s="61">
        <f>IF(F85="Großfeld","Großfeld",IF(F85="U16","Großfeld",IF(F85="U15","Großfeld",IF(F85="U14","Großfeld",IF(F85="U13","75x55",IF(F85="U11/U12","55x40",IF(F85="U9/U10","40x25",IF(F85="U8","29x22","25x20"))))))))</f>
        <v/>
      </c>
      <c r="H85" s="61">
        <f>IF(F85="Großfeld","7,32x2,44",IF(F85="U16","7,32x2,44",IF(F85="U15","7,32x2,44",IF(F85="U14","7,32x2,44",IF(F85="U13","5x2",IF(F85="U11/U12","5x2",IF(F85="U9/U10","5x2","4 Minitore")))))))</f>
        <v/>
      </c>
      <c r="I85" s="61">
        <f>IF(F85="Großfeld","5",IF(F85="U16","5",IF(F85="U15","5",IF(F85="U14","4",IF(F85="U13","4",IF(F85="U11/U12","4",IF(F85="U9/U10","4",IF(F85="U9","4","3"))))))))</f>
        <v/>
      </c>
      <c r="J85" s="61">
        <f>IF(A85="KM Neufeld","Pleninger Stefan",IF(A85="U16 LL","Josch Kögl",IF(A85="U15 LL Nord","Serdar Ekinci",IF(A85="U14 Nord","Gernot Servelda",IF(A85="U13 Nord","Thomas Pöschl &amp; Lenz Honc",IF(A85="U11 Nord D","Mario Magler&amp;Ronny Archam",IF(A85="U9","Thomas Brandl&amp;Daniel Hofbauer",IF(A85="U8","Berger Tobias&amp;Sebastian Putric",IF(A85="U7","Türkes Ömer&amp;Mahsumi Taha",IF(A85="Camp","Berger Dieter",IF(A85="Turnier","Berger Dieter","FEHLER")))))))))))</f>
        <v/>
      </c>
      <c r="K85" s="61">
        <f>IF(A85="KM Neufeld","+43 664 415 99 09",IF(A85="U16 LL","+43 650 262 82 63",IF(A85="U15 LL Nord","+43 650 701 02 44",IF(A85="U14 Nord","+43 676 401 09 13",IF(A85="U13 Nord","+43 677 613 55 114 &amp; +43 664 114 43 52",IF(A85="U11 Nord D","+43 664 762 09 93 &amp; +43 699 111 93 828",IF(A85="U9","+43 676 377 16 30 &amp;  +43 399 197 871 81",IF(A85="U8","+43 660 199 13 52 &amp;  +43 660 914 92 36",IF(A85="U7","+43 676 661 62 26 &amp;  +43 681 208 115 99",IF(A85="Camp","+43 660 77 39 500",IF(A85="Turnier","+43 660 77 39 500","FEHLER")))))))))))</f>
        <v/>
      </c>
    </row>
    <row r="86" ht="15.6" customHeight="1" s="123">
      <c r="A86" s="60">
        <f>Heimspiele!C83</f>
        <v/>
      </c>
      <c r="B86" s="135">
        <f>Heimspiele!D83</f>
        <v/>
      </c>
      <c r="C86" s="136">
        <f>Heimspiele!E83</f>
        <v/>
      </c>
      <c r="D86" s="60">
        <f>Heimspiele!F83</f>
        <v/>
      </c>
      <c r="E86" s="60">
        <f>Heimspiele!G83</f>
        <v/>
      </c>
      <c r="F86" s="60" t="inlineStr">
        <is>
          <t>Turnier</t>
        </is>
      </c>
      <c r="G86" s="60">
        <f>IF(F86="Großfeld","Großfeld",IF(F86="U16","Großfeld",IF(F86="U15","Großfeld",IF(F86="U14","Großfeld",IF(F86="U13","75x55",IF(F86="U11/U12","55x40",IF(F86="U9/U10","40x25",IF(F86="U8","29x22","25x20"))))))))</f>
        <v/>
      </c>
      <c r="H86" s="60">
        <f>IF(F86="Großfeld","7,32x2,44",IF(F86="U16","7,32x2,44",IF(F86="U15","7,32x2,44",IF(F86="U14","7,32x2,44",IF(F86="U13","5x2",IF(F86="U11/U12","5x2",IF(F86="U9/U10","5x2",IF(F86="Turnier","5x2","4 Minitore"))))))))</f>
        <v/>
      </c>
      <c r="I86" s="60">
        <f>IF(F86="Großfeld","5",IF(F86="U16","5",IF(F86="U15","5",IF(F86="U14","4",IF(F86="U13","4",IF(F86="U11/U12","4",IF(F86="U9/U10","4",IF(F86="U9","4","3"))))))))</f>
        <v/>
      </c>
      <c r="J86" s="60">
        <f>IF(A86="KM Neufeld","Pleninger Stefan",IF(A86="U16 LL","Josch Kögl",IF(A86="U15 LL Nord","Serdar Ekinci",IF(A86="U14 Nord","Gernot Servelda",IF(A86="U13 Nord","Thomas Pöschl &amp; Lenz Honc",IF(A86="U11 Nord D","Mario Magler&amp;Ronny Archam",IF(A86="U9","Thomas Brandl&amp;Daniel Hofbauer",IF(A86="U8","Berger Tobias&amp;Sebastian Putric",IF(A86="U7","Türkes Ömer&amp;Mahsumi Taha",IF(A86="Camp","Berger Dieter",IF(A86="Turnier","Berger Dieter","FEHLER")))))))))))</f>
        <v/>
      </c>
      <c r="K86" s="60">
        <f>IF(A86="KM Neufeld","+43 664 415 99 09",IF(A86="U16 LL","+43 650 262 82 63",IF(A86="U15 LL Nord","+43 650 701 02 44",IF(A86="U14 Nord","+43 676 401 09 13",IF(A86="U13 Nord","+43 677 613 55 114 &amp; +43 664 114 43 52",IF(A86="U11 Nord D","+43 664 762 09 93 &amp; +43 699 111 93 828",IF(A86="U9","+43 676 377 16 30 &amp;  +43 399 197 871 81",IF(A86="U8","+43 660 199 13 52 &amp;  +43 660 914 92 36",IF(A86="U7","+43 676 661 62 26 &amp;  +43 681 208 115 99",IF(A86="Camp","+43 660 77 39 500",IF(A86="Turnier","+43 660 77 39 500","FEHLER")))))))))))</f>
        <v/>
      </c>
    </row>
    <row r="87" ht="15.6" customHeight="1" s="123">
      <c r="A87" s="60">
        <f>Heimspiele!C84</f>
        <v/>
      </c>
      <c r="B87" s="135">
        <f>Heimspiele!D84</f>
        <v/>
      </c>
      <c r="C87" s="136">
        <f>Heimspiele!E84</f>
        <v/>
      </c>
      <c r="D87" s="60">
        <f>Heimspiele!F84</f>
        <v/>
      </c>
      <c r="E87" s="60">
        <f>Heimspiele!G84</f>
        <v/>
      </c>
      <c r="F87" s="60" t="inlineStr">
        <is>
          <t>Turnier</t>
        </is>
      </c>
      <c r="G87" s="60">
        <f>IF(F87="Großfeld","Großfeld",IF(F87="U16","Großfeld",IF(F87="U15","Großfeld",IF(F87="U14","Großfeld",IF(F87="U13","75x55",IF(F87="U11/U12","55x40",IF(F87="U9/U10","40x25",IF(F87="U8","29x22","25x20"))))))))</f>
        <v/>
      </c>
      <c r="H87" s="60">
        <f>IF(F87="Großfeld","7,32x2,44",IF(F87="U16","7,32x2,44",IF(F87="U15","7,32x2,44",IF(F87="U14","7,32x2,44",IF(F87="U13","5x2",IF(F87="U11/U12","5x2",IF(F87="U9/U10","5x2",IF(F86="Turnier","5x2","4 Minitore"))))))))</f>
        <v/>
      </c>
      <c r="I87" s="60">
        <f>IF(F87="Großfeld","5",IF(F87="U16","5",IF(F87="U15","5",IF(F87="U14","4",IF(F87="U13","4",IF(F87="U11/U12","4",IF(F87="U9/U10","4",IF(F87="U9","4","3"))))))))</f>
        <v/>
      </c>
      <c r="J87" s="60">
        <f>IF(A87="KM Neufeld","Pleninger Stefan",IF(A87="U16 LL","Josch Kögl",IF(A87="U15 LL Nord","Serdar Ekinci",IF(A87="U14 Nord","Gernot Servelda",IF(A87="U13 Nord","Thomas Pöschl &amp; Lenz Honc",IF(A87="U11 Nord D","Mario Magler&amp;Ronny Archam",IF(A87="U9","Thomas Brandl&amp;Daniel Hofbauer",IF(A87="U8","Berger Tobias&amp;Sebastian Putric",IF(A87="U7","Türkes Ömer&amp;Mahsumi Taha",IF(A87="Camp","Berger Dieter",IF(A87="Turnier","Berger Dieter","FEHLER")))))))))))</f>
        <v/>
      </c>
      <c r="K87" s="60">
        <f>IF(A87="KM Neufeld","+43 664 415 99 09",IF(A87="U16 LL","+43 650 262 82 63",IF(A87="U15 LL Nord","+43 650 701 02 44",IF(A87="U14 Nord","+43 676 401 09 13",IF(A87="U13 Nord","+43 677 613 55 114 &amp; +43 664 114 43 52",IF(A87="U11 Nord D","+43 664 762 09 93 &amp; +43 699 111 93 828",IF(A87="U9","+43 676 377 16 30 &amp;  +43 399 197 871 81",IF(A87="U8","+43 660 199 13 52 &amp;  +43 660 914 92 36",IF(A87="U7","+43 676 661 62 26 &amp;  +43 681 208 115 99",IF(A87="Camp","+43 660 77 39 500",IF(A87="Turnier","+43 660 77 39 500","FEHLER")))))))))))</f>
        <v/>
      </c>
    </row>
  </sheetData>
  <autoFilter ref="A1:K83">
    <filterColumn colId="3" hiddenButton="0" showButton="1">
      <filters>
        <filter val="Neufeld"/>
      </filters>
    </filterColumn>
    <sortState ref="A2:K87">
      <sortCondition ref="B1:B83"/>
    </sortState>
  </autoFilter>
  <pageMargins left="0.03937007874015748" right="0.03937007874015748" top="1.338582677165354" bottom="0.7480314960629921" header="0.3149606299212598" footer="0.3149606299212598"/>
  <pageSetup orientation="landscape" paperSize="8" scale="76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654" sqref="A1:B654"/>
    </sheetView>
  </sheetViews>
  <sheetFormatPr baseColWidth="10" defaultRowHeight="14.4"/>
  <sheetData/>
  <pageMargins left="0.7" right="0.7" top="0.787401575" bottom="0.7874015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2026-06-25T11:51:27Z</dcterms:modified>
  <cp:lastModifiedBy>dieter berger</cp:lastModifiedBy>
  <cp:lastPrinted>2026-03-11T14:46:58Z</cp:lastPrinted>
</cp:coreProperties>
</file>
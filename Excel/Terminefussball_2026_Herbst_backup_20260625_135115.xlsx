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neufeld\Excel\"/>
    </mc:Choice>
  </mc:AlternateContent>
  <xr:revisionPtr revIDLastSave="0" documentId="13_ncr:1_{99C0DF6E-1DE7-432A-8766-C7FC523A371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ach Mannschaften sortiert" sheetId="1" r:id="rId1"/>
    <sheet name="ICS2" sheetId="2" r:id="rId2"/>
    <sheet name="Kalendernamen" sheetId="3" r:id="rId3"/>
    <sheet name="Trainingsplan" sheetId="4" r:id="rId4"/>
    <sheet name="Heimspiele" sheetId="5" r:id="rId5"/>
    <sheet name="Tabelle1" sheetId="6" r:id="rId6"/>
    <sheet name="Stefans Liste 2026" sheetId="7" r:id="rId7"/>
    <sheet name="Tabelle2" sheetId="8" r:id="rId8"/>
  </sheets>
  <definedNames>
    <definedName name="_xlnm._FilterDatabase" localSheetId="4" hidden="1">Heimspiele!$A$1:$H$84</definedName>
    <definedName name="_xlnm._FilterDatabase" localSheetId="0" hidden="1">'Nach Mannschaften sortiert'!$A$1:$H$93</definedName>
    <definedName name="_xlnm._FilterDatabase" localSheetId="6" hidden="1">'Stefans Liste 2026'!$A$1:$K$83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7" i="7" l="1"/>
  <c r="H87" i="7"/>
  <c r="G87" i="7"/>
  <c r="C87" i="7"/>
  <c r="I86" i="7"/>
  <c r="H86" i="7"/>
  <c r="G86" i="7"/>
  <c r="I85" i="7"/>
  <c r="H85" i="7"/>
  <c r="G85" i="7"/>
  <c r="I84" i="7"/>
  <c r="H84" i="7"/>
  <c r="G84" i="7"/>
  <c r="A84" i="7"/>
  <c r="I83" i="7"/>
  <c r="H83" i="7"/>
  <c r="G83" i="7"/>
  <c r="C83" i="7"/>
  <c r="I82" i="7"/>
  <c r="H82" i="7"/>
  <c r="G82" i="7"/>
  <c r="I81" i="7"/>
  <c r="H81" i="7"/>
  <c r="G81" i="7"/>
  <c r="I80" i="7"/>
  <c r="H80" i="7"/>
  <c r="G80" i="7"/>
  <c r="C80" i="7"/>
  <c r="B80" i="7"/>
  <c r="I79" i="7"/>
  <c r="H79" i="7"/>
  <c r="G79" i="7"/>
  <c r="I78" i="7"/>
  <c r="H78" i="7"/>
  <c r="G78" i="7"/>
  <c r="I77" i="7"/>
  <c r="H77" i="7"/>
  <c r="G77" i="7"/>
  <c r="A77" i="7"/>
  <c r="J77" i="7" s="1"/>
  <c r="I76" i="7"/>
  <c r="H76" i="7"/>
  <c r="G76" i="7"/>
  <c r="B76" i="7"/>
  <c r="I75" i="7"/>
  <c r="H75" i="7"/>
  <c r="G75" i="7"/>
  <c r="I74" i="7"/>
  <c r="H74" i="7"/>
  <c r="G74" i="7"/>
  <c r="I73" i="7"/>
  <c r="H73" i="7"/>
  <c r="G73" i="7"/>
  <c r="I72" i="7"/>
  <c r="H72" i="7"/>
  <c r="G72" i="7"/>
  <c r="I71" i="7"/>
  <c r="H71" i="7"/>
  <c r="G71" i="7"/>
  <c r="I70" i="7"/>
  <c r="H70" i="7"/>
  <c r="G70" i="7"/>
  <c r="I69" i="7"/>
  <c r="H69" i="7"/>
  <c r="G69" i="7"/>
  <c r="I68" i="7"/>
  <c r="H68" i="7"/>
  <c r="G68" i="7"/>
  <c r="I67" i="7"/>
  <c r="H67" i="7"/>
  <c r="G67" i="7"/>
  <c r="I66" i="7"/>
  <c r="H66" i="7"/>
  <c r="G66" i="7"/>
  <c r="I65" i="7"/>
  <c r="H65" i="7"/>
  <c r="G65" i="7"/>
  <c r="I64" i="7"/>
  <c r="H64" i="7"/>
  <c r="G64" i="7"/>
  <c r="E64" i="7"/>
  <c r="A64" i="7"/>
  <c r="I63" i="7"/>
  <c r="H63" i="7"/>
  <c r="G63" i="7"/>
  <c r="I62" i="7"/>
  <c r="H62" i="7"/>
  <c r="G62" i="7"/>
  <c r="D62" i="7"/>
  <c r="I61" i="7"/>
  <c r="H61" i="7"/>
  <c r="G61" i="7"/>
  <c r="I60" i="7"/>
  <c r="H60" i="7"/>
  <c r="G60" i="7"/>
  <c r="I59" i="7"/>
  <c r="H59" i="7"/>
  <c r="G59" i="7"/>
  <c r="I58" i="7"/>
  <c r="H58" i="7"/>
  <c r="G58" i="7"/>
  <c r="A58" i="7"/>
  <c r="J58" i="7" s="1"/>
  <c r="I57" i="7"/>
  <c r="H57" i="7"/>
  <c r="G57" i="7"/>
  <c r="J56" i="7"/>
  <c r="I56" i="7"/>
  <c r="H56" i="7"/>
  <c r="G56" i="7"/>
  <c r="E56" i="7"/>
  <c r="I55" i="7"/>
  <c r="H55" i="7"/>
  <c r="G55" i="7"/>
  <c r="I54" i="7"/>
  <c r="H54" i="7"/>
  <c r="G54" i="7"/>
  <c r="I53" i="7"/>
  <c r="H53" i="7"/>
  <c r="G53" i="7"/>
  <c r="A53" i="7"/>
  <c r="K53" i="7" s="1"/>
  <c r="I52" i="7"/>
  <c r="H52" i="7"/>
  <c r="G52" i="7"/>
  <c r="I51" i="7"/>
  <c r="H51" i="7"/>
  <c r="G51" i="7"/>
  <c r="D51" i="7"/>
  <c r="I50" i="7"/>
  <c r="H50" i="7"/>
  <c r="G50" i="7"/>
  <c r="A50" i="7"/>
  <c r="J50" i="7" s="1"/>
  <c r="I49" i="7"/>
  <c r="H49" i="7"/>
  <c r="G49" i="7"/>
  <c r="I48" i="7"/>
  <c r="H48" i="7"/>
  <c r="G48" i="7"/>
  <c r="D48" i="7"/>
  <c r="I47" i="7"/>
  <c r="H47" i="7"/>
  <c r="G47" i="7"/>
  <c r="I46" i="7"/>
  <c r="H46" i="7"/>
  <c r="G46" i="7"/>
  <c r="I45" i="7"/>
  <c r="H45" i="7"/>
  <c r="G45" i="7"/>
  <c r="I44" i="7"/>
  <c r="H44" i="7"/>
  <c r="G44" i="7"/>
  <c r="E44" i="7"/>
  <c r="A44" i="7"/>
  <c r="I43" i="7"/>
  <c r="H43" i="7"/>
  <c r="G43" i="7"/>
  <c r="I42" i="7"/>
  <c r="H42" i="7"/>
  <c r="G42" i="7"/>
  <c r="I41" i="7"/>
  <c r="H41" i="7"/>
  <c r="G41" i="7"/>
  <c r="K40" i="7"/>
  <c r="I40" i="7"/>
  <c r="H40" i="7"/>
  <c r="G40" i="7"/>
  <c r="D40" i="7"/>
  <c r="I39" i="7"/>
  <c r="H39" i="7"/>
  <c r="G39" i="7"/>
  <c r="J38" i="7"/>
  <c r="I38" i="7"/>
  <c r="H38" i="7"/>
  <c r="G38" i="7"/>
  <c r="E38" i="7"/>
  <c r="I37" i="7"/>
  <c r="H37" i="7"/>
  <c r="G37" i="7"/>
  <c r="I36" i="7"/>
  <c r="H36" i="7"/>
  <c r="G36" i="7"/>
  <c r="D36" i="7"/>
  <c r="A36" i="7"/>
  <c r="I35" i="7"/>
  <c r="H35" i="7"/>
  <c r="G35" i="7"/>
  <c r="K34" i="7"/>
  <c r="I34" i="7"/>
  <c r="H34" i="7"/>
  <c r="G34" i="7"/>
  <c r="D34" i="7"/>
  <c r="I33" i="7"/>
  <c r="H33" i="7"/>
  <c r="G33" i="7"/>
  <c r="E33" i="7"/>
  <c r="D33" i="7"/>
  <c r="J32" i="7"/>
  <c r="I32" i="7"/>
  <c r="H32" i="7"/>
  <c r="G32" i="7"/>
  <c r="E32" i="7"/>
  <c r="A32" i="7"/>
  <c r="K32" i="7" s="1"/>
  <c r="I31" i="7"/>
  <c r="H31" i="7"/>
  <c r="G31" i="7"/>
  <c r="A31" i="7"/>
  <c r="J31" i="7" s="1"/>
  <c r="I30" i="7"/>
  <c r="H30" i="7"/>
  <c r="G30" i="7"/>
  <c r="D30" i="7"/>
  <c r="I29" i="7"/>
  <c r="H29" i="7"/>
  <c r="G29" i="7"/>
  <c r="E29" i="7"/>
  <c r="D29" i="7"/>
  <c r="J28" i="7"/>
  <c r="G28" i="7"/>
  <c r="D28" i="7"/>
  <c r="J27" i="7"/>
  <c r="I27" i="7"/>
  <c r="H27" i="7"/>
  <c r="G27" i="7"/>
  <c r="E27" i="7"/>
  <c r="A27" i="7"/>
  <c r="K27" i="7" s="1"/>
  <c r="I26" i="7"/>
  <c r="H26" i="7"/>
  <c r="G26" i="7"/>
  <c r="A26" i="7"/>
  <c r="J26" i="7" s="1"/>
  <c r="G25" i="7"/>
  <c r="E25" i="7"/>
  <c r="A25" i="7"/>
  <c r="I24" i="7"/>
  <c r="H24" i="7"/>
  <c r="G24" i="7"/>
  <c r="D24" i="7"/>
  <c r="G23" i="7"/>
  <c r="I22" i="7"/>
  <c r="H22" i="7"/>
  <c r="G22" i="7"/>
  <c r="E22" i="7"/>
  <c r="D22" i="7"/>
  <c r="J21" i="7"/>
  <c r="I21" i="7"/>
  <c r="H21" i="7"/>
  <c r="G21" i="7"/>
  <c r="E21" i="7"/>
  <c r="A21" i="7"/>
  <c r="K21" i="7" s="1"/>
  <c r="I20" i="7"/>
  <c r="H20" i="7"/>
  <c r="G20" i="7"/>
  <c r="A20" i="7"/>
  <c r="J20" i="7" s="1"/>
  <c r="I19" i="7"/>
  <c r="H19" i="7"/>
  <c r="G19" i="7"/>
  <c r="D19" i="7"/>
  <c r="I18" i="7"/>
  <c r="H18" i="7"/>
  <c r="G18" i="7"/>
  <c r="E18" i="7"/>
  <c r="D18" i="7"/>
  <c r="I17" i="7"/>
  <c r="H17" i="7"/>
  <c r="G17" i="7"/>
  <c r="E17" i="7"/>
  <c r="A17" i="7"/>
  <c r="K17" i="7" s="1"/>
  <c r="I16" i="7"/>
  <c r="H16" i="7"/>
  <c r="G16" i="7"/>
  <c r="D16" i="7"/>
  <c r="I15" i="7"/>
  <c r="H15" i="7"/>
  <c r="G15" i="7"/>
  <c r="E15" i="7"/>
  <c r="D15" i="7"/>
  <c r="J14" i="7"/>
  <c r="I14" i="7"/>
  <c r="H14" i="7"/>
  <c r="G14" i="7"/>
  <c r="E14" i="7"/>
  <c r="A14" i="7"/>
  <c r="K14" i="7" s="1"/>
  <c r="I13" i="7"/>
  <c r="H13" i="7"/>
  <c r="G13" i="7"/>
  <c r="I12" i="7"/>
  <c r="H12" i="7"/>
  <c r="G12" i="7"/>
  <c r="E12" i="7"/>
  <c r="D12" i="7"/>
  <c r="J11" i="7"/>
  <c r="I11" i="7"/>
  <c r="H11" i="7"/>
  <c r="G11" i="7"/>
  <c r="E11" i="7"/>
  <c r="A11" i="7"/>
  <c r="K11" i="7" s="1"/>
  <c r="I10" i="7"/>
  <c r="H10" i="7"/>
  <c r="G10" i="7"/>
  <c r="I9" i="7"/>
  <c r="H9" i="7"/>
  <c r="G9" i="7"/>
  <c r="E9" i="7"/>
  <c r="D9" i="7"/>
  <c r="K8" i="7"/>
  <c r="J8" i="7"/>
  <c r="I8" i="7"/>
  <c r="H8" i="7"/>
  <c r="G8" i="7"/>
  <c r="I7" i="7"/>
  <c r="H7" i="7"/>
  <c r="G7" i="7"/>
  <c r="A7" i="7"/>
  <c r="J7" i="7" s="1"/>
  <c r="K6" i="7"/>
  <c r="J6" i="7"/>
  <c r="I6" i="7"/>
  <c r="H6" i="7"/>
  <c r="G6" i="7"/>
  <c r="I5" i="7"/>
  <c r="H5" i="7"/>
  <c r="G5" i="7"/>
  <c r="E5" i="7"/>
  <c r="D5" i="7"/>
  <c r="K4" i="7"/>
  <c r="J4" i="7"/>
  <c r="I4" i="7"/>
  <c r="H4" i="7"/>
  <c r="G4" i="7"/>
  <c r="I3" i="7"/>
  <c r="H3" i="7"/>
  <c r="G3" i="7"/>
  <c r="A3" i="7"/>
  <c r="J3" i="7" s="1"/>
  <c r="K2" i="7"/>
  <c r="J2" i="7"/>
  <c r="I2" i="7"/>
  <c r="H2" i="7"/>
  <c r="G2" i="7"/>
  <c r="H84" i="5"/>
  <c r="G84" i="5"/>
  <c r="E87" i="7" s="1"/>
  <c r="F84" i="5"/>
  <c r="D87" i="7" s="1"/>
  <c r="E84" i="5"/>
  <c r="D84" i="5"/>
  <c r="B87" i="7" s="1"/>
  <c r="C84" i="5"/>
  <c r="A87" i="7" s="1"/>
  <c r="B84" i="5"/>
  <c r="A84" i="5"/>
  <c r="H83" i="5"/>
  <c r="G83" i="5"/>
  <c r="E86" i="7" s="1"/>
  <c r="F83" i="5"/>
  <c r="D86" i="7" s="1"/>
  <c r="E83" i="5"/>
  <c r="C86" i="7" s="1"/>
  <c r="D83" i="5"/>
  <c r="B86" i="7" s="1"/>
  <c r="C83" i="5"/>
  <c r="A86" i="7" s="1"/>
  <c r="B83" i="5"/>
  <c r="A83" i="5"/>
  <c r="H82" i="5"/>
  <c r="G82" i="5"/>
  <c r="E85" i="7" s="1"/>
  <c r="F82" i="5"/>
  <c r="D85" i="7" s="1"/>
  <c r="E82" i="5"/>
  <c r="C85" i="7" s="1"/>
  <c r="D82" i="5"/>
  <c r="B85" i="7" s="1"/>
  <c r="C82" i="5"/>
  <c r="A85" i="7" s="1"/>
  <c r="B82" i="5"/>
  <c r="A82" i="5"/>
  <c r="H81" i="5"/>
  <c r="G81" i="5"/>
  <c r="E84" i="7" s="1"/>
  <c r="F81" i="5"/>
  <c r="D84" i="7" s="1"/>
  <c r="E81" i="5"/>
  <c r="C84" i="7" s="1"/>
  <c r="D81" i="5"/>
  <c r="B84" i="7" s="1"/>
  <c r="C81" i="5"/>
  <c r="B81" i="5"/>
  <c r="A81" i="5"/>
  <c r="H80" i="5"/>
  <c r="G80" i="5"/>
  <c r="E83" i="7" s="1"/>
  <c r="F80" i="5"/>
  <c r="D83" i="7" s="1"/>
  <c r="E80" i="5"/>
  <c r="D80" i="5"/>
  <c r="B83" i="7" s="1"/>
  <c r="C80" i="5"/>
  <c r="A83" i="7" s="1"/>
  <c r="B80" i="5"/>
  <c r="A80" i="5"/>
  <c r="H79" i="5"/>
  <c r="G79" i="5"/>
  <c r="E78" i="7" s="1"/>
  <c r="F79" i="5"/>
  <c r="D78" i="7" s="1"/>
  <c r="E79" i="5"/>
  <c r="D79" i="5"/>
  <c r="B78" i="7" s="1"/>
  <c r="C79" i="5"/>
  <c r="A78" i="7" s="1"/>
  <c r="K78" i="7" s="1"/>
  <c r="B79" i="5"/>
  <c r="A79" i="5"/>
  <c r="H78" i="5"/>
  <c r="G78" i="5"/>
  <c r="E77" i="7" s="1"/>
  <c r="F78" i="5"/>
  <c r="D77" i="7" s="1"/>
  <c r="E78" i="5"/>
  <c r="D78" i="5"/>
  <c r="B77" i="7" s="1"/>
  <c r="C78" i="5"/>
  <c r="B78" i="5"/>
  <c r="A78" i="5"/>
  <c r="H77" i="5"/>
  <c r="G77" i="5"/>
  <c r="E76" i="7" s="1"/>
  <c r="F77" i="5"/>
  <c r="D76" i="7" s="1"/>
  <c r="E77" i="5"/>
  <c r="D77" i="5"/>
  <c r="C77" i="5"/>
  <c r="A76" i="7" s="1"/>
  <c r="B77" i="5"/>
  <c r="A77" i="5"/>
  <c r="H76" i="5"/>
  <c r="G76" i="5"/>
  <c r="E75" i="7" s="1"/>
  <c r="F76" i="5"/>
  <c r="D75" i="7" s="1"/>
  <c r="E76" i="5"/>
  <c r="D76" i="5"/>
  <c r="B75" i="7" s="1"/>
  <c r="C76" i="5"/>
  <c r="A75" i="7" s="1"/>
  <c r="B76" i="5"/>
  <c r="A76" i="5"/>
  <c r="H75" i="5"/>
  <c r="G75" i="5"/>
  <c r="E82" i="7" s="1"/>
  <c r="F75" i="5"/>
  <c r="D82" i="7" s="1"/>
  <c r="E75" i="5"/>
  <c r="C82" i="7" s="1"/>
  <c r="D75" i="5"/>
  <c r="B82" i="7" s="1"/>
  <c r="C75" i="5"/>
  <c r="A82" i="7" s="1"/>
  <c r="B75" i="5"/>
  <c r="A75" i="5"/>
  <c r="H74" i="5"/>
  <c r="G74" i="5"/>
  <c r="E73" i="7" s="1"/>
  <c r="F74" i="5"/>
  <c r="D73" i="7" s="1"/>
  <c r="E74" i="5"/>
  <c r="D74" i="5"/>
  <c r="B73" i="7" s="1"/>
  <c r="C74" i="5"/>
  <c r="A73" i="7" s="1"/>
  <c r="B74" i="5"/>
  <c r="A74" i="5"/>
  <c r="H73" i="5"/>
  <c r="G73" i="5"/>
  <c r="E72" i="7" s="1"/>
  <c r="F73" i="5"/>
  <c r="D72" i="7" s="1"/>
  <c r="E73" i="5"/>
  <c r="D73" i="5"/>
  <c r="B72" i="7" s="1"/>
  <c r="C73" i="5"/>
  <c r="A72" i="7" s="1"/>
  <c r="B73" i="5"/>
  <c r="A73" i="5"/>
  <c r="H72" i="5"/>
  <c r="G72" i="5"/>
  <c r="E71" i="7" s="1"/>
  <c r="F72" i="5"/>
  <c r="D71" i="7" s="1"/>
  <c r="E72" i="5"/>
  <c r="D72" i="5"/>
  <c r="B71" i="7" s="1"/>
  <c r="C72" i="5"/>
  <c r="A71" i="7" s="1"/>
  <c r="B72" i="5"/>
  <c r="A72" i="5"/>
  <c r="H71" i="5"/>
  <c r="G71" i="5"/>
  <c r="E70" i="7" s="1"/>
  <c r="F71" i="5"/>
  <c r="D70" i="7" s="1"/>
  <c r="E71" i="5"/>
  <c r="D71" i="5"/>
  <c r="B70" i="7" s="1"/>
  <c r="C71" i="5"/>
  <c r="A70" i="7" s="1"/>
  <c r="B71" i="5"/>
  <c r="A71" i="5"/>
  <c r="H70" i="5"/>
  <c r="G70" i="5"/>
  <c r="E81" i="7" s="1"/>
  <c r="F70" i="5"/>
  <c r="D81" i="7" s="1"/>
  <c r="E70" i="5"/>
  <c r="C81" i="7" s="1"/>
  <c r="D70" i="5"/>
  <c r="B81" i="7" s="1"/>
  <c r="C70" i="5"/>
  <c r="A81" i="7" s="1"/>
  <c r="B70" i="5"/>
  <c r="A70" i="5"/>
  <c r="H69" i="5"/>
  <c r="G69" i="5"/>
  <c r="E68" i="7" s="1"/>
  <c r="F69" i="5"/>
  <c r="D68" i="7" s="1"/>
  <c r="E69" i="5"/>
  <c r="D69" i="5"/>
  <c r="B68" i="7" s="1"/>
  <c r="C69" i="5"/>
  <c r="A68" i="7" s="1"/>
  <c r="B69" i="5"/>
  <c r="A69" i="5"/>
  <c r="H68" i="5"/>
  <c r="G68" i="5"/>
  <c r="E67" i="7" s="1"/>
  <c r="F68" i="5"/>
  <c r="D67" i="7" s="1"/>
  <c r="E68" i="5"/>
  <c r="D68" i="5"/>
  <c r="B67" i="7" s="1"/>
  <c r="C68" i="5"/>
  <c r="A67" i="7" s="1"/>
  <c r="B68" i="5"/>
  <c r="A68" i="5"/>
  <c r="H67" i="5"/>
  <c r="G67" i="5"/>
  <c r="E66" i="7" s="1"/>
  <c r="F67" i="5"/>
  <c r="D66" i="7" s="1"/>
  <c r="E67" i="5"/>
  <c r="D67" i="5"/>
  <c r="B66" i="7" s="1"/>
  <c r="C67" i="5"/>
  <c r="A66" i="7" s="1"/>
  <c r="B67" i="5"/>
  <c r="A67" i="5"/>
  <c r="H66" i="5"/>
  <c r="G66" i="5"/>
  <c r="E65" i="7" s="1"/>
  <c r="F66" i="5"/>
  <c r="D65" i="7" s="1"/>
  <c r="E66" i="5"/>
  <c r="D66" i="5"/>
  <c r="B65" i="7" s="1"/>
  <c r="C66" i="5"/>
  <c r="A65" i="7" s="1"/>
  <c r="B66" i="5"/>
  <c r="A66" i="5"/>
  <c r="H65" i="5"/>
  <c r="G65" i="5"/>
  <c r="E80" i="7" s="1"/>
  <c r="F65" i="5"/>
  <c r="D80" i="7" s="1"/>
  <c r="C65" i="5"/>
  <c r="A80" i="7" s="1"/>
  <c r="B65" i="5"/>
  <c r="A65" i="5"/>
  <c r="H64" i="5"/>
  <c r="G64" i="5"/>
  <c r="E63" i="7" s="1"/>
  <c r="F64" i="5"/>
  <c r="D63" i="7" s="1"/>
  <c r="E64" i="5"/>
  <c r="D64" i="5"/>
  <c r="B63" i="7" s="1"/>
  <c r="C64" i="5"/>
  <c r="A63" i="7" s="1"/>
  <c r="B64" i="5"/>
  <c r="A64" i="5"/>
  <c r="H63" i="5"/>
  <c r="G63" i="5"/>
  <c r="E62" i="7" s="1"/>
  <c r="F63" i="5"/>
  <c r="E63" i="5"/>
  <c r="D63" i="5"/>
  <c r="B62" i="7" s="1"/>
  <c r="C63" i="5"/>
  <c r="A62" i="7" s="1"/>
  <c r="B63" i="5"/>
  <c r="A63" i="5"/>
  <c r="H62" i="5"/>
  <c r="G62" i="5"/>
  <c r="E79" i="7" s="1"/>
  <c r="F62" i="5"/>
  <c r="D79" i="7" s="1"/>
  <c r="E62" i="5"/>
  <c r="C79" i="7" s="1"/>
  <c r="D62" i="5"/>
  <c r="B79" i="7" s="1"/>
  <c r="C62" i="5"/>
  <c r="A79" i="7" s="1"/>
  <c r="B62" i="5"/>
  <c r="A62" i="5"/>
  <c r="H61" i="5"/>
  <c r="G61" i="5"/>
  <c r="E60" i="7" s="1"/>
  <c r="F61" i="5"/>
  <c r="D60" i="7" s="1"/>
  <c r="E61" i="5"/>
  <c r="D61" i="5"/>
  <c r="B60" i="7" s="1"/>
  <c r="C61" i="5"/>
  <c r="A60" i="7" s="1"/>
  <c r="B61" i="5"/>
  <c r="A61" i="5"/>
  <c r="H60" i="5"/>
  <c r="G60" i="5"/>
  <c r="E74" i="7" s="1"/>
  <c r="F60" i="5"/>
  <c r="D74" i="7" s="1"/>
  <c r="E60" i="5"/>
  <c r="C74" i="7" s="1"/>
  <c r="D60" i="5"/>
  <c r="B74" i="7" s="1"/>
  <c r="C60" i="5"/>
  <c r="A74" i="7" s="1"/>
  <c r="B60" i="5"/>
  <c r="A60" i="5"/>
  <c r="H59" i="5"/>
  <c r="G59" i="5"/>
  <c r="E58" i="7" s="1"/>
  <c r="F59" i="5"/>
  <c r="D58" i="7" s="1"/>
  <c r="E59" i="5"/>
  <c r="D59" i="5"/>
  <c r="B58" i="7" s="1"/>
  <c r="C59" i="5"/>
  <c r="B59" i="5"/>
  <c r="A59" i="5"/>
  <c r="H58" i="5"/>
  <c r="G58" i="5"/>
  <c r="E69" i="7" s="1"/>
  <c r="F58" i="5"/>
  <c r="D69" i="7" s="1"/>
  <c r="E58" i="5"/>
  <c r="C69" i="7" s="1"/>
  <c r="D58" i="5"/>
  <c r="B69" i="7" s="1"/>
  <c r="C58" i="5"/>
  <c r="A69" i="7" s="1"/>
  <c r="B58" i="5"/>
  <c r="A58" i="5"/>
  <c r="H57" i="5"/>
  <c r="G57" i="5"/>
  <c r="F57" i="5"/>
  <c r="D56" i="7" s="1"/>
  <c r="E57" i="5"/>
  <c r="D57" i="5"/>
  <c r="B56" i="7" s="1"/>
  <c r="C57" i="5"/>
  <c r="A56" i="7" s="1"/>
  <c r="K56" i="7" s="1"/>
  <c r="B57" i="5"/>
  <c r="A57" i="5"/>
  <c r="H56" i="5"/>
  <c r="G56" i="5"/>
  <c r="F56" i="5"/>
  <c r="D64" i="7" s="1"/>
  <c r="E56" i="5"/>
  <c r="C64" i="7" s="1"/>
  <c r="D56" i="5"/>
  <c r="B64" i="7" s="1"/>
  <c r="C56" i="5"/>
  <c r="B56" i="5"/>
  <c r="A56" i="5"/>
  <c r="H55" i="5"/>
  <c r="G55" i="5"/>
  <c r="E54" i="7" s="1"/>
  <c r="F55" i="5"/>
  <c r="D54" i="7" s="1"/>
  <c r="E55" i="5"/>
  <c r="D55" i="5"/>
  <c r="B54" i="7" s="1"/>
  <c r="C55" i="5"/>
  <c r="A54" i="7" s="1"/>
  <c r="B55" i="5"/>
  <c r="A55" i="5"/>
  <c r="H54" i="5"/>
  <c r="G54" i="5"/>
  <c r="E61" i="7" s="1"/>
  <c r="F54" i="5"/>
  <c r="D61" i="7" s="1"/>
  <c r="E54" i="5"/>
  <c r="C61" i="7" s="1"/>
  <c r="D54" i="5"/>
  <c r="B61" i="7" s="1"/>
  <c r="C54" i="5"/>
  <c r="A61" i="7" s="1"/>
  <c r="B54" i="5"/>
  <c r="A54" i="5"/>
  <c r="H53" i="5"/>
  <c r="G53" i="5"/>
  <c r="E52" i="7" s="1"/>
  <c r="F53" i="5"/>
  <c r="D52" i="7" s="1"/>
  <c r="E53" i="5"/>
  <c r="D53" i="5"/>
  <c r="B52" i="7" s="1"/>
  <c r="C53" i="5"/>
  <c r="A52" i="7" s="1"/>
  <c r="B53" i="5"/>
  <c r="A53" i="5"/>
  <c r="H52" i="5"/>
  <c r="G52" i="5"/>
  <c r="E59" i="7" s="1"/>
  <c r="F52" i="5"/>
  <c r="D59" i="7" s="1"/>
  <c r="E52" i="5"/>
  <c r="C59" i="7" s="1"/>
  <c r="D52" i="5"/>
  <c r="B59" i="7" s="1"/>
  <c r="C52" i="5"/>
  <c r="A59" i="7" s="1"/>
  <c r="B52" i="5"/>
  <c r="A52" i="5"/>
  <c r="H51" i="5"/>
  <c r="G51" i="5"/>
  <c r="E50" i="7" s="1"/>
  <c r="F51" i="5"/>
  <c r="D50" i="7" s="1"/>
  <c r="E51" i="5"/>
  <c r="D51" i="5"/>
  <c r="B50" i="7" s="1"/>
  <c r="C51" i="5"/>
  <c r="B51" i="5"/>
  <c r="A51" i="5"/>
  <c r="H50" i="5"/>
  <c r="G50" i="5"/>
  <c r="E49" i="7" s="1"/>
  <c r="F50" i="5"/>
  <c r="D49" i="7" s="1"/>
  <c r="E50" i="5"/>
  <c r="D50" i="5"/>
  <c r="B49" i="7" s="1"/>
  <c r="C50" i="5"/>
  <c r="A49" i="7" s="1"/>
  <c r="B50" i="5"/>
  <c r="A50" i="5"/>
  <c r="H49" i="5"/>
  <c r="G49" i="5"/>
  <c r="E48" i="7" s="1"/>
  <c r="F49" i="5"/>
  <c r="E49" i="5"/>
  <c r="D49" i="5"/>
  <c r="B48" i="7" s="1"/>
  <c r="C49" i="5"/>
  <c r="A48" i="7" s="1"/>
  <c r="B49" i="5"/>
  <c r="A49" i="5"/>
  <c r="H48" i="5"/>
  <c r="G48" i="5"/>
  <c r="E57" i="7" s="1"/>
  <c r="F48" i="5"/>
  <c r="D57" i="7" s="1"/>
  <c r="E48" i="5"/>
  <c r="C57" i="7" s="1"/>
  <c r="D48" i="5"/>
  <c r="B57" i="7" s="1"/>
  <c r="C48" i="5"/>
  <c r="A57" i="7" s="1"/>
  <c r="B48" i="5"/>
  <c r="A48" i="5"/>
  <c r="H47" i="5"/>
  <c r="G47" i="5"/>
  <c r="E46" i="7" s="1"/>
  <c r="F47" i="5"/>
  <c r="D46" i="7" s="1"/>
  <c r="E47" i="5"/>
  <c r="D47" i="5"/>
  <c r="B46" i="7" s="1"/>
  <c r="C47" i="5"/>
  <c r="A46" i="7" s="1"/>
  <c r="B47" i="5"/>
  <c r="A47" i="5"/>
  <c r="H46" i="5"/>
  <c r="G46" i="5"/>
  <c r="E45" i="7" s="1"/>
  <c r="F46" i="5"/>
  <c r="D45" i="7" s="1"/>
  <c r="E46" i="5"/>
  <c r="D46" i="5"/>
  <c r="B45" i="7" s="1"/>
  <c r="C46" i="5"/>
  <c r="A45" i="7" s="1"/>
  <c r="B46" i="5"/>
  <c r="A46" i="5"/>
  <c r="H45" i="5"/>
  <c r="G45" i="5"/>
  <c r="E53" i="7" s="1"/>
  <c r="F45" i="5"/>
  <c r="D53" i="7" s="1"/>
  <c r="E45" i="5"/>
  <c r="C53" i="7" s="1"/>
  <c r="D45" i="5"/>
  <c r="B53" i="7" s="1"/>
  <c r="C45" i="5"/>
  <c r="B45" i="5"/>
  <c r="A45" i="5"/>
  <c r="H44" i="5"/>
  <c r="G44" i="5"/>
  <c r="E55" i="7" s="1"/>
  <c r="F44" i="5"/>
  <c r="D55" i="7" s="1"/>
  <c r="E44" i="5"/>
  <c r="C55" i="7" s="1"/>
  <c r="D44" i="5"/>
  <c r="B55" i="7" s="1"/>
  <c r="C44" i="5"/>
  <c r="A55" i="7" s="1"/>
  <c r="J55" i="7" s="1"/>
  <c r="B44" i="5"/>
  <c r="A44" i="5"/>
  <c r="H43" i="5"/>
  <c r="G43" i="5"/>
  <c r="E42" i="7" s="1"/>
  <c r="F43" i="5"/>
  <c r="D42" i="7" s="1"/>
  <c r="E43" i="5"/>
  <c r="D43" i="5"/>
  <c r="B42" i="7" s="1"/>
  <c r="C43" i="5"/>
  <c r="A42" i="7" s="1"/>
  <c r="K42" i="7" s="1"/>
  <c r="B43" i="5"/>
  <c r="A43" i="5"/>
  <c r="H42" i="5"/>
  <c r="G42" i="5"/>
  <c r="E51" i="7" s="1"/>
  <c r="F42" i="5"/>
  <c r="E42" i="5"/>
  <c r="C51" i="7" s="1"/>
  <c r="D42" i="5"/>
  <c r="B51" i="7" s="1"/>
  <c r="C42" i="5"/>
  <c r="A51" i="7" s="1"/>
  <c r="B42" i="5"/>
  <c r="A42" i="5"/>
  <c r="H41" i="5"/>
  <c r="G41" i="5"/>
  <c r="E47" i="7" s="1"/>
  <c r="F41" i="5"/>
  <c r="D47" i="7" s="1"/>
  <c r="E41" i="5"/>
  <c r="C47" i="7" s="1"/>
  <c r="D41" i="5"/>
  <c r="B47" i="7" s="1"/>
  <c r="C41" i="5"/>
  <c r="A47" i="7" s="1"/>
  <c r="B41" i="5"/>
  <c r="A41" i="5"/>
  <c r="H40" i="5"/>
  <c r="G40" i="5"/>
  <c r="E39" i="7" s="1"/>
  <c r="F40" i="5"/>
  <c r="D39" i="7" s="1"/>
  <c r="E40" i="5"/>
  <c r="D40" i="5"/>
  <c r="B39" i="7" s="1"/>
  <c r="C40" i="5"/>
  <c r="A39" i="7" s="1"/>
  <c r="B40" i="5"/>
  <c r="A40" i="5"/>
  <c r="H39" i="5"/>
  <c r="G39" i="5"/>
  <c r="F39" i="5"/>
  <c r="D38" i="7" s="1"/>
  <c r="E39" i="5"/>
  <c r="D39" i="5"/>
  <c r="B38" i="7" s="1"/>
  <c r="C39" i="5"/>
  <c r="A38" i="7" s="1"/>
  <c r="K38" i="7" s="1"/>
  <c r="B39" i="5"/>
  <c r="A39" i="5"/>
  <c r="H38" i="5"/>
  <c r="G38" i="5"/>
  <c r="F38" i="5"/>
  <c r="D44" i="7" s="1"/>
  <c r="E38" i="5"/>
  <c r="C44" i="7" s="1"/>
  <c r="D38" i="5"/>
  <c r="B44" i="7" s="1"/>
  <c r="C38" i="5"/>
  <c r="B38" i="5"/>
  <c r="A38" i="5"/>
  <c r="H37" i="5"/>
  <c r="G37" i="5"/>
  <c r="E36" i="7" s="1"/>
  <c r="F37" i="5"/>
  <c r="E37" i="5"/>
  <c r="D37" i="5"/>
  <c r="B36" i="7" s="1"/>
  <c r="C37" i="5"/>
  <c r="B37" i="5"/>
  <c r="A37" i="5"/>
  <c r="H36" i="5"/>
  <c r="G36" i="5"/>
  <c r="E35" i="7" s="1"/>
  <c r="F36" i="5"/>
  <c r="D35" i="7" s="1"/>
  <c r="E36" i="5"/>
  <c r="D36" i="5"/>
  <c r="B35" i="7" s="1"/>
  <c r="C36" i="5"/>
  <c r="A35" i="7" s="1"/>
  <c r="K35" i="7" s="1"/>
  <c r="B36" i="5"/>
  <c r="A36" i="5"/>
  <c r="H35" i="5"/>
  <c r="G35" i="5"/>
  <c r="E43" i="7" s="1"/>
  <c r="F35" i="5"/>
  <c r="D43" i="7" s="1"/>
  <c r="E35" i="5"/>
  <c r="C43" i="7" s="1"/>
  <c r="D35" i="5"/>
  <c r="B43" i="7" s="1"/>
  <c r="C35" i="5"/>
  <c r="A43" i="7" s="1"/>
  <c r="B35" i="5"/>
  <c r="A35" i="5"/>
  <c r="H34" i="5"/>
  <c r="G34" i="5"/>
  <c r="F34" i="5"/>
  <c r="E34" i="5"/>
  <c r="D34" i="5"/>
  <c r="B33" i="7" s="1"/>
  <c r="C34" i="5"/>
  <c r="A33" i="7" s="1"/>
  <c r="B34" i="5"/>
  <c r="A34" i="5"/>
  <c r="H33" i="5"/>
  <c r="G33" i="5"/>
  <c r="F33" i="5"/>
  <c r="D32" i="7" s="1"/>
  <c r="E33" i="5"/>
  <c r="D33" i="5"/>
  <c r="B32" i="7" s="1"/>
  <c r="C33" i="5"/>
  <c r="B33" i="5"/>
  <c r="A33" i="5"/>
  <c r="H32" i="5"/>
  <c r="G32" i="5"/>
  <c r="E31" i="7" s="1"/>
  <c r="F32" i="5"/>
  <c r="D31" i="7" s="1"/>
  <c r="E32" i="5"/>
  <c r="D32" i="5"/>
  <c r="B31" i="7" s="1"/>
  <c r="C32" i="5"/>
  <c r="B32" i="5"/>
  <c r="A32" i="5"/>
  <c r="H31" i="5"/>
  <c r="G31" i="5"/>
  <c r="E30" i="7" s="1"/>
  <c r="F31" i="5"/>
  <c r="E31" i="5"/>
  <c r="D31" i="5"/>
  <c r="B30" i="7" s="1"/>
  <c r="C31" i="5"/>
  <c r="A30" i="7" s="1"/>
  <c r="B31" i="5"/>
  <c r="A31" i="5"/>
  <c r="H30" i="5"/>
  <c r="G30" i="5"/>
  <c r="F30" i="5"/>
  <c r="E30" i="5"/>
  <c r="D30" i="5"/>
  <c r="B29" i="7" s="1"/>
  <c r="C30" i="5"/>
  <c r="A29" i="7" s="1"/>
  <c r="B30" i="5"/>
  <c r="A30" i="5"/>
  <c r="H29" i="5"/>
  <c r="G29" i="5"/>
  <c r="E41" i="7" s="1"/>
  <c r="F29" i="5"/>
  <c r="D41" i="7" s="1"/>
  <c r="E29" i="5"/>
  <c r="C41" i="7" s="1"/>
  <c r="D29" i="5"/>
  <c r="B41" i="7" s="1"/>
  <c r="C29" i="5"/>
  <c r="A41" i="7" s="1"/>
  <c r="J41" i="7" s="1"/>
  <c r="B29" i="5"/>
  <c r="A29" i="5"/>
  <c r="H28" i="5"/>
  <c r="G28" i="5"/>
  <c r="F28" i="5"/>
  <c r="D27" i="7" s="1"/>
  <c r="E28" i="5"/>
  <c r="D28" i="5"/>
  <c r="B27" i="7" s="1"/>
  <c r="C28" i="5"/>
  <c r="B28" i="5"/>
  <c r="A28" i="5"/>
  <c r="H27" i="5"/>
  <c r="G27" i="5"/>
  <c r="E26" i="7" s="1"/>
  <c r="F27" i="5"/>
  <c r="D26" i="7" s="1"/>
  <c r="E27" i="5"/>
  <c r="D27" i="5"/>
  <c r="B26" i="7" s="1"/>
  <c r="C27" i="5"/>
  <c r="B27" i="5"/>
  <c r="A27" i="5"/>
  <c r="H26" i="5"/>
  <c r="G26" i="5"/>
  <c r="E40" i="7" s="1"/>
  <c r="F26" i="5"/>
  <c r="E26" i="5"/>
  <c r="C40" i="7" s="1"/>
  <c r="D26" i="5"/>
  <c r="B40" i="7" s="1"/>
  <c r="C26" i="5"/>
  <c r="A40" i="7" s="1"/>
  <c r="J40" i="7" s="1"/>
  <c r="B26" i="5"/>
  <c r="A26" i="5"/>
  <c r="H25" i="5"/>
  <c r="G25" i="5"/>
  <c r="E24" i="7" s="1"/>
  <c r="F25" i="5"/>
  <c r="E25" i="5"/>
  <c r="D25" i="5"/>
  <c r="B24" i="7" s="1"/>
  <c r="C25" i="5"/>
  <c r="A24" i="7" s="1"/>
  <c r="B25" i="5"/>
  <c r="A25" i="5"/>
  <c r="H24" i="5"/>
  <c r="G24" i="5"/>
  <c r="E37" i="7" s="1"/>
  <c r="F24" i="5"/>
  <c r="D37" i="7" s="1"/>
  <c r="E24" i="5"/>
  <c r="C37" i="7" s="1"/>
  <c r="D24" i="5"/>
  <c r="B37" i="7" s="1"/>
  <c r="C24" i="5"/>
  <c r="A37" i="7" s="1"/>
  <c r="J37" i="7" s="1"/>
  <c r="B24" i="5"/>
  <c r="A24" i="5"/>
  <c r="H23" i="5"/>
  <c r="G23" i="5"/>
  <c r="F23" i="5"/>
  <c r="E23" i="5"/>
  <c r="D23" i="5"/>
  <c r="B22" i="7" s="1"/>
  <c r="C23" i="5"/>
  <c r="A22" i="7" s="1"/>
  <c r="B23" i="5"/>
  <c r="A23" i="5"/>
  <c r="H22" i="5"/>
  <c r="G22" i="5"/>
  <c r="F22" i="5"/>
  <c r="D21" i="7" s="1"/>
  <c r="E22" i="5"/>
  <c r="D22" i="5"/>
  <c r="B21" i="7" s="1"/>
  <c r="C22" i="5"/>
  <c r="B22" i="5"/>
  <c r="A22" i="5"/>
  <c r="H21" i="5"/>
  <c r="G21" i="5"/>
  <c r="E20" i="7" s="1"/>
  <c r="F21" i="5"/>
  <c r="D20" i="7" s="1"/>
  <c r="E21" i="5"/>
  <c r="D21" i="5"/>
  <c r="B20" i="7" s="1"/>
  <c r="C21" i="5"/>
  <c r="B21" i="5"/>
  <c r="A21" i="5"/>
  <c r="H20" i="5"/>
  <c r="G20" i="5"/>
  <c r="E19" i="7" s="1"/>
  <c r="F20" i="5"/>
  <c r="E20" i="5"/>
  <c r="D20" i="5"/>
  <c r="B19" i="7" s="1"/>
  <c r="C20" i="5"/>
  <c r="A19" i="7" s="1"/>
  <c r="B20" i="5"/>
  <c r="A20" i="5"/>
  <c r="H19" i="5"/>
  <c r="G19" i="5"/>
  <c r="F19" i="5"/>
  <c r="E19" i="5"/>
  <c r="D19" i="5"/>
  <c r="B18" i="7" s="1"/>
  <c r="C19" i="5"/>
  <c r="A18" i="7" s="1"/>
  <c r="B19" i="5"/>
  <c r="A19" i="5"/>
  <c r="H18" i="5"/>
  <c r="G18" i="5"/>
  <c r="E34" i="7" s="1"/>
  <c r="F18" i="5"/>
  <c r="E18" i="5"/>
  <c r="C34" i="7" s="1"/>
  <c r="D18" i="5"/>
  <c r="B34" i="7" s="1"/>
  <c r="C18" i="5"/>
  <c r="A34" i="7" s="1"/>
  <c r="J34" i="7" s="1"/>
  <c r="B18" i="5"/>
  <c r="A18" i="5"/>
  <c r="H17" i="5"/>
  <c r="G17" i="5"/>
  <c r="E16" i="7" s="1"/>
  <c r="F17" i="5"/>
  <c r="E17" i="5"/>
  <c r="D17" i="5"/>
  <c r="B16" i="7" s="1"/>
  <c r="C17" i="5"/>
  <c r="A16" i="7" s="1"/>
  <c r="B17" i="5"/>
  <c r="A17" i="5"/>
  <c r="H16" i="5"/>
  <c r="G16" i="5"/>
  <c r="F16" i="5"/>
  <c r="E16" i="5"/>
  <c r="D16" i="5"/>
  <c r="B15" i="7" s="1"/>
  <c r="C16" i="5"/>
  <c r="A15" i="7" s="1"/>
  <c r="B16" i="5"/>
  <c r="A16" i="5"/>
  <c r="H15" i="5"/>
  <c r="G15" i="5"/>
  <c r="F15" i="5"/>
  <c r="D14" i="7" s="1"/>
  <c r="E15" i="5"/>
  <c r="D15" i="5"/>
  <c r="B14" i="7" s="1"/>
  <c r="C15" i="5"/>
  <c r="B15" i="5"/>
  <c r="A15" i="5"/>
  <c r="H14" i="5"/>
  <c r="G14" i="5"/>
  <c r="E28" i="7" s="1"/>
  <c r="F14" i="5"/>
  <c r="E14" i="5"/>
  <c r="C28" i="7" s="1"/>
  <c r="D14" i="5"/>
  <c r="B28" i="7" s="1"/>
  <c r="C14" i="5"/>
  <c r="A28" i="7" s="1"/>
  <c r="K28" i="7" s="1"/>
  <c r="B14" i="5"/>
  <c r="A14" i="5"/>
  <c r="H13" i="5"/>
  <c r="G13" i="5"/>
  <c r="F13" i="5"/>
  <c r="E13" i="5"/>
  <c r="D13" i="5"/>
  <c r="B12" i="7" s="1"/>
  <c r="C13" i="5"/>
  <c r="A12" i="7" s="1"/>
  <c r="B13" i="5"/>
  <c r="A13" i="5"/>
  <c r="H12" i="5"/>
  <c r="G12" i="5"/>
  <c r="F12" i="5"/>
  <c r="D11" i="7" s="1"/>
  <c r="E12" i="5"/>
  <c r="D12" i="5"/>
  <c r="B11" i="7" s="1"/>
  <c r="C12" i="5"/>
  <c r="B12" i="5"/>
  <c r="A12" i="5"/>
  <c r="H11" i="5"/>
  <c r="G11" i="5"/>
  <c r="F11" i="5"/>
  <c r="D25" i="7" s="1"/>
  <c r="E11" i="5"/>
  <c r="C25" i="7" s="1"/>
  <c r="D11" i="5"/>
  <c r="B25" i="7" s="1"/>
  <c r="C11" i="5"/>
  <c r="B11" i="5"/>
  <c r="A11" i="5"/>
  <c r="H10" i="5"/>
  <c r="G10" i="5"/>
  <c r="F10" i="5"/>
  <c r="E10" i="5"/>
  <c r="D10" i="5"/>
  <c r="B9" i="7" s="1"/>
  <c r="C10" i="5"/>
  <c r="A9" i="7" s="1"/>
  <c r="B10" i="5"/>
  <c r="A10" i="5"/>
  <c r="H9" i="5"/>
  <c r="G9" i="5"/>
  <c r="E23" i="7" s="1"/>
  <c r="F9" i="5"/>
  <c r="D23" i="7" s="1"/>
  <c r="E9" i="5"/>
  <c r="C23" i="7" s="1"/>
  <c r="D9" i="5"/>
  <c r="B23" i="7" s="1"/>
  <c r="C9" i="5"/>
  <c r="A23" i="7" s="1"/>
  <c r="B9" i="5"/>
  <c r="A9" i="5"/>
  <c r="H8" i="5"/>
  <c r="G8" i="5"/>
  <c r="E7" i="7" s="1"/>
  <c r="F8" i="5"/>
  <c r="D7" i="7" s="1"/>
  <c r="E8" i="5"/>
  <c r="D8" i="5"/>
  <c r="B7" i="7" s="1"/>
  <c r="C8" i="5"/>
  <c r="B8" i="5"/>
  <c r="A8" i="5"/>
  <c r="H7" i="5"/>
  <c r="G7" i="5"/>
  <c r="F7" i="5"/>
  <c r="D17" i="7" s="1"/>
  <c r="E7" i="5"/>
  <c r="C17" i="7" s="1"/>
  <c r="D7" i="5"/>
  <c r="B17" i="7" s="1"/>
  <c r="C7" i="5"/>
  <c r="B7" i="5"/>
  <c r="A7" i="5"/>
  <c r="H6" i="5"/>
  <c r="G6" i="5"/>
  <c r="F6" i="5"/>
  <c r="E6" i="5"/>
  <c r="D6" i="5"/>
  <c r="B5" i="7" s="1"/>
  <c r="C6" i="5"/>
  <c r="A5" i="7" s="1"/>
  <c r="B6" i="5"/>
  <c r="A6" i="5"/>
  <c r="H5" i="5"/>
  <c r="G5" i="5"/>
  <c r="E13" i="7" s="1"/>
  <c r="F5" i="5"/>
  <c r="D13" i="7" s="1"/>
  <c r="E5" i="5"/>
  <c r="C13" i="7" s="1"/>
  <c r="D5" i="5"/>
  <c r="B13" i="7" s="1"/>
  <c r="C5" i="5"/>
  <c r="A13" i="7" s="1"/>
  <c r="J13" i="7" s="1"/>
  <c r="B5" i="5"/>
  <c r="A5" i="5"/>
  <c r="H4" i="5"/>
  <c r="G4" i="5"/>
  <c r="E3" i="7" s="1"/>
  <c r="F4" i="5"/>
  <c r="D3" i="7" s="1"/>
  <c r="E4" i="5"/>
  <c r="D4" i="5"/>
  <c r="B3" i="7" s="1"/>
  <c r="C4" i="5"/>
  <c r="B4" i="5"/>
  <c r="A4" i="5"/>
  <c r="H3" i="5"/>
  <c r="G3" i="5"/>
  <c r="E10" i="7" s="1"/>
  <c r="F3" i="5"/>
  <c r="D10" i="7" s="1"/>
  <c r="E3" i="5"/>
  <c r="C10" i="7" s="1"/>
  <c r="D3" i="5"/>
  <c r="B10" i="7" s="1"/>
  <c r="C3" i="5"/>
  <c r="A10" i="7" s="1"/>
  <c r="J10" i="7" s="1"/>
  <c r="B3" i="5"/>
  <c r="A3" i="5"/>
  <c r="H2" i="5"/>
  <c r="G2" i="5"/>
  <c r="F2" i="5"/>
  <c r="E2" i="5"/>
  <c r="D2" i="5"/>
  <c r="C2" i="5"/>
  <c r="B2" i="5"/>
  <c r="A2" i="5"/>
  <c r="H1" i="5"/>
  <c r="G1" i="5"/>
  <c r="F1" i="5"/>
  <c r="E1" i="5"/>
  <c r="D1" i="5"/>
  <c r="C1" i="5"/>
  <c r="B1" i="5"/>
  <c r="A1" i="5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I125" i="2"/>
  <c r="H125" i="2"/>
  <c r="D125" i="2"/>
  <c r="C125" i="2"/>
  <c r="B125" i="2"/>
  <c r="D121" i="2"/>
  <c r="B121" i="2"/>
  <c r="D120" i="2"/>
  <c r="B120" i="2"/>
  <c r="D119" i="2"/>
  <c r="B119" i="2"/>
  <c r="D118" i="2"/>
  <c r="B118" i="2"/>
  <c r="D117" i="2"/>
  <c r="B117" i="2"/>
  <c r="D116" i="2"/>
  <c r="B116" i="2"/>
  <c r="D115" i="2"/>
  <c r="B115" i="2"/>
  <c r="D114" i="2"/>
  <c r="B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D5" i="2"/>
  <c r="D4" i="2"/>
  <c r="D3" i="2"/>
  <c r="D2" i="2"/>
  <c r="J70" i="7" l="1"/>
  <c r="K70" i="7"/>
  <c r="J36" i="7"/>
  <c r="K36" i="7"/>
  <c r="K65" i="7"/>
  <c r="J65" i="7"/>
  <c r="K66" i="7"/>
  <c r="J66" i="7"/>
  <c r="J67" i="7"/>
  <c r="K67" i="7"/>
  <c r="K68" i="7"/>
  <c r="J68" i="7"/>
  <c r="K81" i="7"/>
  <c r="J81" i="7"/>
  <c r="K71" i="7"/>
  <c r="J71" i="7"/>
  <c r="K72" i="7"/>
  <c r="J72" i="7"/>
  <c r="K73" i="7"/>
  <c r="J73" i="7"/>
  <c r="K82" i="7"/>
  <c r="J82" i="7"/>
  <c r="K75" i="7"/>
  <c r="J75" i="7"/>
  <c r="K76" i="7"/>
  <c r="J76" i="7"/>
  <c r="K86" i="7"/>
  <c r="J86" i="7"/>
  <c r="J17" i="7"/>
  <c r="K44" i="7"/>
  <c r="J44" i="7"/>
  <c r="K3" i="7"/>
  <c r="K7" i="7"/>
  <c r="K20" i="7"/>
  <c r="K77" i="7"/>
  <c r="K26" i="7"/>
  <c r="K64" i="7"/>
  <c r="J64" i="7"/>
  <c r="K84" i="7"/>
  <c r="J84" i="7"/>
  <c r="K5" i="7"/>
  <c r="J5" i="7"/>
  <c r="K23" i="7"/>
  <c r="J23" i="7"/>
  <c r="K9" i="7"/>
  <c r="J9" i="7"/>
  <c r="K12" i="7"/>
  <c r="J12" i="7"/>
  <c r="K15" i="7"/>
  <c r="J15" i="7"/>
  <c r="K16" i="7"/>
  <c r="J16" i="7"/>
  <c r="K18" i="7"/>
  <c r="J18" i="7"/>
  <c r="K19" i="7"/>
  <c r="J19" i="7"/>
  <c r="K22" i="7"/>
  <c r="J22" i="7"/>
  <c r="K24" i="7"/>
  <c r="J24" i="7"/>
  <c r="K29" i="7"/>
  <c r="J29" i="7"/>
  <c r="K30" i="7"/>
  <c r="J30" i="7"/>
  <c r="K33" i="7"/>
  <c r="J33" i="7"/>
  <c r="J39" i="7"/>
  <c r="K39" i="7"/>
  <c r="K47" i="7"/>
  <c r="J47" i="7"/>
  <c r="K61" i="7"/>
  <c r="J61" i="7"/>
  <c r="K74" i="7"/>
  <c r="J74" i="7"/>
  <c r="K80" i="7"/>
  <c r="J80" i="7"/>
  <c r="K10" i="7"/>
  <c r="K13" i="7"/>
  <c r="K25" i="7"/>
  <c r="J25" i="7"/>
  <c r="K31" i="7"/>
  <c r="K50" i="7"/>
  <c r="K83" i="7"/>
  <c r="J83" i="7"/>
  <c r="K85" i="7"/>
  <c r="J85" i="7"/>
  <c r="K87" i="7"/>
  <c r="J87" i="7"/>
  <c r="K58" i="7"/>
  <c r="J78" i="7"/>
  <c r="K41" i="7"/>
  <c r="J53" i="7"/>
  <c r="K43" i="7"/>
  <c r="J43" i="7"/>
  <c r="K51" i="7"/>
  <c r="J51" i="7"/>
  <c r="K45" i="7"/>
  <c r="J45" i="7"/>
  <c r="K46" i="7"/>
  <c r="J46" i="7"/>
  <c r="K57" i="7"/>
  <c r="J57" i="7"/>
  <c r="K48" i="7"/>
  <c r="J48" i="7"/>
  <c r="K49" i="7"/>
  <c r="J49" i="7"/>
  <c r="K59" i="7"/>
  <c r="J59" i="7"/>
  <c r="K52" i="7"/>
  <c r="J52" i="7"/>
  <c r="K54" i="7"/>
  <c r="J54" i="7"/>
  <c r="K69" i="7"/>
  <c r="J69" i="7"/>
  <c r="K60" i="7"/>
  <c r="J60" i="7"/>
  <c r="K79" i="7"/>
  <c r="J79" i="7"/>
  <c r="K62" i="7"/>
  <c r="J62" i="7"/>
  <c r="K63" i="7"/>
  <c r="J63" i="7"/>
  <c r="J35" i="7"/>
  <c r="K37" i="7"/>
  <c r="J42" i="7"/>
  <c r="K55" i="7"/>
</calcChain>
</file>

<file path=xl/sharedStrings.xml><?xml version="1.0" encoding="utf-8"?>
<sst xmlns="http://schemas.openxmlformats.org/spreadsheetml/2006/main" count="841" uniqueCount="154">
  <si>
    <t>fortlaufende Nummer</t>
  </si>
  <si>
    <t>Runde</t>
  </si>
  <si>
    <t>Mannschaft</t>
  </si>
  <si>
    <t>fixierter Termin</t>
  </si>
  <si>
    <t>fixierte Uhrzeit</t>
  </si>
  <si>
    <t>Ort</t>
  </si>
  <si>
    <t>Gegner</t>
  </si>
  <si>
    <t>Auswärt/Heim</t>
  </si>
  <si>
    <t>KM</t>
  </si>
  <si>
    <t>Rohrbach</t>
  </si>
  <si>
    <t>Auswärts</t>
  </si>
  <si>
    <t>Neufeld</t>
  </si>
  <si>
    <t>Bad Fischau</t>
  </si>
  <si>
    <t>Heim</t>
  </si>
  <si>
    <t>U16</t>
  </si>
  <si>
    <t>Wimpassing</t>
  </si>
  <si>
    <t>SK Rapid Wien</t>
  </si>
  <si>
    <t>U15</t>
  </si>
  <si>
    <t>U23</t>
  </si>
  <si>
    <t>U14</t>
  </si>
  <si>
    <t>U13</t>
  </si>
  <si>
    <t>U12_1</t>
  </si>
  <si>
    <t>U12_2</t>
  </si>
  <si>
    <t>U11</t>
  </si>
  <si>
    <t>U10</t>
  </si>
  <si>
    <t>U9</t>
  </si>
  <si>
    <t>U8</t>
  </si>
  <si>
    <t>U7</t>
  </si>
  <si>
    <t>TECO 7 CAMP</t>
  </si>
  <si>
    <t>CAMP</t>
  </si>
  <si>
    <t>REAL MADRID CAMP</t>
  </si>
  <si>
    <t>GGG</t>
  </si>
  <si>
    <t>viele Gegner</t>
  </si>
  <si>
    <t>TITEL</t>
  </si>
  <si>
    <t>DATUM</t>
  </si>
  <si>
    <t>STARTZEIT</t>
  </si>
  <si>
    <t>ENDZEIT</t>
  </si>
  <si>
    <t>ORT</t>
  </si>
  <si>
    <t>BESCHREIBUNG</t>
  </si>
  <si>
    <t>TYP</t>
  </si>
  <si>
    <t>GEGNER</t>
  </si>
  <si>
    <t>LIGA</t>
  </si>
  <si>
    <t>STATUS</t>
  </si>
  <si>
    <t>SPIELART</t>
  </si>
  <si>
    <t>ART</t>
  </si>
  <si>
    <t>aktiv</t>
  </si>
  <si>
    <t>Freundschaft</t>
  </si>
  <si>
    <t>Spiel</t>
  </si>
  <si>
    <t>Liga</t>
  </si>
  <si>
    <t>Camp</t>
  </si>
  <si>
    <t>Turnier</t>
  </si>
  <si>
    <t>26.06.2026</t>
  </si>
  <si>
    <t>10:00</t>
  </si>
  <si>
    <t>11:30</t>
  </si>
  <si>
    <t>FC Arsenal</t>
  </si>
  <si>
    <t>Aktiv</t>
  </si>
  <si>
    <t>Kategorie</t>
  </si>
  <si>
    <t>ABOLINK</t>
  </si>
  <si>
    <t>Alle Spiele des ASV Neufeld</t>
  </si>
  <si>
    <t>alle_spiele.ics</t>
  </si>
  <si>
    <t>Alle Heimspiele des ASV Neufelds</t>
  </si>
  <si>
    <t>heimspiele.ics</t>
  </si>
  <si>
    <t>Alle Auswärtsspiele des ASV Neufelds</t>
  </si>
  <si>
    <t>auswaertsspiele.ics</t>
  </si>
  <si>
    <t>Alle Spiele der Kampfmannschaft</t>
  </si>
  <si>
    <t>KM.ics</t>
  </si>
  <si>
    <t xml:space="preserve">Alle Spiele der U23 </t>
  </si>
  <si>
    <t>U23.ics</t>
  </si>
  <si>
    <t>Alle Spiele der U16</t>
  </si>
  <si>
    <t>U16.ics</t>
  </si>
  <si>
    <t>Alle Spiele der U15</t>
  </si>
  <si>
    <t>U15.ics</t>
  </si>
  <si>
    <t>Alle Spiele der U14</t>
  </si>
  <si>
    <t>U14.ics</t>
  </si>
  <si>
    <t>Alle Spiele der U13</t>
  </si>
  <si>
    <t>U13.ics</t>
  </si>
  <si>
    <t>Alle Spiele der U12</t>
  </si>
  <si>
    <t>U12.ics</t>
  </si>
  <si>
    <t>Alle Spiele der U11</t>
  </si>
  <si>
    <t>U11.ics</t>
  </si>
  <si>
    <t>Alle Spiele der U10</t>
  </si>
  <si>
    <t>U10.ics</t>
  </si>
  <si>
    <t>Alle Spiele der U9</t>
  </si>
  <si>
    <t>U9.ics</t>
  </si>
  <si>
    <t>Alle Spiele der U8</t>
  </si>
  <si>
    <t xml:space="preserve"> U8.ics</t>
  </si>
  <si>
    <t>Alle Spiele der U7</t>
  </si>
  <si>
    <t xml:space="preserve"> U7.ics</t>
  </si>
  <si>
    <t xml:space="preserve"> Camp.ics</t>
  </si>
  <si>
    <t xml:space="preserve"> GGG.ics</t>
  </si>
  <si>
    <t>TRAININGSORTE/TAGE</t>
  </si>
  <si>
    <t>MANNSCHAFT</t>
  </si>
  <si>
    <t>TRAINER</t>
  </si>
  <si>
    <t>MONTAG</t>
  </si>
  <si>
    <t>DIENSTAG</t>
  </si>
  <si>
    <t>MITTWOCH</t>
  </si>
  <si>
    <t>DONNERSTAG</t>
  </si>
  <si>
    <t>FREITAG</t>
  </si>
  <si>
    <t>SAMSTAG</t>
  </si>
  <si>
    <t>WENN KM-TRAINING MUSS DAS HAUPTFELD AB 18:45 FREI SEIN</t>
  </si>
  <si>
    <t>FKG</t>
  </si>
  <si>
    <t>RONNIE ARCHAM</t>
  </si>
  <si>
    <t>16:00 - 16:45</t>
  </si>
  <si>
    <t>ÖMER TÜRKES TAHA MAHSUMI</t>
  </si>
  <si>
    <t>17:30 - 18:30</t>
  </si>
  <si>
    <t>TOBIAS BERGER SEBASTIAN PUTRIC</t>
  </si>
  <si>
    <t>16:30 - 18:00</t>
  </si>
  <si>
    <t>17: 00 - 18:30</t>
  </si>
  <si>
    <t>THOMAS BRANDL DANIEL HOFBAUER</t>
  </si>
  <si>
    <t>17:00 - 18:30</t>
  </si>
  <si>
    <t>MARIO MAGLER RONNIE ARCHAM</t>
  </si>
  <si>
    <t>THOMAS PÖSCHL LENZ HONC</t>
  </si>
  <si>
    <t>GERNOT SEVELDA MARKUS DORINGER</t>
  </si>
  <si>
    <t>10:00 - 11:00</t>
  </si>
  <si>
    <t>SERDAR EKINCI HUBERT OBERHOFER</t>
  </si>
  <si>
    <t>18:30 - 20:15</t>
  </si>
  <si>
    <t>18:00 - 19:30</t>
  </si>
  <si>
    <t>JOSCH KÖGL</t>
  </si>
  <si>
    <t>17:15 - 19:00</t>
  </si>
  <si>
    <t>WIMPASSING</t>
  </si>
  <si>
    <t>DINGES STEFAN</t>
  </si>
  <si>
    <t>18:45 - 20:15</t>
  </si>
  <si>
    <t>PLENINGER STEFAN</t>
  </si>
  <si>
    <t>JUNIOREN/SENIOREN</t>
  </si>
  <si>
    <t>HAUPTFELD</t>
  </si>
  <si>
    <t>TRAININGSPLATZ</t>
  </si>
  <si>
    <t>HINTERM TOR</t>
  </si>
  <si>
    <t>SPIELGEMEINSCHAFTEN MIT WIMPASSING</t>
  </si>
  <si>
    <t xml:space="preserve">25 - 26.04 </t>
  </si>
  <si>
    <t>freihalten</t>
  </si>
  <si>
    <t>04.06. - 08.06.</t>
  </si>
  <si>
    <t>kein Turnier</t>
  </si>
  <si>
    <t>Uhrzeit</t>
  </si>
  <si>
    <t>Spielfeld</t>
  </si>
  <si>
    <t>Spielfeldgröße</t>
  </si>
  <si>
    <t>Tore</t>
  </si>
  <si>
    <t>Ball</t>
  </si>
  <si>
    <t>Trainer/Ansprechpartner</t>
  </si>
  <si>
    <t>Tel</t>
  </si>
  <si>
    <t>Freundschaftsspiel Großhöflein</t>
  </si>
  <si>
    <t>Großfeld</t>
  </si>
  <si>
    <t>U16 LL</t>
  </si>
  <si>
    <t>Freundschaftspiel Felixdorf</t>
  </si>
  <si>
    <t>U15 LL Nord</t>
  </si>
  <si>
    <t>Freundschaftsspiel Baden</t>
  </si>
  <si>
    <t>U11 Nord D</t>
  </si>
  <si>
    <t>Freundschaftspiel Pöttsching</t>
  </si>
  <si>
    <t>U11/U12</t>
  </si>
  <si>
    <t>keine</t>
  </si>
  <si>
    <t>U9/U10</t>
  </si>
  <si>
    <t>ROHRBACH</t>
  </si>
  <si>
    <t>NEUFELD</t>
  </si>
  <si>
    <t>MÄDCHEN CAMP</t>
  </si>
  <si>
    <t>inaktiv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</si>
</sst>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hh:mm;@"/>
    <numFmt numFmtId="166" formatCode="[$-C07]dddd\,\ dd\.\ mmmm\ yyyy;@"/>
    <numFmt numFmtId="167" formatCode="dd\.mm\.yyyy;@"/>
  </numFmts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58DCC"/>
        <bgColor indexed="64"/>
      </patternFill>
    </fill>
    <fill>
      <patternFill patternType="solid">
        <fgColor rgb="FFEB7788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11" fillId="0" borderId="0"/>
  </cellStyleXfs>
  <cellXfs count="125">
    <xf numFmtId="0" fontId="0" fillId="0" borderId="0" xfId="0"/>
    <xf numFmtId="14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0" xfId="0" applyAlignment="1">
      <alignment wrapText="1"/>
    </xf>
    <xf numFmtId="20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20" fontId="1" fillId="6" borderId="1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wrapText="1"/>
    </xf>
    <xf numFmtId="0" fontId="1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0" fontId="0" fillId="9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20" fontId="0" fillId="10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4" fillId="0" borderId="4" xfId="0" applyFont="1" applyBorder="1"/>
    <xf numFmtId="0" fontId="5" fillId="13" borderId="7" xfId="0" applyFont="1" applyFill="1" applyBorder="1"/>
    <xf numFmtId="0" fontId="5" fillId="13" borderId="9" xfId="0" applyFont="1" applyFill="1" applyBorder="1"/>
    <xf numFmtId="0" fontId="6" fillId="14" borderId="7" xfId="0" applyFont="1" applyFill="1" applyBorder="1"/>
    <xf numFmtId="0" fontId="3" fillId="0" borderId="1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0" fillId="16" borderId="1" xfId="0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20" fontId="0" fillId="16" borderId="1" xfId="0" applyNumberFormat="1" applyFill="1" applyBorder="1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64" fontId="0" fillId="17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64" fontId="0" fillId="1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4" fontId="0" fillId="15" borderId="1" xfId="0" applyNumberFormat="1" applyFill="1" applyBorder="1" applyAlignment="1">
      <alignment horizontal="center"/>
    </xf>
    <xf numFmtId="0" fontId="9" fillId="0" borderId="1" xfId="0" applyFont="1" applyBorder="1"/>
    <xf numFmtId="0" fontId="9" fillId="3" borderId="1" xfId="0" applyFont="1" applyFill="1" applyBorder="1"/>
    <xf numFmtId="0" fontId="9" fillId="0" borderId="8" xfId="0" applyFont="1" applyBorder="1"/>
    <xf numFmtId="20" fontId="9" fillId="3" borderId="1" xfId="0" applyNumberFormat="1" applyFont="1" applyFill="1" applyBorder="1"/>
    <xf numFmtId="0" fontId="10" fillId="0" borderId="0" xfId="0" applyFont="1"/>
    <xf numFmtId="0" fontId="9" fillId="12" borderId="1" xfId="0" applyFont="1" applyFill="1" applyBorder="1"/>
    <xf numFmtId="0" fontId="9" fillId="2" borderId="1" xfId="0" applyFont="1" applyFill="1" applyBorder="1"/>
    <xf numFmtId="0" fontId="9" fillId="12" borderId="8" xfId="0" applyFont="1" applyFill="1" applyBorder="1"/>
    <xf numFmtId="0" fontId="9" fillId="0" borderId="10" xfId="0" applyFont="1" applyBorder="1"/>
    <xf numFmtId="0" fontId="9" fillId="2" borderId="10" xfId="0" applyFont="1" applyFill="1" applyBorder="1"/>
    <xf numFmtId="0" fontId="9" fillId="13" borderId="10" xfId="0" applyFont="1" applyFill="1" applyBorder="1"/>
    <xf numFmtId="0" fontId="9" fillId="0" borderId="11" xfId="0" applyFont="1" applyBorder="1"/>
    <xf numFmtId="0" fontId="9" fillId="2" borderId="5" xfId="0" applyFont="1" applyFill="1" applyBorder="1" applyAlignment="1">
      <alignment wrapText="1"/>
    </xf>
    <xf numFmtId="0" fontId="9" fillId="0" borderId="5" xfId="0" applyFont="1" applyBorder="1"/>
    <xf numFmtId="0" fontId="9" fillId="0" borderId="6" xfId="0" applyFont="1" applyBorder="1"/>
    <xf numFmtId="0" fontId="9" fillId="2" borderId="10" xfId="0" applyFont="1" applyFill="1" applyBorder="1" applyAlignment="1">
      <alignment wrapText="1"/>
    </xf>
    <xf numFmtId="0" fontId="9" fillId="0" borderId="13" xfId="0" applyFont="1" applyBorder="1"/>
    <xf numFmtId="0" fontId="9" fillId="2" borderId="13" xfId="0" applyFont="1" applyFill="1" applyBorder="1" applyAlignment="1">
      <alignment wrapText="1"/>
    </xf>
    <xf numFmtId="0" fontId="9" fillId="0" borderId="14" xfId="0" applyFont="1" applyBorder="1"/>
    <xf numFmtId="0" fontId="9" fillId="0" borderId="18" xfId="0" applyFont="1" applyBorder="1"/>
    <xf numFmtId="167" fontId="0" fillId="0" borderId="0" xfId="0" applyNumberFormat="1"/>
    <xf numFmtId="20" fontId="0" fillId="11" borderId="1" xfId="0" applyNumberFormat="1" applyFill="1" applyBorder="1"/>
    <xf numFmtId="20" fontId="0" fillId="15" borderId="1" xfId="0" applyNumberFormat="1" applyFill="1" applyBorder="1"/>
    <xf numFmtId="49" fontId="0" fillId="0" borderId="0" xfId="0" applyNumberFormat="1"/>
    <xf numFmtId="0" fontId="11" fillId="0" borderId="0" xfId="1"/>
    <xf numFmtId="0" fontId="0" fillId="0" borderId="1" xfId="0" applyBorder="1"/>
    <xf numFmtId="20" fontId="0" fillId="0" borderId="2" xfId="0" applyNumberFormat="1" applyBorder="1" applyAlignment="1">
      <alignment horizontal="center"/>
    </xf>
    <xf numFmtId="0" fontId="0" fillId="19" borderId="1" xfId="0" applyFill="1" applyBorder="1" applyAlignment="1">
      <alignment horizontal="center"/>
    </xf>
    <xf numFmtId="164" fontId="0" fillId="19" borderId="1" xfId="0" applyNumberFormat="1" applyFill="1" applyBorder="1" applyAlignment="1">
      <alignment horizontal="center"/>
    </xf>
    <xf numFmtId="20" fontId="0" fillId="19" borderId="1" xfId="0" applyNumberFormat="1" applyFill="1" applyBorder="1"/>
    <xf numFmtId="0" fontId="0" fillId="19" borderId="1" xfId="0" applyFill="1" applyBorder="1"/>
    <xf numFmtId="0" fontId="0" fillId="20" borderId="1" xfId="0" applyFill="1" applyBorder="1" applyAlignment="1">
      <alignment horizontal="center"/>
    </xf>
    <xf numFmtId="164" fontId="0" fillId="20" borderId="1" xfId="0" applyNumberFormat="1" applyFill="1" applyBorder="1" applyAlignment="1">
      <alignment horizontal="center"/>
    </xf>
    <xf numFmtId="20" fontId="0" fillId="20" borderId="1" xfId="0" applyNumberFormat="1" applyFill="1" applyBorder="1"/>
    <xf numFmtId="0" fontId="0" fillId="20" borderId="1" xfId="0" applyFill="1" applyBorder="1"/>
    <xf numFmtId="0" fontId="0" fillId="0" borderId="0" xfId="0"/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0" fillId="9" borderId="0" xfId="0" applyNumberFormat="1" applyFill="1" applyAlignment="1">
      <alignment horizontal="center"/>
    </xf>
    <xf numFmtId="165" fontId="0" fillId="17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18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6" fontId="0" fillId="0" borderId="0" xfId="0" applyNumberFormat="1"/>
    <xf numFmtId="166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4" fillId="13" borderId="19" xfId="0" applyFont="1" applyFill="1" applyBorder="1"/>
    <xf numFmtId="0" fontId="0" fillId="0" borderId="15" xfId="0" applyBorder="1"/>
    <xf numFmtId="0" fontId="0" fillId="0" borderId="16" xfId="0" applyBorder="1"/>
    <xf numFmtId="0" fontId="7" fillId="0" borderId="7" xfId="0" applyFont="1" applyBorder="1" applyAlignment="1">
      <alignment vertical="center" wrapText="1"/>
    </xf>
    <xf numFmtId="0" fontId="0" fillId="0" borderId="12" xfId="0" applyBorder="1"/>
    <xf numFmtId="0" fontId="0" fillId="0" borderId="17" xfId="0" applyBorder="1"/>
    <xf numFmtId="0" fontId="4" fillId="2" borderId="19" xfId="0" applyFont="1" applyFill="1" applyBorder="1"/>
    <xf numFmtId="0" fontId="4" fillId="12" borderId="19" xfId="0" applyFont="1" applyFill="1" applyBorder="1"/>
    <xf numFmtId="0" fontId="5" fillId="0" borderId="0" xfId="0" applyFont="1" applyAlignment="1">
      <alignment horizontal="center"/>
    </xf>
    <xf numFmtId="0" fontId="0" fillId="0" borderId="0" xfId="0"/>
    <xf numFmtId="0" fontId="4" fillId="3" borderId="19" xfId="0" applyFont="1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22"/>
  <sheetViews>
    <sheetView zoomScaleNormal="100" workbookViewId="0">
      <selection activeCell="C66" sqref="C66:C73"/>
    </sheetView>
  </sheetViews>
  <sheetFormatPr baseColWidth="10" defaultColWidth="10.6640625" defaultRowHeight="14.4" x14ac:dyDescent="0.3"/>
  <cols>
    <col min="1" max="1" width="21.109375" style="57" bestFit="1" customWidth="1"/>
    <col min="2" max="2" width="8.33203125" style="57" bestFit="1" customWidth="1"/>
    <col min="3" max="3" width="17.88671875" style="57" bestFit="1" customWidth="1"/>
    <col min="4" max="4" width="29.88671875" style="58" bestFit="1" customWidth="1"/>
    <col min="5" max="5" width="17.5546875" style="1" bestFit="1" customWidth="1"/>
    <col min="6" max="6" width="21.88671875" style="57" bestFit="1" customWidth="1"/>
    <col min="7" max="7" width="33" style="57" bestFit="1" customWidth="1"/>
    <col min="8" max="8" width="17.109375" style="57" bestFit="1" customWidth="1"/>
  </cols>
  <sheetData>
    <row r="1" spans="1:8" x14ac:dyDescent="0.3">
      <c r="A1" s="57" t="s">
        <v>0</v>
      </c>
      <c r="B1" s="5" t="s">
        <v>1</v>
      </c>
      <c r="C1" s="5" t="s">
        <v>2</v>
      </c>
      <c r="D1" s="11" t="s">
        <v>3</v>
      </c>
      <c r="E1" s="2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B2" s="5">
        <v>0</v>
      </c>
      <c r="C2" s="5" t="s">
        <v>8</v>
      </c>
      <c r="D2" s="11">
        <v>46220</v>
      </c>
      <c r="E2" s="90">
        <v>0.79166666666666663</v>
      </c>
      <c r="F2" s="5" t="s">
        <v>9</v>
      </c>
      <c r="G2" s="5" t="s">
        <v>9</v>
      </c>
      <c r="H2" s="5" t="s">
        <v>10</v>
      </c>
    </row>
    <row r="3" spans="1:8" x14ac:dyDescent="0.3">
      <c r="B3" s="5">
        <v>0</v>
      </c>
      <c r="C3" s="5" t="s">
        <v>8</v>
      </c>
      <c r="D3" s="11">
        <v>46241</v>
      </c>
      <c r="E3" s="90">
        <v>0.79166666666666663</v>
      </c>
      <c r="F3" s="5" t="s">
        <v>11</v>
      </c>
      <c r="G3" s="5" t="s">
        <v>12</v>
      </c>
      <c r="H3" s="5" t="s">
        <v>13</v>
      </c>
    </row>
    <row r="4" spans="1:8" x14ac:dyDescent="0.3">
      <c r="B4" s="5">
        <v>0</v>
      </c>
      <c r="C4" s="5" t="s">
        <v>14</v>
      </c>
      <c r="D4" s="11">
        <v>46199</v>
      </c>
      <c r="E4" s="90">
        <v>0.75</v>
      </c>
      <c r="F4" s="5" t="s">
        <v>15</v>
      </c>
      <c r="G4" s="5" t="s">
        <v>16</v>
      </c>
      <c r="H4" s="5" t="s">
        <v>13</v>
      </c>
    </row>
    <row r="5" spans="1:8" x14ac:dyDescent="0.3">
      <c r="B5" s="5">
        <v>0</v>
      </c>
      <c r="C5" s="5" t="s">
        <v>17</v>
      </c>
      <c r="D5" s="11">
        <v>46199</v>
      </c>
      <c r="E5" s="90">
        <v>0.66666666666666663</v>
      </c>
      <c r="F5" s="5" t="s">
        <v>15</v>
      </c>
      <c r="G5" s="5" t="s">
        <v>16</v>
      </c>
      <c r="H5" s="5" t="s">
        <v>13</v>
      </c>
    </row>
    <row r="6" spans="1:8" x14ac:dyDescent="0.3">
      <c r="A6" s="4">
        <v>1</v>
      </c>
      <c r="B6" s="4">
        <v>1</v>
      </c>
      <c r="C6" s="4" t="s">
        <v>8</v>
      </c>
      <c r="D6" s="12"/>
      <c r="E6" s="3"/>
      <c r="F6" s="4"/>
      <c r="G6" s="4"/>
      <c r="H6" s="4"/>
    </row>
    <row r="7" spans="1:8" x14ac:dyDescent="0.3">
      <c r="A7" s="4">
        <v>2</v>
      </c>
      <c r="B7" s="4">
        <v>2</v>
      </c>
      <c r="C7" s="4" t="s">
        <v>8</v>
      </c>
      <c r="D7" s="12"/>
      <c r="E7" s="3"/>
      <c r="F7" s="4"/>
      <c r="G7" s="4"/>
      <c r="H7" s="4"/>
    </row>
    <row r="8" spans="1:8" x14ac:dyDescent="0.3">
      <c r="A8" s="4">
        <v>3</v>
      </c>
      <c r="B8" s="4">
        <v>3</v>
      </c>
      <c r="C8" s="4" t="s">
        <v>8</v>
      </c>
      <c r="D8" s="12"/>
      <c r="E8" s="3"/>
      <c r="F8" s="4"/>
      <c r="G8" s="4"/>
      <c r="H8" s="4"/>
    </row>
    <row r="9" spans="1:8" x14ac:dyDescent="0.3">
      <c r="A9" s="4">
        <v>4</v>
      </c>
      <c r="B9" s="4">
        <v>4</v>
      </c>
      <c r="C9" s="4" t="s">
        <v>8</v>
      </c>
      <c r="D9" s="12"/>
      <c r="E9" s="3"/>
      <c r="F9" s="4"/>
      <c r="G9" s="4"/>
      <c r="H9" s="4"/>
    </row>
    <row r="10" spans="1:8" x14ac:dyDescent="0.3">
      <c r="A10" s="4">
        <v>5</v>
      </c>
      <c r="B10" s="4">
        <v>5</v>
      </c>
      <c r="C10" s="4" t="s">
        <v>8</v>
      </c>
      <c r="D10" s="12"/>
      <c r="E10" s="3"/>
      <c r="F10" s="4"/>
      <c r="G10" s="4"/>
      <c r="H10" s="4"/>
    </row>
    <row r="11" spans="1:8" x14ac:dyDescent="0.3">
      <c r="A11" s="4">
        <v>6</v>
      </c>
      <c r="B11" s="4">
        <v>6</v>
      </c>
      <c r="C11" s="4" t="s">
        <v>8</v>
      </c>
      <c r="D11" s="12"/>
      <c r="E11" s="3"/>
      <c r="F11" s="4"/>
      <c r="G11" s="4"/>
      <c r="H11" s="4"/>
    </row>
    <row r="12" spans="1:8" x14ac:dyDescent="0.3">
      <c r="A12" s="4">
        <v>7</v>
      </c>
      <c r="B12" s="4">
        <v>7</v>
      </c>
      <c r="C12" s="4" t="s">
        <v>8</v>
      </c>
      <c r="D12" s="12"/>
      <c r="E12" s="3"/>
      <c r="F12" s="4"/>
      <c r="G12" s="4"/>
      <c r="H12" s="4"/>
    </row>
    <row r="13" spans="1:8" x14ac:dyDescent="0.3">
      <c r="A13" s="4">
        <v>8</v>
      </c>
      <c r="B13" s="4">
        <v>8</v>
      </c>
      <c r="C13" s="4" t="s">
        <v>8</v>
      </c>
      <c r="D13" s="12"/>
      <c r="E13" s="3"/>
      <c r="F13" s="4"/>
      <c r="G13" s="4"/>
      <c r="H13" s="4"/>
    </row>
    <row r="14" spans="1:8" x14ac:dyDescent="0.3">
      <c r="A14" s="4">
        <v>9</v>
      </c>
      <c r="B14" s="4">
        <v>9</v>
      </c>
      <c r="C14" s="4" t="s">
        <v>8</v>
      </c>
      <c r="D14" s="12"/>
      <c r="E14" s="3"/>
      <c r="F14" s="4"/>
      <c r="G14" s="4"/>
      <c r="H14" s="4"/>
    </row>
    <row r="15" spans="1:8" x14ac:dyDescent="0.3">
      <c r="A15" s="4">
        <v>10</v>
      </c>
      <c r="B15" s="4">
        <v>10</v>
      </c>
      <c r="C15" s="4" t="s">
        <v>8</v>
      </c>
      <c r="D15" s="12"/>
      <c r="E15" s="3"/>
      <c r="F15" s="4"/>
      <c r="G15" s="4"/>
      <c r="H15" s="4"/>
    </row>
    <row r="16" spans="1:8" x14ac:dyDescent="0.3">
      <c r="A16" s="4">
        <v>11</v>
      </c>
      <c r="B16" s="4">
        <v>11</v>
      </c>
      <c r="C16" s="4" t="s">
        <v>8</v>
      </c>
      <c r="D16" s="12"/>
      <c r="E16" s="3"/>
      <c r="F16" s="4"/>
      <c r="G16" s="4"/>
      <c r="H16" s="4"/>
    </row>
    <row r="17" spans="1:8" x14ac:dyDescent="0.3">
      <c r="A17" s="4">
        <v>12</v>
      </c>
      <c r="B17" s="4">
        <v>12</v>
      </c>
      <c r="C17" s="4" t="s">
        <v>8</v>
      </c>
      <c r="D17" s="12"/>
      <c r="E17" s="3"/>
      <c r="F17" s="4"/>
      <c r="G17" s="4"/>
      <c r="H17" s="4"/>
    </row>
    <row r="18" spans="1:8" x14ac:dyDescent="0.3">
      <c r="A18" s="4">
        <v>13</v>
      </c>
      <c r="B18" s="4">
        <v>13</v>
      </c>
      <c r="C18" s="4" t="s">
        <v>8</v>
      </c>
      <c r="D18" s="12"/>
      <c r="E18" s="3"/>
      <c r="F18" s="4"/>
      <c r="G18" s="4"/>
      <c r="H18" s="4"/>
    </row>
    <row r="19" spans="1:8" x14ac:dyDescent="0.3">
      <c r="A19" s="4">
        <v>1</v>
      </c>
      <c r="B19" s="4">
        <v>1</v>
      </c>
      <c r="C19" s="4" t="s">
        <v>18</v>
      </c>
      <c r="D19" s="12"/>
      <c r="E19" s="3"/>
      <c r="F19" s="4"/>
      <c r="G19" s="4"/>
      <c r="H19" s="4"/>
    </row>
    <row r="20" spans="1:8" x14ac:dyDescent="0.3">
      <c r="A20" s="4">
        <v>2</v>
      </c>
      <c r="B20" s="4">
        <v>2</v>
      </c>
      <c r="C20" s="4" t="s">
        <v>18</v>
      </c>
      <c r="D20" s="12"/>
      <c r="E20" s="3"/>
      <c r="F20" s="4"/>
      <c r="G20" s="4"/>
      <c r="H20" s="4"/>
    </row>
    <row r="21" spans="1:8" x14ac:dyDescent="0.3">
      <c r="A21" s="4">
        <v>3</v>
      </c>
      <c r="B21" s="4">
        <v>3</v>
      </c>
      <c r="C21" s="4" t="s">
        <v>18</v>
      </c>
      <c r="D21" s="12"/>
      <c r="E21" s="3"/>
      <c r="F21" s="4"/>
      <c r="G21" s="4"/>
      <c r="H21" s="4"/>
    </row>
    <row r="22" spans="1:8" x14ac:dyDescent="0.3">
      <c r="A22" s="4">
        <v>4</v>
      </c>
      <c r="B22" s="4">
        <v>4</v>
      </c>
      <c r="C22" s="4" t="s">
        <v>18</v>
      </c>
      <c r="D22" s="12"/>
      <c r="E22" s="3"/>
      <c r="F22" s="4"/>
      <c r="G22" s="4"/>
      <c r="H22" s="4"/>
    </row>
    <row r="23" spans="1:8" x14ac:dyDescent="0.3">
      <c r="A23" s="4">
        <v>5</v>
      </c>
      <c r="B23" s="4">
        <v>5</v>
      </c>
      <c r="C23" s="4" t="s">
        <v>18</v>
      </c>
      <c r="D23" s="12"/>
      <c r="E23" s="3"/>
      <c r="F23" s="4"/>
      <c r="G23" s="4"/>
      <c r="H23" s="4"/>
    </row>
    <row r="24" spans="1:8" x14ac:dyDescent="0.3">
      <c r="A24" s="4">
        <v>6</v>
      </c>
      <c r="B24" s="4">
        <v>6</v>
      </c>
      <c r="C24" s="4" t="s">
        <v>18</v>
      </c>
      <c r="D24" s="12"/>
      <c r="E24" s="3"/>
      <c r="F24" s="4"/>
      <c r="G24" s="4"/>
      <c r="H24" s="4"/>
    </row>
    <row r="25" spans="1:8" x14ac:dyDescent="0.3">
      <c r="A25" s="4">
        <v>7</v>
      </c>
      <c r="B25" s="4">
        <v>7</v>
      </c>
      <c r="C25" s="4" t="s">
        <v>18</v>
      </c>
      <c r="D25" s="12"/>
      <c r="E25" s="3"/>
      <c r="F25" s="4"/>
      <c r="G25" s="4"/>
      <c r="H25" s="4"/>
    </row>
    <row r="26" spans="1:8" x14ac:dyDescent="0.3">
      <c r="A26" s="4">
        <v>8</v>
      </c>
      <c r="B26" s="4">
        <v>8</v>
      </c>
      <c r="C26" s="4" t="s">
        <v>18</v>
      </c>
      <c r="D26" s="12"/>
      <c r="E26" s="3"/>
      <c r="F26" s="4"/>
      <c r="G26" s="4"/>
      <c r="H26" s="4"/>
    </row>
    <row r="27" spans="1:8" x14ac:dyDescent="0.3">
      <c r="A27" s="4">
        <v>9</v>
      </c>
      <c r="B27" s="4">
        <v>9</v>
      </c>
      <c r="C27" s="4" t="s">
        <v>18</v>
      </c>
      <c r="D27" s="12"/>
      <c r="E27" s="3"/>
      <c r="F27" s="4"/>
      <c r="G27" s="4"/>
      <c r="H27" s="4"/>
    </row>
    <row r="28" spans="1:8" x14ac:dyDescent="0.3">
      <c r="A28" s="4">
        <v>10</v>
      </c>
      <c r="B28" s="4">
        <v>10</v>
      </c>
      <c r="C28" s="4" t="s">
        <v>18</v>
      </c>
      <c r="D28" s="12"/>
      <c r="E28" s="3"/>
      <c r="F28" s="4"/>
      <c r="G28" s="4"/>
      <c r="H28" s="4"/>
    </row>
    <row r="29" spans="1:8" x14ac:dyDescent="0.3">
      <c r="A29" s="4">
        <v>11</v>
      </c>
      <c r="B29" s="4">
        <v>11</v>
      </c>
      <c r="C29" s="4" t="s">
        <v>18</v>
      </c>
      <c r="D29" s="12"/>
      <c r="E29" s="3"/>
      <c r="F29" s="4"/>
      <c r="G29" s="4"/>
      <c r="H29" s="4"/>
    </row>
    <row r="30" spans="1:8" x14ac:dyDescent="0.3">
      <c r="A30" s="4">
        <v>12</v>
      </c>
      <c r="B30" s="4">
        <v>12</v>
      </c>
      <c r="C30" s="4" t="s">
        <v>18</v>
      </c>
      <c r="D30" s="12"/>
      <c r="E30" s="3"/>
      <c r="F30" s="4"/>
      <c r="G30" s="4"/>
      <c r="H30" s="4"/>
    </row>
    <row r="31" spans="1:8" x14ac:dyDescent="0.3">
      <c r="A31" s="4">
        <v>13</v>
      </c>
      <c r="B31" s="4">
        <v>13</v>
      </c>
      <c r="C31" s="4" t="s">
        <v>18</v>
      </c>
      <c r="D31" s="12"/>
      <c r="E31" s="3"/>
      <c r="F31" s="4"/>
      <c r="G31" s="4"/>
      <c r="H31" s="4"/>
    </row>
    <row r="32" spans="1:8" x14ac:dyDescent="0.3">
      <c r="A32" s="24">
        <v>14</v>
      </c>
      <c r="B32" s="24">
        <v>1</v>
      </c>
      <c r="C32" s="24" t="s">
        <v>14</v>
      </c>
      <c r="D32" s="31"/>
      <c r="E32" s="25"/>
      <c r="F32" s="24"/>
      <c r="G32" s="24"/>
      <c r="H32" s="24"/>
    </row>
    <row r="33" spans="1:8" x14ac:dyDescent="0.3">
      <c r="A33" s="24">
        <v>15</v>
      </c>
      <c r="B33" s="24">
        <v>2</v>
      </c>
      <c r="C33" s="24" t="s">
        <v>14</v>
      </c>
      <c r="D33" s="31"/>
      <c r="E33" s="25"/>
      <c r="F33" s="24"/>
      <c r="G33" s="24"/>
      <c r="H33" s="24"/>
    </row>
    <row r="34" spans="1:8" x14ac:dyDescent="0.3">
      <c r="A34" s="24">
        <v>16</v>
      </c>
      <c r="B34" s="24">
        <v>3</v>
      </c>
      <c r="C34" s="24" t="s">
        <v>14</v>
      </c>
      <c r="D34" s="31"/>
      <c r="E34" s="25"/>
      <c r="F34" s="24"/>
      <c r="G34" s="24"/>
      <c r="H34" s="24"/>
    </row>
    <row r="35" spans="1:8" x14ac:dyDescent="0.3">
      <c r="A35" s="24">
        <v>17</v>
      </c>
      <c r="B35" s="24">
        <v>4</v>
      </c>
      <c r="C35" s="24" t="s">
        <v>14</v>
      </c>
      <c r="D35" s="31"/>
      <c r="E35" s="25"/>
      <c r="F35" s="24"/>
      <c r="G35" s="24"/>
      <c r="H35" s="24"/>
    </row>
    <row r="36" spans="1:8" x14ac:dyDescent="0.3">
      <c r="A36" s="24">
        <v>18</v>
      </c>
      <c r="B36" s="24">
        <v>5</v>
      </c>
      <c r="C36" s="24" t="s">
        <v>14</v>
      </c>
      <c r="D36" s="31"/>
      <c r="E36" s="25"/>
      <c r="F36" s="24"/>
      <c r="G36" s="24"/>
      <c r="H36" s="24"/>
    </row>
    <row r="37" spans="1:8" x14ac:dyDescent="0.3">
      <c r="A37" s="24">
        <v>19</v>
      </c>
      <c r="B37" s="24">
        <v>6</v>
      </c>
      <c r="C37" s="24" t="s">
        <v>14</v>
      </c>
      <c r="D37" s="31"/>
      <c r="E37" s="25"/>
      <c r="F37" s="24"/>
      <c r="G37" s="24"/>
      <c r="H37" s="24"/>
    </row>
    <row r="38" spans="1:8" x14ac:dyDescent="0.3">
      <c r="A38" s="24">
        <v>20</v>
      </c>
      <c r="B38" s="24">
        <v>7</v>
      </c>
      <c r="C38" s="24" t="s">
        <v>14</v>
      </c>
      <c r="D38" s="31"/>
      <c r="E38" s="25"/>
      <c r="F38" s="24"/>
      <c r="G38" s="24"/>
      <c r="H38" s="24"/>
    </row>
    <row r="39" spans="1:8" x14ac:dyDescent="0.3">
      <c r="A39" s="24">
        <v>21</v>
      </c>
      <c r="B39" s="24">
        <v>8</v>
      </c>
      <c r="C39" s="24" t="s">
        <v>14</v>
      </c>
      <c r="D39" s="31"/>
      <c r="E39" s="25"/>
      <c r="F39" s="24"/>
      <c r="G39" s="24"/>
      <c r="H39" s="24"/>
    </row>
    <row r="40" spans="1:8" x14ac:dyDescent="0.3">
      <c r="A40" s="24">
        <v>22</v>
      </c>
      <c r="B40" s="24">
        <v>9</v>
      </c>
      <c r="C40" s="24" t="s">
        <v>14</v>
      </c>
      <c r="D40" s="31"/>
      <c r="E40" s="25"/>
      <c r="F40" s="24"/>
      <c r="G40" s="24"/>
      <c r="H40" s="24"/>
    </row>
    <row r="41" spans="1:8" x14ac:dyDescent="0.3">
      <c r="A41" s="24">
        <v>23</v>
      </c>
      <c r="B41" s="24">
        <v>10</v>
      </c>
      <c r="C41" s="24" t="s">
        <v>14</v>
      </c>
      <c r="D41" s="31"/>
      <c r="E41" s="25"/>
      <c r="F41" s="24"/>
      <c r="G41" s="24"/>
      <c r="H41" s="24"/>
    </row>
    <row r="42" spans="1:8" x14ac:dyDescent="0.3">
      <c r="A42" s="6">
        <v>25</v>
      </c>
      <c r="B42" s="6">
        <v>2</v>
      </c>
      <c r="C42" s="6" t="s">
        <v>19</v>
      </c>
      <c r="D42" s="13"/>
      <c r="E42" s="7"/>
      <c r="F42" s="6"/>
      <c r="G42" s="6"/>
      <c r="H42" s="6"/>
    </row>
    <row r="43" spans="1:8" x14ac:dyDescent="0.3">
      <c r="A43" s="6">
        <v>26</v>
      </c>
      <c r="B43" s="6">
        <v>3</v>
      </c>
      <c r="C43" s="6" t="s">
        <v>19</v>
      </c>
      <c r="D43" s="13"/>
      <c r="E43" s="7"/>
      <c r="F43" s="6"/>
      <c r="G43" s="6"/>
      <c r="H43" s="6"/>
    </row>
    <row r="44" spans="1:8" x14ac:dyDescent="0.3">
      <c r="A44" s="6">
        <v>27</v>
      </c>
      <c r="B44" s="6">
        <v>4</v>
      </c>
      <c r="C44" s="6" t="s">
        <v>19</v>
      </c>
      <c r="D44" s="13"/>
      <c r="E44" s="7"/>
      <c r="F44" s="6"/>
      <c r="G44" s="6"/>
      <c r="H44" s="6"/>
    </row>
    <row r="45" spans="1:8" x14ac:dyDescent="0.3">
      <c r="A45" s="6">
        <v>28</v>
      </c>
      <c r="B45" s="6">
        <v>5</v>
      </c>
      <c r="C45" s="6" t="s">
        <v>19</v>
      </c>
      <c r="D45" s="13"/>
      <c r="E45" s="7"/>
      <c r="F45" s="6"/>
      <c r="G45" s="6"/>
      <c r="H45" s="6"/>
    </row>
    <row r="46" spans="1:8" x14ac:dyDescent="0.3">
      <c r="A46" s="6">
        <v>30</v>
      </c>
      <c r="B46" s="6">
        <v>7</v>
      </c>
      <c r="C46" s="6" t="s">
        <v>19</v>
      </c>
      <c r="D46" s="13"/>
      <c r="E46" s="7"/>
      <c r="F46" s="6"/>
      <c r="G46" s="6"/>
      <c r="H46" s="6"/>
    </row>
    <row r="47" spans="1:8" x14ac:dyDescent="0.3">
      <c r="A47" s="6">
        <v>31</v>
      </c>
      <c r="B47" s="6">
        <v>8</v>
      </c>
      <c r="C47" s="6" t="s">
        <v>19</v>
      </c>
      <c r="D47" s="13"/>
      <c r="E47" s="7"/>
      <c r="F47" s="6"/>
      <c r="G47" s="6"/>
      <c r="H47" s="6"/>
    </row>
    <row r="48" spans="1:8" x14ac:dyDescent="0.3">
      <c r="A48" s="6">
        <v>32</v>
      </c>
      <c r="B48" s="6">
        <v>9</v>
      </c>
      <c r="C48" s="6" t="s">
        <v>19</v>
      </c>
      <c r="D48" s="13"/>
      <c r="E48" s="7"/>
      <c r="F48" s="6"/>
      <c r="G48" s="6"/>
      <c r="H48" s="6"/>
    </row>
    <row r="49" spans="1:9" x14ac:dyDescent="0.3">
      <c r="A49" s="6">
        <v>33</v>
      </c>
      <c r="B49" s="6">
        <v>10</v>
      </c>
      <c r="C49" s="6" t="s">
        <v>19</v>
      </c>
      <c r="D49" s="13"/>
      <c r="E49" s="7"/>
      <c r="F49" s="6"/>
      <c r="G49" s="6"/>
      <c r="H49" s="6"/>
    </row>
    <row r="50" spans="1:9" s="14" customFormat="1" ht="14.25" customHeight="1" x14ac:dyDescent="0.3">
      <c r="A50" s="21">
        <v>34</v>
      </c>
      <c r="B50" s="16">
        <v>1</v>
      </c>
      <c r="C50" s="16" t="s">
        <v>20</v>
      </c>
      <c r="D50" s="17"/>
      <c r="E50" s="18"/>
      <c r="F50" s="16"/>
      <c r="G50" s="16"/>
      <c r="H50" s="16"/>
      <c r="I50" s="20"/>
    </row>
    <row r="51" spans="1:9" x14ac:dyDescent="0.3">
      <c r="A51" s="21">
        <v>35</v>
      </c>
      <c r="B51" s="16">
        <v>2</v>
      </c>
      <c r="C51" s="16" t="s">
        <v>20</v>
      </c>
      <c r="D51" s="17"/>
      <c r="E51" s="18"/>
      <c r="F51" s="16"/>
      <c r="G51" s="16"/>
      <c r="H51" s="16"/>
      <c r="I51" s="19"/>
    </row>
    <row r="52" spans="1:9" x14ac:dyDescent="0.3">
      <c r="A52" s="21">
        <v>36</v>
      </c>
      <c r="B52" s="16">
        <v>3</v>
      </c>
      <c r="C52" s="16" t="s">
        <v>20</v>
      </c>
      <c r="D52" s="17"/>
      <c r="E52" s="18"/>
      <c r="F52" s="16"/>
      <c r="G52" s="16"/>
      <c r="H52" s="16"/>
      <c r="I52" s="19"/>
    </row>
    <row r="53" spans="1:9" x14ac:dyDescent="0.3">
      <c r="A53" s="21">
        <v>37</v>
      </c>
      <c r="B53" s="16">
        <v>4</v>
      </c>
      <c r="C53" s="16" t="s">
        <v>20</v>
      </c>
      <c r="D53" s="17"/>
      <c r="E53" s="18"/>
      <c r="F53" s="16"/>
      <c r="G53" s="16"/>
      <c r="H53" s="16"/>
      <c r="I53" s="19"/>
    </row>
    <row r="54" spans="1:9" x14ac:dyDescent="0.3">
      <c r="A54" s="21">
        <v>39</v>
      </c>
      <c r="B54" s="16">
        <v>6</v>
      </c>
      <c r="C54" s="16" t="s">
        <v>20</v>
      </c>
      <c r="D54" s="17"/>
      <c r="E54" s="18"/>
      <c r="F54" s="16"/>
      <c r="G54" s="16"/>
      <c r="H54" s="16"/>
      <c r="I54" s="19"/>
    </row>
    <row r="55" spans="1:9" x14ac:dyDescent="0.3">
      <c r="A55" s="21">
        <v>40</v>
      </c>
      <c r="B55" s="16">
        <v>7</v>
      </c>
      <c r="C55" s="16" t="s">
        <v>20</v>
      </c>
      <c r="D55" s="17"/>
      <c r="E55" s="18"/>
      <c r="F55" s="16"/>
      <c r="G55" s="16"/>
      <c r="H55" s="16"/>
      <c r="I55" s="19"/>
    </row>
    <row r="56" spans="1:9" x14ac:dyDescent="0.3">
      <c r="A56" s="21">
        <v>41</v>
      </c>
      <c r="B56" s="16">
        <v>8</v>
      </c>
      <c r="C56" s="16" t="s">
        <v>20</v>
      </c>
      <c r="D56" s="17"/>
      <c r="E56" s="18"/>
      <c r="F56" s="16"/>
      <c r="G56" s="16"/>
      <c r="H56" s="16"/>
      <c r="I56" s="19"/>
    </row>
    <row r="57" spans="1:9" x14ac:dyDescent="0.3">
      <c r="A57" s="21">
        <v>42</v>
      </c>
      <c r="B57" s="16">
        <v>9</v>
      </c>
      <c r="C57" s="16" t="s">
        <v>20</v>
      </c>
      <c r="D57" s="17"/>
      <c r="E57" s="18"/>
      <c r="F57" s="16"/>
      <c r="G57" s="16"/>
      <c r="H57" s="16"/>
      <c r="I57" s="19"/>
    </row>
    <row r="58" spans="1:9" x14ac:dyDescent="0.3">
      <c r="A58" s="8">
        <v>44</v>
      </c>
      <c r="B58" s="8">
        <v>1</v>
      </c>
      <c r="C58" s="8" t="s">
        <v>21</v>
      </c>
      <c r="D58" s="26"/>
      <c r="E58" s="9"/>
      <c r="F58" s="8"/>
      <c r="G58" s="8"/>
      <c r="H58" s="8"/>
    </row>
    <row r="59" spans="1:9" x14ac:dyDescent="0.3">
      <c r="A59" s="8">
        <v>46</v>
      </c>
      <c r="B59" s="8">
        <v>3</v>
      </c>
      <c r="C59" s="8" t="s">
        <v>21</v>
      </c>
      <c r="D59" s="26"/>
      <c r="E59" s="9"/>
      <c r="F59" s="8"/>
      <c r="G59" s="8"/>
      <c r="H59" s="8"/>
    </row>
    <row r="60" spans="1:9" x14ac:dyDescent="0.3">
      <c r="A60" s="8">
        <v>47</v>
      </c>
      <c r="B60" s="8">
        <v>4</v>
      </c>
      <c r="C60" s="8" t="s">
        <v>21</v>
      </c>
      <c r="D60" s="26"/>
      <c r="E60" s="9"/>
      <c r="F60" s="8"/>
      <c r="G60" s="8"/>
      <c r="H60" s="8"/>
    </row>
    <row r="61" spans="1:9" x14ac:dyDescent="0.3">
      <c r="A61" s="8">
        <v>48</v>
      </c>
      <c r="B61" s="8">
        <v>5</v>
      </c>
      <c r="C61" s="8" t="s">
        <v>21</v>
      </c>
      <c r="D61" s="26"/>
      <c r="E61" s="9"/>
      <c r="F61" s="8"/>
      <c r="G61" s="8"/>
      <c r="H61" s="8"/>
    </row>
    <row r="62" spans="1:9" x14ac:dyDescent="0.3">
      <c r="A62" s="8">
        <v>49</v>
      </c>
      <c r="B62" s="8">
        <v>6</v>
      </c>
      <c r="C62" s="8" t="s">
        <v>21</v>
      </c>
      <c r="D62" s="26"/>
      <c r="E62" s="9"/>
      <c r="F62" s="8"/>
      <c r="G62" s="8"/>
      <c r="H62" s="8"/>
    </row>
    <row r="63" spans="1:9" x14ac:dyDescent="0.3">
      <c r="A63" s="8">
        <v>51</v>
      </c>
      <c r="B63" s="8">
        <v>8</v>
      </c>
      <c r="C63" s="8" t="s">
        <v>21</v>
      </c>
      <c r="D63" s="26"/>
      <c r="E63" s="9"/>
      <c r="F63" s="8"/>
      <c r="G63" s="8"/>
      <c r="H63" s="8"/>
    </row>
    <row r="64" spans="1:9" x14ac:dyDescent="0.3">
      <c r="A64" s="8">
        <v>52</v>
      </c>
      <c r="B64" s="8">
        <v>9</v>
      </c>
      <c r="C64" s="8" t="s">
        <v>21</v>
      </c>
      <c r="D64" s="26"/>
      <c r="E64" s="9"/>
      <c r="F64" s="8"/>
      <c r="G64" s="8"/>
      <c r="H64" s="8"/>
    </row>
    <row r="65" spans="1:8" x14ac:dyDescent="0.3">
      <c r="A65" s="8">
        <v>53</v>
      </c>
      <c r="B65" s="8">
        <v>10</v>
      </c>
      <c r="C65" s="8" t="s">
        <v>21</v>
      </c>
      <c r="D65" s="26"/>
      <c r="E65" s="9"/>
      <c r="F65" s="8"/>
      <c r="G65" s="8"/>
      <c r="H65" s="8"/>
    </row>
    <row r="66" spans="1:8" x14ac:dyDescent="0.3">
      <c r="A66" s="22">
        <v>54</v>
      </c>
      <c r="B66" s="22">
        <v>1</v>
      </c>
      <c r="C66" s="22" t="s">
        <v>22</v>
      </c>
      <c r="D66" s="27"/>
      <c r="E66" s="23"/>
      <c r="F66" s="22"/>
      <c r="G66" s="22"/>
      <c r="H66" s="22"/>
    </row>
    <row r="67" spans="1:8" x14ac:dyDescent="0.3">
      <c r="A67" s="22">
        <v>55</v>
      </c>
      <c r="B67" s="22">
        <v>2</v>
      </c>
      <c r="C67" s="22" t="s">
        <v>22</v>
      </c>
      <c r="D67" s="27"/>
      <c r="E67" s="23"/>
      <c r="F67" s="22"/>
      <c r="G67" s="22"/>
      <c r="H67" s="22"/>
    </row>
    <row r="68" spans="1:8" x14ac:dyDescent="0.3">
      <c r="A68" s="22">
        <v>56</v>
      </c>
      <c r="B68" s="22">
        <v>3</v>
      </c>
      <c r="C68" s="22" t="s">
        <v>22</v>
      </c>
      <c r="D68" s="27"/>
      <c r="E68" s="23"/>
      <c r="F68" s="22"/>
      <c r="G68" s="22"/>
      <c r="H68" s="22"/>
    </row>
    <row r="69" spans="1:8" x14ac:dyDescent="0.3">
      <c r="A69" s="22">
        <v>57</v>
      </c>
      <c r="B69" s="22">
        <v>4</v>
      </c>
      <c r="C69" s="22" t="s">
        <v>22</v>
      </c>
      <c r="D69" s="27"/>
      <c r="E69" s="23"/>
      <c r="F69" s="22"/>
      <c r="G69" s="22"/>
      <c r="H69" s="22"/>
    </row>
    <row r="70" spans="1:8" x14ac:dyDescent="0.3">
      <c r="A70" s="22">
        <v>59</v>
      </c>
      <c r="B70" s="22">
        <v>6</v>
      </c>
      <c r="C70" s="22" t="s">
        <v>22</v>
      </c>
      <c r="D70" s="27"/>
      <c r="E70" s="23"/>
      <c r="F70" s="22"/>
      <c r="G70" s="22"/>
      <c r="H70" s="22"/>
    </row>
    <row r="71" spans="1:8" x14ac:dyDescent="0.3">
      <c r="A71" s="22">
        <v>60</v>
      </c>
      <c r="B71" s="22">
        <v>7</v>
      </c>
      <c r="C71" s="22" t="s">
        <v>22</v>
      </c>
      <c r="D71" s="27"/>
      <c r="E71" s="23"/>
      <c r="F71" s="22"/>
      <c r="G71" s="22"/>
      <c r="H71" s="22"/>
    </row>
    <row r="72" spans="1:8" x14ac:dyDescent="0.3">
      <c r="A72" s="22">
        <v>61</v>
      </c>
      <c r="B72" s="22">
        <v>8</v>
      </c>
      <c r="C72" s="22" t="s">
        <v>22</v>
      </c>
      <c r="D72" s="27"/>
      <c r="E72" s="23"/>
      <c r="F72" s="22"/>
      <c r="G72" s="22"/>
      <c r="H72" s="22"/>
    </row>
    <row r="73" spans="1:8" x14ac:dyDescent="0.3">
      <c r="A73" s="22">
        <v>62</v>
      </c>
      <c r="B73" s="22">
        <v>9</v>
      </c>
      <c r="C73" s="22" t="s">
        <v>22</v>
      </c>
      <c r="D73" s="27"/>
      <c r="E73" s="23"/>
      <c r="F73" s="22"/>
      <c r="G73" s="22"/>
      <c r="H73" s="22"/>
    </row>
    <row r="74" spans="1:8" x14ac:dyDescent="0.3">
      <c r="A74" s="10">
        <v>64</v>
      </c>
      <c r="B74" s="10">
        <v>1</v>
      </c>
      <c r="C74" s="10" t="s">
        <v>23</v>
      </c>
      <c r="D74" s="32"/>
      <c r="E74" s="15"/>
      <c r="F74" s="10"/>
      <c r="G74" s="10"/>
      <c r="H74" s="10"/>
    </row>
    <row r="75" spans="1:8" x14ac:dyDescent="0.3">
      <c r="A75" s="10">
        <v>65</v>
      </c>
      <c r="B75" s="10">
        <v>2</v>
      </c>
      <c r="C75" s="10" t="s">
        <v>23</v>
      </c>
      <c r="D75" s="32"/>
      <c r="E75" s="15"/>
      <c r="F75" s="10"/>
      <c r="G75" s="10"/>
      <c r="H75" s="10"/>
    </row>
    <row r="76" spans="1:8" x14ac:dyDescent="0.3">
      <c r="A76" s="10">
        <v>66</v>
      </c>
      <c r="B76" s="10">
        <v>3</v>
      </c>
      <c r="C76" s="10" t="s">
        <v>23</v>
      </c>
      <c r="D76" s="32"/>
      <c r="E76" s="15"/>
      <c r="F76" s="10"/>
      <c r="G76" s="10"/>
      <c r="H76" s="10"/>
    </row>
    <row r="77" spans="1:8" x14ac:dyDescent="0.3">
      <c r="A77" s="10">
        <v>67</v>
      </c>
      <c r="B77" s="10">
        <v>4</v>
      </c>
      <c r="C77" s="10" t="s">
        <v>23</v>
      </c>
      <c r="D77" s="32"/>
      <c r="E77" s="15"/>
      <c r="F77" s="10"/>
      <c r="G77" s="10"/>
      <c r="H77" s="10"/>
    </row>
    <row r="78" spans="1:8" x14ac:dyDescent="0.3">
      <c r="A78" s="10"/>
      <c r="B78" s="10">
        <v>5</v>
      </c>
      <c r="C78" s="10" t="s">
        <v>23</v>
      </c>
      <c r="D78" s="32"/>
      <c r="E78" s="15"/>
      <c r="F78" s="10"/>
      <c r="G78" s="10"/>
      <c r="H78" s="10"/>
    </row>
    <row r="79" spans="1:8" x14ac:dyDescent="0.3">
      <c r="A79" s="10"/>
      <c r="B79" s="10">
        <v>6</v>
      </c>
      <c r="C79" s="10" t="s">
        <v>23</v>
      </c>
      <c r="D79" s="32"/>
      <c r="E79" s="15"/>
      <c r="F79" s="10"/>
      <c r="G79" s="10"/>
      <c r="H79" s="10"/>
    </row>
    <row r="80" spans="1:8" x14ac:dyDescent="0.3">
      <c r="A80" s="10"/>
      <c r="B80" s="10">
        <v>7</v>
      </c>
      <c r="C80" s="10" t="s">
        <v>23</v>
      </c>
      <c r="D80" s="32"/>
      <c r="E80" s="15"/>
      <c r="F80" s="10"/>
      <c r="G80" s="10"/>
      <c r="H80" s="10"/>
    </row>
    <row r="81" spans="1:8" x14ac:dyDescent="0.3">
      <c r="A81" s="10"/>
      <c r="B81" s="10">
        <v>8</v>
      </c>
      <c r="C81" s="10" t="s">
        <v>23</v>
      </c>
      <c r="D81" s="32"/>
      <c r="E81" s="15"/>
      <c r="F81" s="10"/>
      <c r="G81" s="10"/>
      <c r="H81" s="10"/>
    </row>
    <row r="82" spans="1:8" x14ac:dyDescent="0.3">
      <c r="A82" s="10"/>
      <c r="B82" s="10">
        <v>9</v>
      </c>
      <c r="C82" s="10" t="s">
        <v>23</v>
      </c>
      <c r="D82" s="32"/>
      <c r="E82" s="15"/>
      <c r="F82" s="10"/>
      <c r="G82" s="10"/>
      <c r="H82" s="10"/>
    </row>
    <row r="83" spans="1:8" x14ac:dyDescent="0.3">
      <c r="A83" s="10">
        <v>68</v>
      </c>
      <c r="B83" s="10">
        <v>10</v>
      </c>
      <c r="C83" s="10" t="s">
        <v>23</v>
      </c>
      <c r="D83" s="32"/>
      <c r="E83" s="15"/>
      <c r="F83" s="10"/>
      <c r="G83" s="10"/>
      <c r="H83" s="10"/>
    </row>
    <row r="84" spans="1:8" x14ac:dyDescent="0.3">
      <c r="A84" s="28">
        <v>69</v>
      </c>
      <c r="B84" s="28">
        <v>1</v>
      </c>
      <c r="C84" s="28" t="s">
        <v>24</v>
      </c>
      <c r="D84" s="29"/>
      <c r="E84" s="30"/>
      <c r="F84" s="28"/>
      <c r="G84" s="28"/>
      <c r="H84" s="28"/>
    </row>
    <row r="85" spans="1:8" x14ac:dyDescent="0.3">
      <c r="A85" s="28">
        <v>70</v>
      </c>
      <c r="B85" s="28">
        <v>2</v>
      </c>
      <c r="C85" s="28" t="s">
        <v>24</v>
      </c>
      <c r="D85" s="29"/>
      <c r="E85" s="30"/>
      <c r="F85" s="28"/>
      <c r="G85" s="28"/>
      <c r="H85" s="28"/>
    </row>
    <row r="86" spans="1:8" x14ac:dyDescent="0.3">
      <c r="A86" s="28">
        <v>71</v>
      </c>
      <c r="B86" s="28">
        <v>3</v>
      </c>
      <c r="C86" s="28" t="s">
        <v>24</v>
      </c>
      <c r="D86" s="29"/>
      <c r="E86" s="30"/>
      <c r="F86" s="28"/>
      <c r="G86" s="28"/>
      <c r="H86" s="28"/>
    </row>
    <row r="87" spans="1:8" x14ac:dyDescent="0.3">
      <c r="A87" s="28"/>
      <c r="B87" s="28">
        <v>4</v>
      </c>
      <c r="C87" s="28" t="s">
        <v>24</v>
      </c>
      <c r="D87" s="29"/>
      <c r="E87" s="30"/>
      <c r="F87" s="28"/>
      <c r="G87" s="28"/>
      <c r="H87" s="28"/>
    </row>
    <row r="88" spans="1:8" x14ac:dyDescent="0.3">
      <c r="A88" s="28"/>
      <c r="B88" s="28">
        <v>5</v>
      </c>
      <c r="C88" s="28" t="s">
        <v>24</v>
      </c>
      <c r="D88" s="29"/>
      <c r="E88" s="30"/>
      <c r="F88" s="28"/>
      <c r="G88" s="28"/>
      <c r="H88" s="28"/>
    </row>
    <row r="89" spans="1:8" x14ac:dyDescent="0.3">
      <c r="A89" s="28"/>
      <c r="B89" s="28">
        <v>6</v>
      </c>
      <c r="C89" s="28" t="s">
        <v>24</v>
      </c>
      <c r="D89" s="29"/>
      <c r="E89" s="30"/>
      <c r="F89" s="28"/>
      <c r="G89" s="28"/>
      <c r="H89" s="28"/>
    </row>
    <row r="90" spans="1:8" x14ac:dyDescent="0.3">
      <c r="A90" s="28"/>
      <c r="B90" s="28">
        <v>7</v>
      </c>
      <c r="C90" s="28" t="s">
        <v>24</v>
      </c>
      <c r="D90" s="29"/>
      <c r="E90" s="30"/>
      <c r="F90" s="28"/>
      <c r="G90" s="28"/>
      <c r="H90" s="28"/>
    </row>
    <row r="91" spans="1:8" x14ac:dyDescent="0.3">
      <c r="A91" s="28"/>
      <c r="B91" s="28">
        <v>8</v>
      </c>
      <c r="C91" s="28" t="s">
        <v>24</v>
      </c>
      <c r="D91" s="29"/>
      <c r="E91" s="30"/>
      <c r="F91" s="28"/>
      <c r="G91" s="28"/>
      <c r="H91" s="28"/>
    </row>
    <row r="92" spans="1:8" x14ac:dyDescent="0.3">
      <c r="A92" s="28">
        <v>72</v>
      </c>
      <c r="B92" s="28">
        <v>9</v>
      </c>
      <c r="C92" s="28" t="s">
        <v>24</v>
      </c>
      <c r="D92" s="29"/>
      <c r="E92" s="30"/>
      <c r="F92" s="28"/>
      <c r="G92" s="28"/>
      <c r="H92" s="28"/>
    </row>
    <row r="93" spans="1:8" x14ac:dyDescent="0.3">
      <c r="A93" s="28">
        <v>73</v>
      </c>
      <c r="B93" s="28">
        <v>10</v>
      </c>
      <c r="C93" s="28" t="s">
        <v>24</v>
      </c>
      <c r="D93" s="29"/>
      <c r="E93" s="30"/>
      <c r="F93" s="28"/>
      <c r="G93" s="28"/>
      <c r="H93" s="28"/>
    </row>
    <row r="94" spans="1:8" x14ac:dyDescent="0.3">
      <c r="A94" s="45">
        <v>74</v>
      </c>
      <c r="B94" s="45">
        <v>1</v>
      </c>
      <c r="C94" s="45" t="s">
        <v>25</v>
      </c>
      <c r="D94" s="46"/>
      <c r="E94" s="47"/>
      <c r="F94" s="45"/>
      <c r="G94" s="45"/>
      <c r="H94" s="45"/>
    </row>
    <row r="95" spans="1:8" x14ac:dyDescent="0.3">
      <c r="A95" s="45">
        <v>75</v>
      </c>
      <c r="B95" s="45">
        <v>2</v>
      </c>
      <c r="C95" s="45" t="s">
        <v>25</v>
      </c>
      <c r="D95" s="46"/>
      <c r="E95" s="47"/>
      <c r="F95" s="45"/>
      <c r="G95" s="45"/>
      <c r="H95" s="45"/>
    </row>
    <row r="96" spans="1:8" x14ac:dyDescent="0.3">
      <c r="A96" s="45"/>
      <c r="B96" s="45">
        <v>3</v>
      </c>
      <c r="C96" s="45" t="s">
        <v>25</v>
      </c>
      <c r="D96" s="46"/>
      <c r="E96" s="47"/>
      <c r="F96" s="45"/>
      <c r="G96" s="45"/>
      <c r="H96" s="45"/>
    </row>
    <row r="97" spans="1:8" x14ac:dyDescent="0.3">
      <c r="A97" s="45"/>
      <c r="B97" s="45">
        <v>4</v>
      </c>
      <c r="C97" s="45" t="s">
        <v>25</v>
      </c>
      <c r="D97" s="46"/>
      <c r="E97" s="47"/>
      <c r="F97" s="45"/>
      <c r="G97" s="45"/>
      <c r="H97" s="45"/>
    </row>
    <row r="98" spans="1:8" x14ac:dyDescent="0.3">
      <c r="A98" s="45"/>
      <c r="B98" s="45">
        <v>5</v>
      </c>
      <c r="C98" s="45" t="s">
        <v>25</v>
      </c>
      <c r="D98" s="46"/>
      <c r="E98" s="47"/>
      <c r="F98" s="45"/>
      <c r="G98" s="45"/>
      <c r="H98" s="45"/>
    </row>
    <row r="99" spans="1:8" x14ac:dyDescent="0.3">
      <c r="A99" s="45"/>
      <c r="B99" s="45">
        <v>6</v>
      </c>
      <c r="C99" s="45" t="s">
        <v>25</v>
      </c>
      <c r="D99" s="46"/>
      <c r="E99" s="47"/>
      <c r="F99" s="45"/>
      <c r="G99" s="45"/>
      <c r="H99" s="45"/>
    </row>
    <row r="100" spans="1:8" x14ac:dyDescent="0.3">
      <c r="A100" s="45"/>
      <c r="B100" s="45">
        <v>7</v>
      </c>
      <c r="C100" s="45" t="s">
        <v>25</v>
      </c>
      <c r="D100" s="46"/>
      <c r="E100" s="47"/>
      <c r="F100" s="45"/>
      <c r="G100" s="45"/>
      <c r="H100" s="45"/>
    </row>
    <row r="101" spans="1:8" x14ac:dyDescent="0.3">
      <c r="A101" s="45">
        <v>76</v>
      </c>
      <c r="B101" s="45">
        <v>8</v>
      </c>
      <c r="C101" s="45" t="s">
        <v>25</v>
      </c>
      <c r="D101" s="46"/>
      <c r="E101" s="47"/>
      <c r="F101" s="45"/>
      <c r="G101" s="45"/>
      <c r="H101" s="45"/>
    </row>
    <row r="102" spans="1:8" x14ac:dyDescent="0.3">
      <c r="A102" s="45">
        <v>77</v>
      </c>
      <c r="B102" s="45">
        <v>9</v>
      </c>
      <c r="C102" s="45" t="s">
        <v>25</v>
      </c>
      <c r="D102" s="46"/>
      <c r="E102" s="47"/>
      <c r="F102" s="45"/>
      <c r="G102" s="45"/>
      <c r="H102" s="45"/>
    </row>
    <row r="103" spans="1:8" x14ac:dyDescent="0.3">
      <c r="A103" s="45">
        <v>78</v>
      </c>
      <c r="B103" s="45">
        <v>10</v>
      </c>
      <c r="C103" s="45" t="s">
        <v>25</v>
      </c>
      <c r="D103" s="46"/>
      <c r="E103" s="47"/>
      <c r="F103" s="45"/>
      <c r="G103" s="45"/>
      <c r="H103" s="45"/>
    </row>
    <row r="104" spans="1:8" x14ac:dyDescent="0.3">
      <c r="A104" s="95">
        <v>79</v>
      </c>
      <c r="B104" s="95">
        <v>1</v>
      </c>
      <c r="C104" s="95" t="s">
        <v>26</v>
      </c>
      <c r="D104" s="96"/>
      <c r="E104" s="97"/>
      <c r="F104" s="98"/>
      <c r="G104" s="98"/>
      <c r="H104" s="98"/>
    </row>
    <row r="105" spans="1:8" x14ac:dyDescent="0.3">
      <c r="A105" s="95"/>
      <c r="B105" s="95">
        <v>2</v>
      </c>
      <c r="C105" s="95" t="s">
        <v>26</v>
      </c>
      <c r="D105" s="96"/>
      <c r="E105" s="97"/>
      <c r="F105" s="98"/>
      <c r="G105" s="98"/>
      <c r="H105" s="98"/>
    </row>
    <row r="106" spans="1:8" x14ac:dyDescent="0.3">
      <c r="A106" s="95"/>
      <c r="B106" s="95">
        <v>3</v>
      </c>
      <c r="C106" s="95" t="s">
        <v>26</v>
      </c>
      <c r="D106" s="96"/>
      <c r="E106" s="97"/>
      <c r="F106" s="98"/>
      <c r="G106" s="98"/>
      <c r="H106" s="98"/>
    </row>
    <row r="107" spans="1:8" x14ac:dyDescent="0.3">
      <c r="A107" s="95"/>
      <c r="B107" s="95">
        <v>4</v>
      </c>
      <c r="C107" s="95" t="s">
        <v>26</v>
      </c>
      <c r="D107" s="96"/>
      <c r="E107" s="97"/>
      <c r="F107" s="98"/>
      <c r="G107" s="98"/>
      <c r="H107" s="98"/>
    </row>
    <row r="108" spans="1:8" x14ac:dyDescent="0.3">
      <c r="A108" s="95"/>
      <c r="B108" s="95">
        <v>5</v>
      </c>
      <c r="C108" s="95" t="s">
        <v>26</v>
      </c>
      <c r="D108" s="96"/>
      <c r="E108" s="97"/>
      <c r="F108" s="98"/>
      <c r="G108" s="98"/>
      <c r="H108" s="98"/>
    </row>
    <row r="109" spans="1:8" x14ac:dyDescent="0.3">
      <c r="A109" s="91"/>
      <c r="B109" s="91">
        <v>1</v>
      </c>
      <c r="C109" s="91" t="s">
        <v>27</v>
      </c>
      <c r="D109" s="92"/>
      <c r="E109" s="93"/>
      <c r="F109" s="94"/>
      <c r="G109" s="94"/>
      <c r="H109" s="94"/>
    </row>
    <row r="110" spans="1:8" x14ac:dyDescent="0.3">
      <c r="A110" s="91"/>
      <c r="B110" s="91">
        <v>2</v>
      </c>
      <c r="C110" s="91" t="s">
        <v>27</v>
      </c>
      <c r="D110" s="92"/>
      <c r="E110" s="93"/>
      <c r="F110" s="94"/>
      <c r="G110" s="94"/>
      <c r="H110" s="94"/>
    </row>
    <row r="111" spans="1:8" x14ac:dyDescent="0.3">
      <c r="A111" s="91"/>
      <c r="B111" s="91">
        <v>3</v>
      </c>
      <c r="C111" s="91" t="s">
        <v>27</v>
      </c>
      <c r="D111" s="92"/>
      <c r="E111" s="93"/>
      <c r="F111" s="94"/>
      <c r="G111" s="94"/>
      <c r="H111" s="94"/>
    </row>
    <row r="112" spans="1:8" x14ac:dyDescent="0.3">
      <c r="A112" s="91">
        <v>80</v>
      </c>
      <c r="B112" s="91">
        <v>4</v>
      </c>
      <c r="C112" s="91" t="s">
        <v>27</v>
      </c>
      <c r="D112" s="92"/>
      <c r="E112" s="93"/>
      <c r="F112" s="94"/>
      <c r="G112" s="94"/>
      <c r="H112" s="94"/>
    </row>
    <row r="113" spans="1:8" x14ac:dyDescent="0.3">
      <c r="A113" s="91">
        <v>81</v>
      </c>
      <c r="B113" s="91">
        <v>5</v>
      </c>
      <c r="C113" s="91" t="s">
        <v>27</v>
      </c>
      <c r="D113" s="92"/>
      <c r="E113" s="93"/>
      <c r="F113" s="94"/>
      <c r="G113" s="94"/>
      <c r="H113" s="94"/>
    </row>
    <row r="114" spans="1:8" x14ac:dyDescent="0.3">
      <c r="A114" s="33"/>
      <c r="B114" s="33">
        <v>1</v>
      </c>
      <c r="C114" s="33" t="s">
        <v>28</v>
      </c>
      <c r="D114" s="62">
        <v>46321</v>
      </c>
      <c r="E114" s="85">
        <v>0.375</v>
      </c>
      <c r="F114" s="34" t="s">
        <v>11</v>
      </c>
      <c r="G114" s="34" t="s">
        <v>29</v>
      </c>
      <c r="H114" s="34" t="s">
        <v>13</v>
      </c>
    </row>
    <row r="115" spans="1:8" x14ac:dyDescent="0.3">
      <c r="A115" s="33"/>
      <c r="B115" s="33">
        <v>2</v>
      </c>
      <c r="C115" s="33" t="s">
        <v>28</v>
      </c>
      <c r="D115" s="62">
        <v>46322</v>
      </c>
      <c r="E115" s="85">
        <v>0.375</v>
      </c>
      <c r="F115" s="34" t="s">
        <v>11</v>
      </c>
      <c r="G115" s="34" t="s">
        <v>29</v>
      </c>
      <c r="H115" s="34" t="s">
        <v>13</v>
      </c>
    </row>
    <row r="116" spans="1:8" x14ac:dyDescent="0.3">
      <c r="A116" s="33"/>
      <c r="B116" s="33">
        <v>3</v>
      </c>
      <c r="C116" s="33" t="s">
        <v>28</v>
      </c>
      <c r="D116" s="62">
        <v>46323</v>
      </c>
      <c r="E116" s="85">
        <v>0.375</v>
      </c>
      <c r="F116" s="34" t="s">
        <v>11</v>
      </c>
      <c r="G116" s="34" t="s">
        <v>29</v>
      </c>
      <c r="H116" s="34" t="s">
        <v>13</v>
      </c>
    </row>
    <row r="117" spans="1:8" x14ac:dyDescent="0.3">
      <c r="A117" s="33"/>
      <c r="B117" s="33">
        <v>1</v>
      </c>
      <c r="C117" s="62" t="s">
        <v>30</v>
      </c>
      <c r="D117" s="62">
        <v>46230</v>
      </c>
      <c r="E117" s="85">
        <v>0.375</v>
      </c>
      <c r="F117" s="34" t="s">
        <v>11</v>
      </c>
      <c r="G117" s="34" t="s">
        <v>29</v>
      </c>
      <c r="H117" s="34" t="s">
        <v>13</v>
      </c>
    </row>
    <row r="118" spans="1:8" x14ac:dyDescent="0.3">
      <c r="A118" s="33"/>
      <c r="B118" s="33">
        <v>2</v>
      </c>
      <c r="C118" s="62" t="s">
        <v>30</v>
      </c>
      <c r="D118" s="62">
        <v>46231</v>
      </c>
      <c r="E118" s="85">
        <v>0.375</v>
      </c>
      <c r="F118" s="34" t="s">
        <v>11</v>
      </c>
      <c r="G118" s="34" t="s">
        <v>29</v>
      </c>
      <c r="H118" s="34" t="s">
        <v>13</v>
      </c>
    </row>
    <row r="119" spans="1:8" x14ac:dyDescent="0.3">
      <c r="A119" s="33"/>
      <c r="B119" s="33">
        <v>3</v>
      </c>
      <c r="C119" s="62" t="s">
        <v>30</v>
      </c>
      <c r="D119" s="62">
        <v>46232</v>
      </c>
      <c r="E119" s="85">
        <v>0.375</v>
      </c>
      <c r="F119" s="34" t="s">
        <v>11</v>
      </c>
      <c r="G119" s="34" t="s">
        <v>29</v>
      </c>
      <c r="H119" s="34" t="s">
        <v>13</v>
      </c>
    </row>
    <row r="120" spans="1:8" x14ac:dyDescent="0.3">
      <c r="A120" s="33"/>
      <c r="B120" s="33">
        <v>4</v>
      </c>
      <c r="C120" s="62" t="s">
        <v>30</v>
      </c>
      <c r="D120" s="62">
        <v>46233</v>
      </c>
      <c r="E120" s="85">
        <v>0.375</v>
      </c>
      <c r="F120" s="34" t="s">
        <v>11</v>
      </c>
      <c r="G120" s="34" t="s">
        <v>29</v>
      </c>
      <c r="H120" s="34" t="s">
        <v>13</v>
      </c>
    </row>
    <row r="121" spans="1:8" x14ac:dyDescent="0.3">
      <c r="A121" s="33"/>
      <c r="B121" s="33">
        <v>5</v>
      </c>
      <c r="C121" s="62" t="s">
        <v>30</v>
      </c>
      <c r="D121" s="62">
        <v>46234</v>
      </c>
      <c r="E121" s="85">
        <v>0.375</v>
      </c>
      <c r="F121" s="34" t="s">
        <v>11</v>
      </c>
      <c r="G121" s="34" t="s">
        <v>29</v>
      </c>
      <c r="H121" s="34" t="s">
        <v>13</v>
      </c>
    </row>
    <row r="122" spans="1:8" x14ac:dyDescent="0.3">
      <c r="A122" s="43">
        <v>83</v>
      </c>
      <c r="B122" s="43">
        <v>2</v>
      </c>
      <c r="C122" s="43" t="s">
        <v>31</v>
      </c>
      <c r="D122" s="63">
        <v>46256</v>
      </c>
      <c r="E122" s="86">
        <v>0.375</v>
      </c>
      <c r="F122" s="44" t="s">
        <v>11</v>
      </c>
      <c r="G122" s="10" t="s">
        <v>32</v>
      </c>
      <c r="H122" s="44" t="s">
        <v>13</v>
      </c>
    </row>
  </sheetData>
  <autoFilter ref="A1:H93" xr:uid="{00000000-0009-0000-0000-000000000000}">
    <sortState xmlns:xlrd2="http://schemas.microsoft.com/office/spreadsheetml/2017/richdata2" ref="A2:H93">
      <sortCondition ref="A1:A93"/>
    </sortState>
  </autoFilter>
  <pageMargins left="0.25" right="0.25" top="0.75" bottom="0.75" header="0.3" footer="0.3"/>
  <pageSetup paperSize="9" scale="42" orientation="landscape"/>
  <rowBreaks count="2" manualBreakCount="2">
    <brk id="49" max="16383" man="1"/>
    <brk id="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6"/>
  <sheetViews>
    <sheetView tabSelected="1" workbookViewId="0">
      <selection activeCell="H6" sqref="H6"/>
    </sheetView>
  </sheetViews>
  <sheetFormatPr baseColWidth="10" defaultRowHeight="14.4" x14ac:dyDescent="0.3"/>
  <cols>
    <col min="1" max="1" width="11.5546875" style="87" customWidth="1"/>
    <col min="2" max="2" width="11.44140625" style="84" customWidth="1"/>
    <col min="3" max="3" width="11.44140625" style="100" customWidth="1"/>
    <col min="4" max="4" width="8.33203125" style="100" bestFit="1" customWidth="1"/>
    <col min="5" max="5" width="21.6640625" style="100" bestFit="1" customWidth="1"/>
    <col min="6" max="6" width="32.109375" style="87" bestFit="1" customWidth="1"/>
    <col min="7" max="7" width="30.88671875" style="99" bestFit="1" customWidth="1"/>
    <col min="8" max="8" width="12.5546875" style="99" bestFit="1" customWidth="1"/>
    <col min="10" max="10" width="11.5546875" style="87" customWidth="1"/>
  </cols>
  <sheetData>
    <row r="1" spans="1:12" x14ac:dyDescent="0.3">
      <c r="A1" s="87" t="s">
        <v>33</v>
      </c>
      <c r="B1" s="84" t="s">
        <v>34</v>
      </c>
      <c r="C1" s="100" t="s">
        <v>35</v>
      </c>
      <c r="D1" s="100" t="s">
        <v>36</v>
      </c>
      <c r="E1" s="100" t="s">
        <v>37</v>
      </c>
      <c r="F1" s="87" t="s">
        <v>38</v>
      </c>
      <c r="G1" t="s">
        <v>39</v>
      </c>
      <c r="H1" t="s">
        <v>40</v>
      </c>
      <c r="I1" t="s">
        <v>41</v>
      </c>
      <c r="J1" s="87" t="s">
        <v>42</v>
      </c>
      <c r="K1" s="87" t="s">
        <v>43</v>
      </c>
      <c r="L1" t="s">
        <v>44</v>
      </c>
    </row>
    <row r="2" spans="1:12" x14ac:dyDescent="0.3">
      <c r="B2" s="84">
        <v>46220</v>
      </c>
      <c r="C2" s="100">
        <v>0.79166666666666663</v>
      </c>
      <c r="D2" s="100">
        <f t="shared" ref="D2:D33" si="0">IF(I2 = "KM",C2+"1:45",IF(I2="U23",C2+"1:45",IF(I2 = "U16",C2+"1:45",IF(I2 = "U15",C2+"1:30",IF(I2 = "U14",C2+"1:30",IF(I2 = "U13",C2+"1:35",IF(I2 = "U12",C2+"1:10",IF(I2 = "U11",C2+"1:10",IF(I2 = "U10",C2+"1:03",C2+"3:00")))))))))</f>
        <v>0.86458333333333326</v>
      </c>
      <c r="E2" s="100" t="s">
        <v>150</v>
      </c>
      <c r="G2" t="s">
        <v>10</v>
      </c>
      <c r="H2" t="s">
        <v>9</v>
      </c>
      <c r="I2" t="s">
        <v>8</v>
      </c>
      <c r="J2" s="87" t="s">
        <v>45</v>
      </c>
      <c r="K2" t="s">
        <v>46</v>
      </c>
      <c r="L2" t="s">
        <v>47</v>
      </c>
    </row>
    <row r="3" spans="1:12" x14ac:dyDescent="0.3">
      <c r="B3" s="84">
        <v>46241</v>
      </c>
      <c r="C3" s="100">
        <v>0.79166666666666663</v>
      </c>
      <c r="D3" s="100">
        <f t="shared" si="0"/>
        <v>0.86458333333333326</v>
      </c>
      <c r="E3" s="100" t="s">
        <v>151</v>
      </c>
      <c r="G3" t="s">
        <v>13</v>
      </c>
      <c r="H3" t="s">
        <v>12</v>
      </c>
      <c r="I3" t="s">
        <v>8</v>
      </c>
      <c r="J3" s="87" t="s">
        <v>45</v>
      </c>
      <c r="K3" t="s">
        <v>46</v>
      </c>
      <c r="L3" t="s">
        <v>47</v>
      </c>
    </row>
    <row r="4" spans="1:12" x14ac:dyDescent="0.3">
      <c r="B4" s="84">
        <v>46199</v>
      </c>
      <c r="C4" s="100">
        <v>0.75</v>
      </c>
      <c r="D4" s="100">
        <f t="shared" si="0"/>
        <v>0.82291666666666663</v>
      </c>
      <c r="E4" s="100" t="s">
        <v>119</v>
      </c>
      <c r="G4" t="s">
        <v>13</v>
      </c>
      <c r="H4" t="s">
        <v>16</v>
      </c>
      <c r="I4" t="s">
        <v>14</v>
      </c>
      <c r="J4" s="87" t="s">
        <v>45</v>
      </c>
      <c r="K4" t="s">
        <v>46</v>
      </c>
      <c r="L4" t="s">
        <v>47</v>
      </c>
    </row>
    <row r="5" spans="1:12" x14ac:dyDescent="0.3">
      <c r="B5" s="84">
        <v>46199</v>
      </c>
      <c r="C5" s="100">
        <v>0.66666666666666663</v>
      </c>
      <c r="D5" s="100">
        <f t="shared" si="0"/>
        <v>0.72916666666666663</v>
      </c>
      <c r="E5" s="100" t="s">
        <v>119</v>
      </c>
      <c r="G5" t="s">
        <v>13</v>
      </c>
      <c r="H5" s="99" t="s">
        <v>16</v>
      </c>
      <c r="I5" t="s">
        <v>17</v>
      </c>
      <c r="J5" s="87" t="s">
        <v>45</v>
      </c>
      <c r="K5" t="s">
        <v>46</v>
      </c>
      <c r="L5" t="s">
        <v>47</v>
      </c>
    </row>
    <row r="6" spans="1:12" x14ac:dyDescent="0.3">
      <c r="B6" s="84">
        <v>36526</v>
      </c>
      <c r="C6" s="100">
        <v>0</v>
      </c>
      <c r="D6" s="100">
        <v>7.2916666666666671E-2</v>
      </c>
      <c r="G6"/>
      <c r="H6"/>
      <c r="I6" t="str">
        <f>'Nach Mannschaften sortiert'!C6</f>
        <v>KM</v>
      </c>
      <c r="J6" s="87" t="s">
        <v>153</v>
      </c>
      <c r="K6" t="s">
        <v>48</v>
      </c>
      <c r="L6" t="s">
        <v>47</v>
      </c>
    </row>
    <row r="7" spans="1:12" x14ac:dyDescent="0.3">
      <c r="B7" s="84">
        <v>36527</v>
      </c>
      <c r="C7" s="100">
        <v>0</v>
      </c>
      <c r="D7" s="100">
        <v>7.2916666666666671E-2</v>
      </c>
      <c r="G7"/>
      <c r="H7"/>
      <c r="I7" t="str">
        <f>'Nach Mannschaften sortiert'!C7</f>
        <v>KM</v>
      </c>
      <c r="J7" s="87" t="s">
        <v>153</v>
      </c>
      <c r="K7" t="s">
        <v>48</v>
      </c>
      <c r="L7" t="s">
        <v>47</v>
      </c>
    </row>
    <row r="8" spans="1:12" x14ac:dyDescent="0.3">
      <c r="B8" s="84">
        <v>36528</v>
      </c>
      <c r="C8" s="100">
        <v>0</v>
      </c>
      <c r="D8" s="100">
        <v>7.2916666666666671E-2</v>
      </c>
      <c r="G8"/>
      <c r="H8"/>
      <c r="I8" t="str">
        <f>'Nach Mannschaften sortiert'!C8</f>
        <v>KM</v>
      </c>
      <c r="J8" s="87" t="s">
        <v>153</v>
      </c>
      <c r="K8" t="s">
        <v>48</v>
      </c>
      <c r="L8" t="s">
        <v>47</v>
      </c>
    </row>
    <row r="9" spans="1:12" x14ac:dyDescent="0.3">
      <c r="B9" s="84">
        <v>36529</v>
      </c>
      <c r="C9" s="100">
        <v>0</v>
      </c>
      <c r="D9" s="100">
        <v>7.2916666666666671E-2</v>
      </c>
      <c r="G9"/>
      <c r="H9"/>
      <c r="I9" t="str">
        <f>'Nach Mannschaften sortiert'!C9</f>
        <v>KM</v>
      </c>
      <c r="J9" s="87" t="s">
        <v>153</v>
      </c>
      <c r="K9" t="s">
        <v>48</v>
      </c>
      <c r="L9" t="s">
        <v>47</v>
      </c>
    </row>
    <row r="10" spans="1:12" x14ac:dyDescent="0.3">
      <c r="B10" s="84">
        <v>36530</v>
      </c>
      <c r="C10" s="100">
        <v>0</v>
      </c>
      <c r="D10" s="100">
        <v>7.2916666666666671E-2</v>
      </c>
      <c r="G10"/>
      <c r="H10"/>
      <c r="I10" t="str">
        <f>'Nach Mannschaften sortiert'!C10</f>
        <v>KM</v>
      </c>
      <c r="J10" s="87" t="s">
        <v>153</v>
      </c>
      <c r="K10" t="s">
        <v>48</v>
      </c>
      <c r="L10" t="s">
        <v>47</v>
      </c>
    </row>
    <row r="11" spans="1:12" x14ac:dyDescent="0.3">
      <c r="B11" s="84">
        <v>36531</v>
      </c>
      <c r="C11" s="100">
        <v>0</v>
      </c>
      <c r="D11" s="100">
        <v>7.2916666666666671E-2</v>
      </c>
      <c r="G11"/>
      <c r="H11"/>
      <c r="I11" t="str">
        <f>'Nach Mannschaften sortiert'!C11</f>
        <v>KM</v>
      </c>
      <c r="J11" s="87" t="s">
        <v>153</v>
      </c>
      <c r="K11" t="s">
        <v>48</v>
      </c>
      <c r="L11" t="s">
        <v>47</v>
      </c>
    </row>
    <row r="12" spans="1:12" x14ac:dyDescent="0.3">
      <c r="B12" s="84">
        <v>36532</v>
      </c>
      <c r="C12" s="100">
        <v>0</v>
      </c>
      <c r="D12" s="100">
        <v>7.2916666666666671E-2</v>
      </c>
      <c r="G12"/>
      <c r="H12"/>
      <c r="I12" t="str">
        <f>'Nach Mannschaften sortiert'!C12</f>
        <v>KM</v>
      </c>
      <c r="J12" s="87" t="s">
        <v>153</v>
      </c>
      <c r="K12" t="s">
        <v>48</v>
      </c>
      <c r="L12" t="s">
        <v>47</v>
      </c>
    </row>
    <row r="13" spans="1:12" x14ac:dyDescent="0.3">
      <c r="B13" s="84">
        <v>36533</v>
      </c>
      <c r="C13" s="100">
        <v>0</v>
      </c>
      <c r="D13" s="100">
        <v>7.2916666666666671E-2</v>
      </c>
      <c r="G13"/>
      <c r="H13"/>
      <c r="I13" t="str">
        <f>'Nach Mannschaften sortiert'!C13</f>
        <v>KM</v>
      </c>
      <c r="J13" s="87" t="s">
        <v>153</v>
      </c>
      <c r="K13" t="s">
        <v>48</v>
      </c>
      <c r="L13" t="s">
        <v>47</v>
      </c>
    </row>
    <row r="14" spans="1:12" x14ac:dyDescent="0.3">
      <c r="B14" s="84">
        <v>36534</v>
      </c>
      <c r="C14" s="100">
        <v>0</v>
      </c>
      <c r="D14" s="100">
        <v>7.2916666666666671E-2</v>
      </c>
      <c r="G14"/>
      <c r="H14"/>
      <c r="I14" t="str">
        <f>'Nach Mannschaften sortiert'!C14</f>
        <v>KM</v>
      </c>
      <c r="J14" s="87" t="s">
        <v>153</v>
      </c>
      <c r="K14" t="s">
        <v>48</v>
      </c>
      <c r="L14" t="s">
        <v>47</v>
      </c>
    </row>
    <row r="15" spans="1:12" x14ac:dyDescent="0.3">
      <c r="B15" s="84">
        <v>36535</v>
      </c>
      <c r="C15" s="100">
        <v>0</v>
      </c>
      <c r="D15" s="100">
        <v>7.2916666666666671E-2</v>
      </c>
      <c r="G15"/>
      <c r="H15"/>
      <c r="I15" t="str">
        <f>'Nach Mannschaften sortiert'!C15</f>
        <v>KM</v>
      </c>
      <c r="J15" s="87" t="s">
        <v>153</v>
      </c>
      <c r="K15" t="s">
        <v>48</v>
      </c>
      <c r="L15" t="s">
        <v>47</v>
      </c>
    </row>
    <row r="16" spans="1:12" x14ac:dyDescent="0.3">
      <c r="B16" s="84">
        <v>36536</v>
      </c>
      <c r="C16" s="100">
        <v>0</v>
      </c>
      <c r="D16" s="100">
        <v>7.2916666666666671E-2</v>
      </c>
      <c r="G16"/>
      <c r="H16"/>
      <c r="I16" t="str">
        <f>'Nach Mannschaften sortiert'!C16</f>
        <v>KM</v>
      </c>
      <c r="J16" s="87" t="s">
        <v>153</v>
      </c>
      <c r="K16" t="s">
        <v>48</v>
      </c>
      <c r="L16" t="s">
        <v>47</v>
      </c>
    </row>
    <row r="17" spans="2:12" x14ac:dyDescent="0.3">
      <c r="B17" s="84">
        <v>36537</v>
      </c>
      <c r="C17" s="100">
        <v>0</v>
      </c>
      <c r="D17" s="100">
        <v>7.2916666666666671E-2</v>
      </c>
      <c r="G17"/>
      <c r="H17"/>
      <c r="I17" t="str">
        <f>'Nach Mannschaften sortiert'!C17</f>
        <v>KM</v>
      </c>
      <c r="J17" s="87" t="s">
        <v>153</v>
      </c>
      <c r="K17" t="s">
        <v>48</v>
      </c>
      <c r="L17" t="s">
        <v>47</v>
      </c>
    </row>
    <row r="18" spans="2:12" x14ac:dyDescent="0.3">
      <c r="B18" s="84">
        <v>36538</v>
      </c>
      <c r="C18" s="100">
        <v>0</v>
      </c>
      <c r="D18" s="100">
        <v>7.2916666666666671E-2</v>
      </c>
      <c r="G18"/>
      <c r="H18"/>
      <c r="I18" t="str">
        <f>'Nach Mannschaften sortiert'!C18</f>
        <v>KM</v>
      </c>
      <c r="J18" s="87" t="s">
        <v>153</v>
      </c>
      <c r="K18" t="s">
        <v>48</v>
      </c>
      <c r="L18" t="s">
        <v>47</v>
      </c>
    </row>
    <row r="19" spans="2:12" x14ac:dyDescent="0.3">
      <c r="B19" s="84">
        <v>36539</v>
      </c>
      <c r="C19" s="100">
        <v>0</v>
      </c>
      <c r="D19" s="100">
        <v>7.2916666666666671E-2</v>
      </c>
      <c r="G19"/>
      <c r="H19"/>
      <c r="I19" t="str">
        <f>'Nach Mannschaften sortiert'!C19</f>
        <v>U23</v>
      </c>
      <c r="J19" s="87" t="s">
        <v>153</v>
      </c>
      <c r="K19" t="s">
        <v>48</v>
      </c>
      <c r="L19" t="s">
        <v>47</v>
      </c>
    </row>
    <row r="20" spans="2:12" x14ac:dyDescent="0.3">
      <c r="B20" s="84">
        <v>36540</v>
      </c>
      <c r="C20" s="100">
        <v>0</v>
      </c>
      <c r="D20" s="100">
        <v>7.2916666666666671E-2</v>
      </c>
      <c r="G20"/>
      <c r="H20"/>
      <c r="I20" t="str">
        <f>'Nach Mannschaften sortiert'!C20</f>
        <v>U23</v>
      </c>
      <c r="J20" s="87" t="s">
        <v>153</v>
      </c>
      <c r="K20" t="s">
        <v>48</v>
      </c>
      <c r="L20" t="s">
        <v>47</v>
      </c>
    </row>
    <row r="21" spans="2:12" x14ac:dyDescent="0.3">
      <c r="B21" s="84">
        <v>36541</v>
      </c>
      <c r="C21" s="100">
        <v>0</v>
      </c>
      <c r="D21" s="100">
        <v>7.2916666666666671E-2</v>
      </c>
      <c r="G21"/>
      <c r="H21"/>
      <c r="I21" t="str">
        <f>'Nach Mannschaften sortiert'!C21</f>
        <v>U23</v>
      </c>
      <c r="J21" s="87" t="s">
        <v>153</v>
      </c>
      <c r="K21" t="s">
        <v>48</v>
      </c>
      <c r="L21" t="s">
        <v>47</v>
      </c>
    </row>
    <row r="22" spans="2:12" x14ac:dyDescent="0.3">
      <c r="B22" s="84">
        <v>36542</v>
      </c>
      <c r="C22" s="100">
        <v>0</v>
      </c>
      <c r="D22" s="100">
        <v>7.2916666666666671E-2</v>
      </c>
      <c r="G22"/>
      <c r="H22"/>
      <c r="I22" t="str">
        <f>'Nach Mannschaften sortiert'!C22</f>
        <v>U23</v>
      </c>
      <c r="J22" s="87" t="s">
        <v>153</v>
      </c>
      <c r="K22" t="s">
        <v>48</v>
      </c>
      <c r="L22" t="s">
        <v>47</v>
      </c>
    </row>
    <row r="23" spans="2:12" x14ac:dyDescent="0.3">
      <c r="B23" s="84">
        <v>36543</v>
      </c>
      <c r="C23" s="100">
        <v>0</v>
      </c>
      <c r="D23" s="100">
        <v>7.2916666666666671E-2</v>
      </c>
      <c r="G23"/>
      <c r="H23"/>
      <c r="I23" t="str">
        <f>'Nach Mannschaften sortiert'!C23</f>
        <v>U23</v>
      </c>
      <c r="J23" s="87" t="s">
        <v>153</v>
      </c>
      <c r="K23" t="s">
        <v>48</v>
      </c>
      <c r="L23" t="s">
        <v>47</v>
      </c>
    </row>
    <row r="24" spans="2:12" x14ac:dyDescent="0.3">
      <c r="B24" s="84">
        <v>36544</v>
      </c>
      <c r="C24" s="100">
        <v>0</v>
      </c>
      <c r="D24" s="100">
        <v>7.2916666666666671E-2</v>
      </c>
      <c r="G24"/>
      <c r="H24"/>
      <c r="I24" t="str">
        <f>'Nach Mannschaften sortiert'!C24</f>
        <v>U23</v>
      </c>
      <c r="J24" s="87" t="s">
        <v>153</v>
      </c>
      <c r="K24" t="s">
        <v>48</v>
      </c>
      <c r="L24" t="s">
        <v>47</v>
      </c>
    </row>
    <row r="25" spans="2:12" x14ac:dyDescent="0.3">
      <c r="B25" s="84">
        <v>36545</v>
      </c>
      <c r="C25" s="100">
        <v>0</v>
      </c>
      <c r="D25" s="100">
        <v>7.2916666666666671E-2</v>
      </c>
      <c r="G25"/>
      <c r="H25"/>
      <c r="I25" t="str">
        <f>'Nach Mannschaften sortiert'!C25</f>
        <v>U23</v>
      </c>
      <c r="J25" s="87" t="s">
        <v>153</v>
      </c>
      <c r="K25" t="s">
        <v>48</v>
      </c>
      <c r="L25" t="s">
        <v>47</v>
      </c>
    </row>
    <row r="26" spans="2:12" x14ac:dyDescent="0.3">
      <c r="B26" s="84">
        <v>36546</v>
      </c>
      <c r="C26" s="100">
        <v>0</v>
      </c>
      <c r="D26" s="100">
        <v>7.2916666666666671E-2</v>
      </c>
      <c r="G26"/>
      <c r="H26"/>
      <c r="I26" t="str">
        <f>'Nach Mannschaften sortiert'!C26</f>
        <v>U23</v>
      </c>
      <c r="J26" s="87" t="s">
        <v>153</v>
      </c>
      <c r="K26" t="s">
        <v>48</v>
      </c>
      <c r="L26" t="s">
        <v>47</v>
      </c>
    </row>
    <row r="27" spans="2:12" x14ac:dyDescent="0.3">
      <c r="B27" s="84">
        <v>36547</v>
      </c>
      <c r="C27" s="100">
        <v>0</v>
      </c>
      <c r="D27" s="100">
        <v>7.2916666666666671E-2</v>
      </c>
      <c r="G27"/>
      <c r="H27"/>
      <c r="I27" t="str">
        <f>'Nach Mannschaften sortiert'!C27</f>
        <v>U23</v>
      </c>
      <c r="J27" s="87" t="s">
        <v>153</v>
      </c>
      <c r="K27" t="s">
        <v>48</v>
      </c>
      <c r="L27" t="s">
        <v>47</v>
      </c>
    </row>
    <row r="28" spans="2:12" x14ac:dyDescent="0.3">
      <c r="B28" s="84">
        <v>36548</v>
      </c>
      <c r="C28" s="100">
        <v>0</v>
      </c>
      <c r="D28" s="100">
        <v>7.2916666666666671E-2</v>
      </c>
      <c r="G28"/>
      <c r="H28"/>
      <c r="I28" t="str">
        <f>'Nach Mannschaften sortiert'!C28</f>
        <v>U23</v>
      </c>
      <c r="J28" s="87" t="s">
        <v>153</v>
      </c>
      <c r="K28" t="s">
        <v>48</v>
      </c>
      <c r="L28" t="s">
        <v>47</v>
      </c>
    </row>
    <row r="29" spans="2:12" x14ac:dyDescent="0.3">
      <c r="B29" s="84">
        <v>36549</v>
      </c>
      <c r="C29" s="100">
        <v>0</v>
      </c>
      <c r="D29" s="100">
        <v>7.2916666666666671E-2</v>
      </c>
      <c r="G29"/>
      <c r="H29"/>
      <c r="I29" t="str">
        <f>'Nach Mannschaften sortiert'!C29</f>
        <v>U23</v>
      </c>
      <c r="J29" s="87" t="s">
        <v>153</v>
      </c>
      <c r="K29" t="s">
        <v>48</v>
      </c>
      <c r="L29" t="s">
        <v>47</v>
      </c>
    </row>
    <row r="30" spans="2:12" x14ac:dyDescent="0.3">
      <c r="B30" s="84">
        <v>36550</v>
      </c>
      <c r="C30" s="100">
        <v>0</v>
      </c>
      <c r="D30" s="100">
        <v>7.2916666666666671E-2</v>
      </c>
      <c r="G30"/>
      <c r="H30"/>
      <c r="I30" t="str">
        <f>'Nach Mannschaften sortiert'!C30</f>
        <v>U23</v>
      </c>
      <c r="J30" s="87" t="s">
        <v>153</v>
      </c>
      <c r="K30" t="s">
        <v>48</v>
      </c>
      <c r="L30" t="s">
        <v>47</v>
      </c>
    </row>
    <row r="31" spans="2:12" x14ac:dyDescent="0.3">
      <c r="B31" s="84">
        <v>36551</v>
      </c>
      <c r="C31" s="100">
        <v>0</v>
      </c>
      <c r="D31" s="100">
        <v>7.2916666666666671E-2</v>
      </c>
      <c r="G31"/>
      <c r="H31"/>
      <c r="I31" t="str">
        <f>'Nach Mannschaften sortiert'!C31</f>
        <v>U23</v>
      </c>
      <c r="J31" s="87" t="s">
        <v>153</v>
      </c>
      <c r="K31" t="s">
        <v>48</v>
      </c>
      <c r="L31" t="s">
        <v>47</v>
      </c>
    </row>
    <row r="32" spans="2:12" x14ac:dyDescent="0.3">
      <c r="B32" s="84">
        <v>36552</v>
      </c>
      <c r="C32" s="100">
        <v>0</v>
      </c>
      <c r="D32" s="100">
        <v>7.2916666666666671E-2</v>
      </c>
      <c r="G32"/>
      <c r="H32"/>
      <c r="I32" t="str">
        <f>'Nach Mannschaften sortiert'!C32</f>
        <v>U16</v>
      </c>
      <c r="J32" s="87" t="s">
        <v>153</v>
      </c>
      <c r="K32" t="s">
        <v>48</v>
      </c>
      <c r="L32" t="s">
        <v>47</v>
      </c>
    </row>
    <row r="33" spans="2:12" x14ac:dyDescent="0.3">
      <c r="B33" s="84">
        <v>36553</v>
      </c>
      <c r="C33" s="100">
        <v>0</v>
      </c>
      <c r="D33" s="100">
        <v>7.2916666666666671E-2</v>
      </c>
      <c r="G33"/>
      <c r="H33"/>
      <c r="I33" t="str">
        <f>'Nach Mannschaften sortiert'!C33</f>
        <v>U16</v>
      </c>
      <c r="J33" s="87" t="s">
        <v>153</v>
      </c>
      <c r="K33" t="s">
        <v>48</v>
      </c>
      <c r="L33" t="s">
        <v>47</v>
      </c>
    </row>
    <row r="34" spans="2:12" x14ac:dyDescent="0.3">
      <c r="B34" s="84">
        <v>36554</v>
      </c>
      <c r="C34" s="100">
        <v>0</v>
      </c>
      <c r="D34" s="100">
        <v>7.2916666666666671E-2</v>
      </c>
      <c r="G34"/>
      <c r="H34"/>
      <c r="I34" t="str">
        <f>'Nach Mannschaften sortiert'!C34</f>
        <v>U16</v>
      </c>
      <c r="J34" s="87" t="s">
        <v>153</v>
      </c>
      <c r="K34" t="s">
        <v>48</v>
      </c>
      <c r="L34" t="s">
        <v>47</v>
      </c>
    </row>
    <row r="35" spans="2:12" x14ac:dyDescent="0.3">
      <c r="B35" s="84">
        <v>36555</v>
      </c>
      <c r="C35" s="100">
        <v>0</v>
      </c>
      <c r="D35" s="100">
        <v>7.2916666666666671E-2</v>
      </c>
      <c r="G35"/>
      <c r="H35"/>
      <c r="I35" t="str">
        <f>'Nach Mannschaften sortiert'!C35</f>
        <v>U16</v>
      </c>
      <c r="J35" s="87" t="s">
        <v>153</v>
      </c>
      <c r="K35" t="s">
        <v>48</v>
      </c>
      <c r="L35" t="s">
        <v>47</v>
      </c>
    </row>
    <row r="36" spans="2:12" x14ac:dyDescent="0.3">
      <c r="B36" s="84">
        <v>36556</v>
      </c>
      <c r="C36" s="100">
        <v>0</v>
      </c>
      <c r="D36" s="100">
        <v>7.2916666666666671E-2</v>
      </c>
      <c r="G36"/>
      <c r="H36"/>
      <c r="I36" t="str">
        <f>'Nach Mannschaften sortiert'!C36</f>
        <v>U16</v>
      </c>
      <c r="J36" s="87" t="s">
        <v>153</v>
      </c>
      <c r="K36" t="s">
        <v>48</v>
      </c>
      <c r="L36" t="s">
        <v>47</v>
      </c>
    </row>
    <row r="37" spans="2:12" x14ac:dyDescent="0.3">
      <c r="B37" s="84">
        <v>36557</v>
      </c>
      <c r="C37" s="100">
        <v>0</v>
      </c>
      <c r="D37" s="100">
        <v>7.2916666666666671E-2</v>
      </c>
      <c r="G37"/>
      <c r="H37"/>
      <c r="I37" t="str">
        <f>'Nach Mannschaften sortiert'!C37</f>
        <v>U16</v>
      </c>
      <c r="J37" s="87" t="s">
        <v>153</v>
      </c>
      <c r="K37" t="s">
        <v>48</v>
      </c>
      <c r="L37" t="s">
        <v>47</v>
      </c>
    </row>
    <row r="38" spans="2:12" x14ac:dyDescent="0.3">
      <c r="B38" s="84">
        <v>36558</v>
      </c>
      <c r="C38" s="100">
        <v>0</v>
      </c>
      <c r="D38" s="100">
        <v>7.2916666666666671E-2</v>
      </c>
      <c r="G38"/>
      <c r="H38"/>
      <c r="I38" t="str">
        <f>'Nach Mannschaften sortiert'!C38</f>
        <v>U16</v>
      </c>
      <c r="J38" s="87" t="s">
        <v>153</v>
      </c>
      <c r="K38" t="s">
        <v>48</v>
      </c>
      <c r="L38" t="s">
        <v>47</v>
      </c>
    </row>
    <row r="39" spans="2:12" x14ac:dyDescent="0.3">
      <c r="B39" s="84">
        <v>36559</v>
      </c>
      <c r="C39" s="100">
        <v>0</v>
      </c>
      <c r="D39" s="100">
        <v>7.2916666666666671E-2</v>
      </c>
      <c r="G39"/>
      <c r="H39"/>
      <c r="I39" t="str">
        <f>'Nach Mannschaften sortiert'!C39</f>
        <v>U16</v>
      </c>
      <c r="J39" s="87" t="s">
        <v>153</v>
      </c>
      <c r="K39" t="s">
        <v>48</v>
      </c>
      <c r="L39" t="s">
        <v>47</v>
      </c>
    </row>
    <row r="40" spans="2:12" x14ac:dyDescent="0.3">
      <c r="B40" s="84">
        <v>36560</v>
      </c>
      <c r="C40" s="100">
        <v>0</v>
      </c>
      <c r="D40" s="100">
        <v>7.2916666666666671E-2</v>
      </c>
      <c r="G40"/>
      <c r="H40"/>
      <c r="I40" t="str">
        <f>'Nach Mannschaften sortiert'!C40</f>
        <v>U16</v>
      </c>
      <c r="J40" s="87" t="s">
        <v>153</v>
      </c>
      <c r="K40" t="s">
        <v>48</v>
      </c>
      <c r="L40" t="s">
        <v>47</v>
      </c>
    </row>
    <row r="41" spans="2:12" x14ac:dyDescent="0.3">
      <c r="B41" s="84">
        <v>36561</v>
      </c>
      <c r="C41" s="100">
        <v>0</v>
      </c>
      <c r="D41" s="100">
        <v>7.2916666666666671E-2</v>
      </c>
      <c r="G41"/>
      <c r="H41"/>
      <c r="I41" t="str">
        <f>'Nach Mannschaften sortiert'!C41</f>
        <v>U16</v>
      </c>
      <c r="J41" s="87" t="s">
        <v>153</v>
      </c>
      <c r="K41" t="s">
        <v>48</v>
      </c>
      <c r="L41" t="s">
        <v>47</v>
      </c>
    </row>
    <row r="42" spans="2:12" x14ac:dyDescent="0.3">
      <c r="B42" s="84">
        <v>36562</v>
      </c>
      <c r="C42" s="100">
        <v>0</v>
      </c>
      <c r="D42" s="100">
        <v>7.2916666666666671E-2</v>
      </c>
      <c r="G42"/>
      <c r="H42"/>
      <c r="I42" t="str">
        <f>'Nach Mannschaften sortiert'!C42</f>
        <v>U14</v>
      </c>
      <c r="J42" s="87" t="s">
        <v>153</v>
      </c>
      <c r="K42" t="s">
        <v>48</v>
      </c>
      <c r="L42" t="s">
        <v>47</v>
      </c>
    </row>
    <row r="43" spans="2:12" x14ac:dyDescent="0.3">
      <c r="B43" s="84">
        <v>36563</v>
      </c>
      <c r="C43" s="100">
        <v>0</v>
      </c>
      <c r="D43" s="100">
        <v>7.2916666666666671E-2</v>
      </c>
      <c r="G43"/>
      <c r="H43"/>
      <c r="I43" t="str">
        <f>'Nach Mannschaften sortiert'!C43</f>
        <v>U14</v>
      </c>
      <c r="J43" s="87" t="s">
        <v>153</v>
      </c>
      <c r="K43" t="s">
        <v>48</v>
      </c>
      <c r="L43" t="s">
        <v>47</v>
      </c>
    </row>
    <row r="44" spans="2:12" x14ac:dyDescent="0.3">
      <c r="B44" s="84">
        <v>36564</v>
      </c>
      <c r="C44" s="100">
        <v>0</v>
      </c>
      <c r="D44" s="100">
        <v>7.2916666666666671E-2</v>
      </c>
      <c r="G44"/>
      <c r="H44"/>
      <c r="I44" t="str">
        <f>'Nach Mannschaften sortiert'!C44</f>
        <v>U14</v>
      </c>
      <c r="J44" s="87" t="s">
        <v>153</v>
      </c>
      <c r="K44" t="s">
        <v>48</v>
      </c>
      <c r="L44" t="s">
        <v>47</v>
      </c>
    </row>
    <row r="45" spans="2:12" x14ac:dyDescent="0.3">
      <c r="B45" s="84">
        <v>36565</v>
      </c>
      <c r="C45" s="100">
        <v>0</v>
      </c>
      <c r="D45" s="100">
        <v>7.2916666666666671E-2</v>
      </c>
      <c r="G45"/>
      <c r="H45"/>
      <c r="I45" t="str">
        <f>'Nach Mannschaften sortiert'!C45</f>
        <v>U14</v>
      </c>
      <c r="J45" s="87" t="s">
        <v>153</v>
      </c>
      <c r="K45" t="s">
        <v>48</v>
      </c>
      <c r="L45" t="s">
        <v>47</v>
      </c>
    </row>
    <row r="46" spans="2:12" x14ac:dyDescent="0.3">
      <c r="B46" s="84">
        <v>36566</v>
      </c>
      <c r="C46" s="100">
        <v>0</v>
      </c>
      <c r="D46" s="100">
        <v>7.2916666666666671E-2</v>
      </c>
      <c r="G46"/>
      <c r="H46"/>
      <c r="I46" t="str">
        <f>'Nach Mannschaften sortiert'!C46</f>
        <v>U14</v>
      </c>
      <c r="J46" s="87" t="s">
        <v>153</v>
      </c>
      <c r="K46" t="s">
        <v>48</v>
      </c>
      <c r="L46" t="s">
        <v>47</v>
      </c>
    </row>
    <row r="47" spans="2:12" x14ac:dyDescent="0.3">
      <c r="B47" s="84">
        <v>36567</v>
      </c>
      <c r="C47" s="100">
        <v>0</v>
      </c>
      <c r="D47" s="100">
        <v>7.2916666666666671E-2</v>
      </c>
      <c r="G47"/>
      <c r="H47"/>
      <c r="I47" t="str">
        <f>'Nach Mannschaften sortiert'!C47</f>
        <v>U14</v>
      </c>
      <c r="J47" s="87" t="s">
        <v>153</v>
      </c>
      <c r="K47" t="s">
        <v>48</v>
      </c>
      <c r="L47" t="s">
        <v>47</v>
      </c>
    </row>
    <row r="48" spans="2:12" x14ac:dyDescent="0.3">
      <c r="B48" s="84">
        <v>36568</v>
      </c>
      <c r="C48" s="100">
        <v>0</v>
      </c>
      <c r="D48" s="100">
        <v>7.2916666666666671E-2</v>
      </c>
      <c r="G48"/>
      <c r="H48"/>
      <c r="I48" t="str">
        <f>'Nach Mannschaften sortiert'!C48</f>
        <v>U14</v>
      </c>
      <c r="J48" s="87" t="s">
        <v>153</v>
      </c>
      <c r="K48" t="s">
        <v>48</v>
      </c>
      <c r="L48" t="s">
        <v>47</v>
      </c>
    </row>
    <row r="49" spans="2:12" x14ac:dyDescent="0.3">
      <c r="B49" s="84">
        <v>36569</v>
      </c>
      <c r="C49" s="100">
        <v>0</v>
      </c>
      <c r="D49" s="100">
        <v>7.2916666666666671E-2</v>
      </c>
      <c r="G49"/>
      <c r="H49"/>
      <c r="I49" t="str">
        <f>'Nach Mannschaften sortiert'!C49</f>
        <v>U14</v>
      </c>
      <c r="J49" s="87" t="s">
        <v>153</v>
      </c>
      <c r="K49" t="s">
        <v>48</v>
      </c>
      <c r="L49" t="s">
        <v>47</v>
      </c>
    </row>
    <row r="50" spans="2:12" x14ac:dyDescent="0.3">
      <c r="B50" s="84">
        <v>36570</v>
      </c>
      <c r="C50" s="100">
        <v>0</v>
      </c>
      <c r="D50" s="100">
        <v>7.2916666666666671E-2</v>
      </c>
      <c r="G50"/>
      <c r="H50"/>
      <c r="I50" t="str">
        <f>'Nach Mannschaften sortiert'!C50</f>
        <v>U13</v>
      </c>
      <c r="J50" s="87" t="s">
        <v>153</v>
      </c>
      <c r="K50" t="s">
        <v>48</v>
      </c>
      <c r="L50" t="s">
        <v>47</v>
      </c>
    </row>
    <row r="51" spans="2:12" x14ac:dyDescent="0.3">
      <c r="B51" s="84">
        <v>36571</v>
      </c>
      <c r="C51" s="100">
        <v>0</v>
      </c>
      <c r="D51" s="100">
        <v>7.2916666666666671E-2</v>
      </c>
      <c r="G51"/>
      <c r="H51"/>
      <c r="I51" t="str">
        <f>'Nach Mannschaften sortiert'!C51</f>
        <v>U13</v>
      </c>
      <c r="J51" s="87" t="s">
        <v>153</v>
      </c>
      <c r="K51" t="s">
        <v>48</v>
      </c>
      <c r="L51" t="s">
        <v>47</v>
      </c>
    </row>
    <row r="52" spans="2:12" x14ac:dyDescent="0.3">
      <c r="B52" s="84">
        <v>36572</v>
      </c>
      <c r="C52" s="100">
        <v>0</v>
      </c>
      <c r="D52" s="100">
        <v>7.2916666666666671E-2</v>
      </c>
      <c r="G52"/>
      <c r="H52"/>
      <c r="I52" t="str">
        <f>'Nach Mannschaften sortiert'!C52</f>
        <v>U13</v>
      </c>
      <c r="J52" s="87" t="s">
        <v>153</v>
      </c>
      <c r="K52" t="s">
        <v>48</v>
      </c>
      <c r="L52" t="s">
        <v>47</v>
      </c>
    </row>
    <row r="53" spans="2:12" x14ac:dyDescent="0.3">
      <c r="B53" s="84">
        <v>36573</v>
      </c>
      <c r="C53" s="100">
        <v>0</v>
      </c>
      <c r="D53" s="100">
        <v>7.2916666666666671E-2</v>
      </c>
      <c r="G53"/>
      <c r="H53"/>
      <c r="I53" t="str">
        <f>'Nach Mannschaften sortiert'!C53</f>
        <v>U13</v>
      </c>
      <c r="J53" s="87" t="s">
        <v>153</v>
      </c>
      <c r="K53" t="s">
        <v>48</v>
      </c>
      <c r="L53" t="s">
        <v>47</v>
      </c>
    </row>
    <row r="54" spans="2:12" x14ac:dyDescent="0.3">
      <c r="B54" s="84">
        <v>36574</v>
      </c>
      <c r="C54" s="100">
        <v>0</v>
      </c>
      <c r="D54" s="100">
        <v>7.2916666666666671E-2</v>
      </c>
      <c r="G54"/>
      <c r="H54"/>
      <c r="I54" t="str">
        <f>'Nach Mannschaften sortiert'!C54</f>
        <v>U13</v>
      </c>
      <c r="J54" s="87" t="s">
        <v>153</v>
      </c>
      <c r="K54" t="s">
        <v>48</v>
      </c>
      <c r="L54" t="s">
        <v>47</v>
      </c>
    </row>
    <row r="55" spans="2:12" x14ac:dyDescent="0.3">
      <c r="B55" s="84">
        <v>36575</v>
      </c>
      <c r="C55" s="100">
        <v>0</v>
      </c>
      <c r="D55" s="100">
        <v>7.2916666666666671E-2</v>
      </c>
      <c r="G55"/>
      <c r="H55"/>
      <c r="I55" t="str">
        <f>'Nach Mannschaften sortiert'!C55</f>
        <v>U13</v>
      </c>
      <c r="J55" s="87" t="s">
        <v>153</v>
      </c>
      <c r="K55" t="s">
        <v>48</v>
      </c>
      <c r="L55" t="s">
        <v>47</v>
      </c>
    </row>
    <row r="56" spans="2:12" x14ac:dyDescent="0.3">
      <c r="B56" s="84">
        <v>36576</v>
      </c>
      <c r="C56" s="100">
        <v>0</v>
      </c>
      <c r="D56" s="100">
        <v>7.2916666666666671E-2</v>
      </c>
      <c r="G56"/>
      <c r="H56"/>
      <c r="I56" t="str">
        <f>'Nach Mannschaften sortiert'!C56</f>
        <v>U13</v>
      </c>
      <c r="J56" s="87" t="s">
        <v>153</v>
      </c>
      <c r="K56" t="s">
        <v>48</v>
      </c>
      <c r="L56" t="s">
        <v>47</v>
      </c>
    </row>
    <row r="57" spans="2:12" x14ac:dyDescent="0.3">
      <c r="B57" s="84">
        <v>36577</v>
      </c>
      <c r="C57" s="100">
        <v>0</v>
      </c>
      <c r="D57" s="100">
        <v>7.2916666666666671E-2</v>
      </c>
      <c r="G57"/>
      <c r="H57"/>
      <c r="I57" t="str">
        <f>'Nach Mannschaften sortiert'!C57</f>
        <v>U13</v>
      </c>
      <c r="J57" s="87" t="s">
        <v>153</v>
      </c>
      <c r="K57" t="s">
        <v>48</v>
      </c>
      <c r="L57" t="s">
        <v>47</v>
      </c>
    </row>
    <row r="58" spans="2:12" x14ac:dyDescent="0.3">
      <c r="B58" s="84">
        <v>36578</v>
      </c>
      <c r="C58" s="100">
        <v>0</v>
      </c>
      <c r="D58" s="100">
        <v>7.2916666666666671E-2</v>
      </c>
      <c r="G58"/>
      <c r="H58"/>
      <c r="I58" t="str">
        <f>'Nach Mannschaften sortiert'!C58</f>
        <v>U12_1</v>
      </c>
      <c r="J58" s="87" t="s">
        <v>153</v>
      </c>
      <c r="K58" t="s">
        <v>48</v>
      </c>
      <c r="L58" t="s">
        <v>47</v>
      </c>
    </row>
    <row r="59" spans="2:12" x14ac:dyDescent="0.3">
      <c r="B59" s="84">
        <v>36579</v>
      </c>
      <c r="C59" s="100">
        <v>0</v>
      </c>
      <c r="D59" s="100">
        <v>7.2916666666666671E-2</v>
      </c>
      <c r="G59"/>
      <c r="H59"/>
      <c r="I59" t="str">
        <f>'Nach Mannschaften sortiert'!C59</f>
        <v>U12_1</v>
      </c>
      <c r="J59" s="87" t="s">
        <v>153</v>
      </c>
      <c r="K59" t="s">
        <v>48</v>
      </c>
      <c r="L59" t="s">
        <v>47</v>
      </c>
    </row>
    <row r="60" spans="2:12" x14ac:dyDescent="0.3">
      <c r="B60" s="84">
        <v>36580</v>
      </c>
      <c r="C60" s="100">
        <v>0</v>
      </c>
      <c r="D60" s="100">
        <v>7.2916666666666671E-2</v>
      </c>
      <c r="G60"/>
      <c r="H60"/>
      <c r="I60" t="str">
        <f>'Nach Mannschaften sortiert'!C60</f>
        <v>U12_1</v>
      </c>
      <c r="J60" s="87" t="s">
        <v>153</v>
      </c>
      <c r="K60" t="s">
        <v>48</v>
      </c>
      <c r="L60" t="s">
        <v>47</v>
      </c>
    </row>
    <row r="61" spans="2:12" x14ac:dyDescent="0.3">
      <c r="B61" s="84">
        <v>36581</v>
      </c>
      <c r="C61" s="100">
        <v>0</v>
      </c>
      <c r="D61" s="100">
        <v>7.2916666666666671E-2</v>
      </c>
      <c r="G61"/>
      <c r="H61"/>
      <c r="I61" t="str">
        <f>'Nach Mannschaften sortiert'!C61</f>
        <v>U12_1</v>
      </c>
      <c r="J61" s="87" t="s">
        <v>153</v>
      </c>
      <c r="K61" t="s">
        <v>48</v>
      </c>
      <c r="L61" t="s">
        <v>47</v>
      </c>
    </row>
    <row r="62" spans="2:12" x14ac:dyDescent="0.3">
      <c r="B62" s="84">
        <v>36582</v>
      </c>
      <c r="C62" s="100">
        <v>0</v>
      </c>
      <c r="D62" s="100">
        <v>7.2916666666666671E-2</v>
      </c>
      <c r="G62"/>
      <c r="H62"/>
      <c r="I62" t="str">
        <f>'Nach Mannschaften sortiert'!C62</f>
        <v>U12_1</v>
      </c>
      <c r="J62" s="87" t="s">
        <v>153</v>
      </c>
      <c r="K62" t="s">
        <v>48</v>
      </c>
      <c r="L62" t="s">
        <v>47</v>
      </c>
    </row>
    <row r="63" spans="2:12" x14ac:dyDescent="0.3">
      <c r="B63" s="84">
        <v>36583</v>
      </c>
      <c r="C63" s="100">
        <v>0</v>
      </c>
      <c r="D63" s="100">
        <v>7.2916666666666671E-2</v>
      </c>
      <c r="G63"/>
      <c r="H63"/>
      <c r="I63" t="str">
        <f>'Nach Mannschaften sortiert'!C63</f>
        <v>U12_1</v>
      </c>
      <c r="J63" s="87" t="s">
        <v>153</v>
      </c>
      <c r="K63" t="s">
        <v>48</v>
      </c>
      <c r="L63" t="s">
        <v>47</v>
      </c>
    </row>
    <row r="64" spans="2:12" x14ac:dyDescent="0.3">
      <c r="B64" s="84">
        <v>36584</v>
      </c>
      <c r="C64" s="100">
        <v>0</v>
      </c>
      <c r="D64" s="100">
        <v>7.2916666666666671E-2</v>
      </c>
      <c r="G64"/>
      <c r="H64"/>
      <c r="I64" t="str">
        <f>'Nach Mannschaften sortiert'!C64</f>
        <v>U12_1</v>
      </c>
      <c r="J64" s="87" t="s">
        <v>153</v>
      </c>
      <c r="K64" t="s">
        <v>48</v>
      </c>
      <c r="L64" t="s">
        <v>47</v>
      </c>
    </row>
    <row r="65" spans="2:12" x14ac:dyDescent="0.3">
      <c r="B65" s="84">
        <v>36585</v>
      </c>
      <c r="C65" s="100">
        <v>0</v>
      </c>
      <c r="D65" s="100">
        <v>7.2916666666666671E-2</v>
      </c>
      <c r="G65"/>
      <c r="H65"/>
      <c r="I65" t="str">
        <f>'Nach Mannschaften sortiert'!C65</f>
        <v>U12_1</v>
      </c>
      <c r="J65" s="87" t="s">
        <v>153</v>
      </c>
      <c r="K65" t="s">
        <v>48</v>
      </c>
      <c r="L65" t="s">
        <v>47</v>
      </c>
    </row>
    <row r="66" spans="2:12" x14ac:dyDescent="0.3">
      <c r="B66" s="84">
        <v>36586</v>
      </c>
      <c r="C66" s="100">
        <v>0</v>
      </c>
      <c r="D66" s="100">
        <v>7.2916666666666671E-2</v>
      </c>
      <c r="G66"/>
      <c r="H66"/>
      <c r="I66" t="str">
        <f>'Nach Mannschaften sortiert'!C66</f>
        <v>U12_2</v>
      </c>
      <c r="J66" s="87" t="s">
        <v>153</v>
      </c>
      <c r="K66" t="s">
        <v>48</v>
      </c>
      <c r="L66" t="s">
        <v>47</v>
      </c>
    </row>
    <row r="67" spans="2:12" x14ac:dyDescent="0.3">
      <c r="B67" s="84">
        <v>36587</v>
      </c>
      <c r="C67" s="100">
        <v>0</v>
      </c>
      <c r="D67" s="100">
        <v>7.2916666666666671E-2</v>
      </c>
      <c r="G67"/>
      <c r="H67"/>
      <c r="I67" t="str">
        <f>'Nach Mannschaften sortiert'!C67</f>
        <v>U12_2</v>
      </c>
      <c r="J67" s="87" t="s">
        <v>153</v>
      </c>
      <c r="K67" t="s">
        <v>48</v>
      </c>
      <c r="L67" t="s">
        <v>47</v>
      </c>
    </row>
    <row r="68" spans="2:12" x14ac:dyDescent="0.3">
      <c r="B68" s="84">
        <v>36588</v>
      </c>
      <c r="C68" s="100">
        <v>0</v>
      </c>
      <c r="D68" s="100">
        <v>7.2916666666666671E-2</v>
      </c>
      <c r="G68"/>
      <c r="H68"/>
      <c r="I68" t="str">
        <f>'Nach Mannschaften sortiert'!C68</f>
        <v>U12_2</v>
      </c>
      <c r="J68" s="87" t="s">
        <v>153</v>
      </c>
      <c r="K68" t="s">
        <v>48</v>
      </c>
      <c r="L68" t="s">
        <v>47</v>
      </c>
    </row>
    <row r="69" spans="2:12" x14ac:dyDescent="0.3">
      <c r="B69" s="84">
        <v>36589</v>
      </c>
      <c r="C69" s="100">
        <v>0</v>
      </c>
      <c r="D69" s="100">
        <v>7.2916666666666671E-2</v>
      </c>
      <c r="G69"/>
      <c r="H69"/>
      <c r="I69" t="str">
        <f>'Nach Mannschaften sortiert'!C69</f>
        <v>U12_2</v>
      </c>
      <c r="J69" s="87" t="s">
        <v>153</v>
      </c>
      <c r="K69" t="s">
        <v>48</v>
      </c>
      <c r="L69" t="s">
        <v>47</v>
      </c>
    </row>
    <row r="70" spans="2:12" x14ac:dyDescent="0.3">
      <c r="B70" s="84">
        <v>36590</v>
      </c>
      <c r="C70" s="100">
        <v>0</v>
      </c>
      <c r="D70" s="100">
        <v>7.2916666666666671E-2</v>
      </c>
      <c r="G70"/>
      <c r="H70"/>
      <c r="I70" t="str">
        <f>'Nach Mannschaften sortiert'!C70</f>
        <v>U12_2</v>
      </c>
      <c r="J70" s="87" t="s">
        <v>153</v>
      </c>
      <c r="K70" t="s">
        <v>48</v>
      </c>
      <c r="L70" t="s">
        <v>47</v>
      </c>
    </row>
    <row r="71" spans="2:12" x14ac:dyDescent="0.3">
      <c r="B71" s="84">
        <v>36591</v>
      </c>
      <c r="C71" s="100">
        <v>0</v>
      </c>
      <c r="D71" s="100">
        <v>7.2916666666666671E-2</v>
      </c>
      <c r="G71"/>
      <c r="H71"/>
      <c r="I71" t="str">
        <f>'Nach Mannschaften sortiert'!C71</f>
        <v>U12_2</v>
      </c>
      <c r="J71" s="87" t="s">
        <v>153</v>
      </c>
      <c r="K71" t="s">
        <v>48</v>
      </c>
      <c r="L71" t="s">
        <v>47</v>
      </c>
    </row>
    <row r="72" spans="2:12" x14ac:dyDescent="0.3">
      <c r="B72" s="84">
        <v>36592</v>
      </c>
      <c r="C72" s="100">
        <v>0</v>
      </c>
      <c r="D72" s="100">
        <v>7.2916666666666671E-2</v>
      </c>
      <c r="G72"/>
      <c r="H72"/>
      <c r="I72" t="str">
        <f>'Nach Mannschaften sortiert'!C72</f>
        <v>U12_2</v>
      </c>
      <c r="J72" s="87" t="s">
        <v>153</v>
      </c>
      <c r="K72" t="s">
        <v>48</v>
      </c>
      <c r="L72" t="s">
        <v>47</v>
      </c>
    </row>
    <row r="73" spans="2:12" x14ac:dyDescent="0.3">
      <c r="B73" s="84">
        <v>36593</v>
      </c>
      <c r="C73" s="100">
        <v>0</v>
      </c>
      <c r="D73" s="100">
        <v>7.2916666666666671E-2</v>
      </c>
      <c r="G73"/>
      <c r="H73"/>
      <c r="I73" t="str">
        <f>'Nach Mannschaften sortiert'!C73</f>
        <v>U12_2</v>
      </c>
      <c r="J73" s="87" t="s">
        <v>153</v>
      </c>
      <c r="K73" t="s">
        <v>48</v>
      </c>
      <c r="L73" t="s">
        <v>47</v>
      </c>
    </row>
    <row r="74" spans="2:12" x14ac:dyDescent="0.3">
      <c r="B74" s="84">
        <v>36594</v>
      </c>
      <c r="C74" s="100">
        <v>0</v>
      </c>
      <c r="D74" s="100">
        <v>7.2916666666666671E-2</v>
      </c>
      <c r="G74"/>
      <c r="H74"/>
      <c r="I74" t="str">
        <f>'Nach Mannschaften sortiert'!C74</f>
        <v>U11</v>
      </c>
      <c r="J74" s="87" t="s">
        <v>153</v>
      </c>
      <c r="K74" t="s">
        <v>48</v>
      </c>
      <c r="L74" t="s">
        <v>47</v>
      </c>
    </row>
    <row r="75" spans="2:12" x14ac:dyDescent="0.3">
      <c r="B75" s="84">
        <v>36595</v>
      </c>
      <c r="C75" s="100">
        <v>0</v>
      </c>
      <c r="D75" s="100">
        <v>7.2916666666666671E-2</v>
      </c>
      <c r="G75"/>
      <c r="H75"/>
      <c r="I75" t="str">
        <f>'Nach Mannschaften sortiert'!C75</f>
        <v>U11</v>
      </c>
      <c r="J75" s="87" t="s">
        <v>153</v>
      </c>
      <c r="K75" t="s">
        <v>48</v>
      </c>
      <c r="L75" t="s">
        <v>47</v>
      </c>
    </row>
    <row r="76" spans="2:12" x14ac:dyDescent="0.3">
      <c r="B76" s="84">
        <v>36596</v>
      </c>
      <c r="C76" s="100">
        <v>0</v>
      </c>
      <c r="D76" s="100">
        <v>7.2916666666666671E-2</v>
      </c>
      <c r="G76"/>
      <c r="H76"/>
      <c r="I76" t="str">
        <f>'Nach Mannschaften sortiert'!C76</f>
        <v>U11</v>
      </c>
      <c r="J76" s="87" t="s">
        <v>153</v>
      </c>
      <c r="K76" t="s">
        <v>48</v>
      </c>
      <c r="L76" t="s">
        <v>47</v>
      </c>
    </row>
    <row r="77" spans="2:12" x14ac:dyDescent="0.3">
      <c r="B77" s="84">
        <v>36597</v>
      </c>
      <c r="C77" s="100">
        <v>0</v>
      </c>
      <c r="D77" s="100">
        <v>7.2916666666666671E-2</v>
      </c>
      <c r="G77"/>
      <c r="H77"/>
      <c r="I77" t="str">
        <f>'Nach Mannschaften sortiert'!C77</f>
        <v>U11</v>
      </c>
      <c r="J77" s="87" t="s">
        <v>153</v>
      </c>
      <c r="K77" t="s">
        <v>48</v>
      </c>
      <c r="L77" t="s">
        <v>47</v>
      </c>
    </row>
    <row r="78" spans="2:12" x14ac:dyDescent="0.3">
      <c r="B78" s="84">
        <v>36598</v>
      </c>
      <c r="C78" s="100">
        <v>0</v>
      </c>
      <c r="D78" s="100">
        <v>7.2916666666666671E-2</v>
      </c>
      <c r="G78"/>
      <c r="H78"/>
      <c r="I78" t="str">
        <f>'Nach Mannschaften sortiert'!C78</f>
        <v>U11</v>
      </c>
      <c r="J78" s="87" t="s">
        <v>153</v>
      </c>
      <c r="K78" t="s">
        <v>48</v>
      </c>
      <c r="L78" t="s">
        <v>47</v>
      </c>
    </row>
    <row r="79" spans="2:12" x14ac:dyDescent="0.3">
      <c r="B79" s="84">
        <v>36599</v>
      </c>
      <c r="C79" s="100">
        <v>0</v>
      </c>
      <c r="D79" s="100">
        <v>7.2916666666666671E-2</v>
      </c>
      <c r="G79"/>
      <c r="H79"/>
      <c r="I79" t="str">
        <f>'Nach Mannschaften sortiert'!C79</f>
        <v>U11</v>
      </c>
      <c r="J79" s="87" t="s">
        <v>153</v>
      </c>
      <c r="K79" t="s">
        <v>48</v>
      </c>
      <c r="L79" t="s">
        <v>47</v>
      </c>
    </row>
    <row r="80" spans="2:12" x14ac:dyDescent="0.3">
      <c r="B80" s="84">
        <v>36600</v>
      </c>
      <c r="C80" s="100">
        <v>0</v>
      </c>
      <c r="D80" s="100">
        <v>7.2916666666666671E-2</v>
      </c>
      <c r="G80"/>
      <c r="H80"/>
      <c r="I80" t="str">
        <f>'Nach Mannschaften sortiert'!C80</f>
        <v>U11</v>
      </c>
      <c r="J80" s="87" t="s">
        <v>153</v>
      </c>
      <c r="K80" t="s">
        <v>48</v>
      </c>
      <c r="L80" t="s">
        <v>47</v>
      </c>
    </row>
    <row r="81" spans="2:12" x14ac:dyDescent="0.3">
      <c r="B81" s="84">
        <v>36601</v>
      </c>
      <c r="C81" s="100">
        <v>0</v>
      </c>
      <c r="D81" s="100">
        <v>7.2916666666666671E-2</v>
      </c>
      <c r="G81"/>
      <c r="H81"/>
      <c r="I81" t="str">
        <f>'Nach Mannschaften sortiert'!C81</f>
        <v>U11</v>
      </c>
      <c r="J81" s="87" t="s">
        <v>153</v>
      </c>
      <c r="K81" t="s">
        <v>48</v>
      </c>
      <c r="L81" t="s">
        <v>47</v>
      </c>
    </row>
    <row r="82" spans="2:12" x14ac:dyDescent="0.3">
      <c r="B82" s="84">
        <v>36602</v>
      </c>
      <c r="C82" s="100">
        <v>0</v>
      </c>
      <c r="D82" s="100">
        <v>7.2916666666666671E-2</v>
      </c>
      <c r="G82"/>
      <c r="H82"/>
      <c r="I82" t="str">
        <f>'Nach Mannschaften sortiert'!C82</f>
        <v>U11</v>
      </c>
      <c r="J82" s="87" t="s">
        <v>153</v>
      </c>
      <c r="K82" t="s">
        <v>48</v>
      </c>
      <c r="L82" t="s">
        <v>47</v>
      </c>
    </row>
    <row r="83" spans="2:12" x14ac:dyDescent="0.3">
      <c r="B83" s="84">
        <v>36603</v>
      </c>
      <c r="C83" s="100">
        <v>0</v>
      </c>
      <c r="D83" s="100">
        <v>7.2916666666666671E-2</v>
      </c>
      <c r="G83"/>
      <c r="H83"/>
      <c r="I83" t="str">
        <f>'Nach Mannschaften sortiert'!C83</f>
        <v>U11</v>
      </c>
      <c r="J83" s="87" t="s">
        <v>153</v>
      </c>
      <c r="K83" t="s">
        <v>48</v>
      </c>
      <c r="L83" t="s">
        <v>47</v>
      </c>
    </row>
    <row r="84" spans="2:12" x14ac:dyDescent="0.3">
      <c r="B84" s="84">
        <v>36604</v>
      </c>
      <c r="C84" s="100">
        <v>0</v>
      </c>
      <c r="D84" s="100">
        <v>7.2916666666666671E-2</v>
      </c>
      <c r="G84"/>
      <c r="H84"/>
      <c r="I84" t="str">
        <f>'Nach Mannschaften sortiert'!C84</f>
        <v>U10</v>
      </c>
      <c r="J84" s="87" t="s">
        <v>153</v>
      </c>
      <c r="K84" t="s">
        <v>48</v>
      </c>
      <c r="L84" t="s">
        <v>47</v>
      </c>
    </row>
    <row r="85" spans="2:12" x14ac:dyDescent="0.3">
      <c r="B85" s="84">
        <v>36605</v>
      </c>
      <c r="C85" s="100">
        <v>0</v>
      </c>
      <c r="D85" s="100">
        <v>7.2916666666666671E-2</v>
      </c>
      <c r="G85"/>
      <c r="H85"/>
      <c r="I85" t="str">
        <f>'Nach Mannschaften sortiert'!C85</f>
        <v>U10</v>
      </c>
      <c r="J85" s="87" t="s">
        <v>153</v>
      </c>
      <c r="K85" t="s">
        <v>48</v>
      </c>
      <c r="L85" t="s">
        <v>47</v>
      </c>
    </row>
    <row r="86" spans="2:12" x14ac:dyDescent="0.3">
      <c r="B86" s="84">
        <v>36606</v>
      </c>
      <c r="C86" s="100">
        <v>0</v>
      </c>
      <c r="D86" s="100">
        <v>7.2916666666666671E-2</v>
      </c>
      <c r="G86"/>
      <c r="H86"/>
      <c r="I86" t="str">
        <f>'Nach Mannschaften sortiert'!C86</f>
        <v>U10</v>
      </c>
      <c r="J86" s="87" t="s">
        <v>153</v>
      </c>
      <c r="K86" t="s">
        <v>48</v>
      </c>
      <c r="L86" t="s">
        <v>47</v>
      </c>
    </row>
    <row r="87" spans="2:12" x14ac:dyDescent="0.3">
      <c r="B87" s="84">
        <v>36607</v>
      </c>
      <c r="C87" s="100">
        <v>0</v>
      </c>
      <c r="D87" s="100">
        <v>7.2916666666666671E-2</v>
      </c>
      <c r="G87"/>
      <c r="H87"/>
      <c r="I87" t="str">
        <f>'Nach Mannschaften sortiert'!C87</f>
        <v>U10</v>
      </c>
      <c r="J87" s="87" t="s">
        <v>153</v>
      </c>
      <c r="K87" t="s">
        <v>48</v>
      </c>
      <c r="L87" t="s">
        <v>47</v>
      </c>
    </row>
    <row r="88" spans="2:12" x14ac:dyDescent="0.3">
      <c r="B88" s="84">
        <v>36608</v>
      </c>
      <c r="C88" s="100">
        <v>0</v>
      </c>
      <c r="D88" s="100">
        <v>7.2916666666666671E-2</v>
      </c>
      <c r="G88"/>
      <c r="H88"/>
      <c r="I88" t="str">
        <f>'Nach Mannschaften sortiert'!C88</f>
        <v>U10</v>
      </c>
      <c r="J88" s="87" t="s">
        <v>153</v>
      </c>
      <c r="K88" t="s">
        <v>48</v>
      </c>
      <c r="L88" t="s">
        <v>47</v>
      </c>
    </row>
    <row r="89" spans="2:12" x14ac:dyDescent="0.3">
      <c r="B89" s="84">
        <v>36609</v>
      </c>
      <c r="C89" s="100">
        <v>0</v>
      </c>
      <c r="D89" s="100">
        <v>7.2916666666666671E-2</v>
      </c>
      <c r="G89"/>
      <c r="H89"/>
      <c r="I89" t="str">
        <f>'Nach Mannschaften sortiert'!C89</f>
        <v>U10</v>
      </c>
      <c r="J89" s="87" t="s">
        <v>153</v>
      </c>
      <c r="K89" t="s">
        <v>48</v>
      </c>
      <c r="L89" t="s">
        <v>47</v>
      </c>
    </row>
    <row r="90" spans="2:12" x14ac:dyDescent="0.3">
      <c r="B90" s="84">
        <v>36610</v>
      </c>
      <c r="C90" s="100">
        <v>0</v>
      </c>
      <c r="D90" s="100">
        <v>7.2916666666666671E-2</v>
      </c>
      <c r="G90"/>
      <c r="H90"/>
      <c r="I90" t="str">
        <f>'Nach Mannschaften sortiert'!C90</f>
        <v>U10</v>
      </c>
      <c r="J90" s="87" t="s">
        <v>153</v>
      </c>
      <c r="K90" t="s">
        <v>48</v>
      </c>
      <c r="L90" t="s">
        <v>47</v>
      </c>
    </row>
    <row r="91" spans="2:12" x14ac:dyDescent="0.3">
      <c r="B91" s="84">
        <v>36611</v>
      </c>
      <c r="C91" s="100">
        <v>0</v>
      </c>
      <c r="D91" s="100">
        <v>7.2916666666666671E-2</v>
      </c>
      <c r="G91"/>
      <c r="H91"/>
      <c r="I91" t="str">
        <f>'Nach Mannschaften sortiert'!C91</f>
        <v>U10</v>
      </c>
      <c r="J91" s="87" t="s">
        <v>153</v>
      </c>
      <c r="K91" t="s">
        <v>48</v>
      </c>
      <c r="L91" t="s">
        <v>47</v>
      </c>
    </row>
    <row r="92" spans="2:12" x14ac:dyDescent="0.3">
      <c r="B92" s="84">
        <v>36612</v>
      </c>
      <c r="C92" s="100">
        <v>0</v>
      </c>
      <c r="D92" s="100">
        <v>7.2916666666666671E-2</v>
      </c>
      <c r="G92"/>
      <c r="H92"/>
      <c r="I92" t="str">
        <f>'Nach Mannschaften sortiert'!C92</f>
        <v>U10</v>
      </c>
      <c r="J92" s="87" t="s">
        <v>153</v>
      </c>
      <c r="K92" t="s">
        <v>48</v>
      </c>
      <c r="L92" t="s">
        <v>47</v>
      </c>
    </row>
    <row r="93" spans="2:12" x14ac:dyDescent="0.3">
      <c r="B93" s="84">
        <v>36613</v>
      </c>
      <c r="C93" s="100">
        <v>0</v>
      </c>
      <c r="D93" s="100">
        <v>7.2916666666666671E-2</v>
      </c>
      <c r="G93"/>
      <c r="H93"/>
      <c r="I93" t="str">
        <f>'Nach Mannschaften sortiert'!C93</f>
        <v>U10</v>
      </c>
      <c r="J93" s="87" t="s">
        <v>153</v>
      </c>
      <c r="K93" t="s">
        <v>48</v>
      </c>
      <c r="L93" t="s">
        <v>47</v>
      </c>
    </row>
    <row r="94" spans="2:12" x14ac:dyDescent="0.3">
      <c r="B94" s="84">
        <v>36614</v>
      </c>
      <c r="C94" s="100">
        <v>0</v>
      </c>
      <c r="D94" s="100">
        <v>7.2916666666666671E-2</v>
      </c>
      <c r="G94"/>
      <c r="H94"/>
      <c r="I94" t="str">
        <f>'Nach Mannschaften sortiert'!C94</f>
        <v>U9</v>
      </c>
      <c r="J94" s="87" t="s">
        <v>153</v>
      </c>
      <c r="K94" t="s">
        <v>48</v>
      </c>
      <c r="L94" t="s">
        <v>47</v>
      </c>
    </row>
    <row r="95" spans="2:12" x14ac:dyDescent="0.3">
      <c r="B95" s="84">
        <v>36615</v>
      </c>
      <c r="C95" s="100">
        <v>0</v>
      </c>
      <c r="D95" s="100">
        <v>7.2916666666666671E-2</v>
      </c>
      <c r="G95"/>
      <c r="H95"/>
      <c r="I95" t="str">
        <f>'Nach Mannschaften sortiert'!C95</f>
        <v>U9</v>
      </c>
      <c r="J95" s="87" t="s">
        <v>153</v>
      </c>
      <c r="K95" t="s">
        <v>48</v>
      </c>
      <c r="L95" t="s">
        <v>47</v>
      </c>
    </row>
    <row r="96" spans="2:12" x14ac:dyDescent="0.3">
      <c r="B96" s="84">
        <v>36616</v>
      </c>
      <c r="C96" s="100">
        <v>0</v>
      </c>
      <c r="D96" s="100">
        <v>7.2916666666666671E-2</v>
      </c>
      <c r="G96"/>
      <c r="H96"/>
      <c r="I96" t="str">
        <f>'Nach Mannschaften sortiert'!C96</f>
        <v>U9</v>
      </c>
      <c r="J96" s="87" t="s">
        <v>153</v>
      </c>
      <c r="K96" t="s">
        <v>48</v>
      </c>
      <c r="L96" t="s">
        <v>47</v>
      </c>
    </row>
    <row r="97" spans="2:12" x14ac:dyDescent="0.3">
      <c r="B97" s="84">
        <v>36617</v>
      </c>
      <c r="C97" s="100">
        <v>0</v>
      </c>
      <c r="D97" s="100">
        <v>7.2916666666666671E-2</v>
      </c>
      <c r="G97"/>
      <c r="H97"/>
      <c r="I97" t="str">
        <f>'Nach Mannschaften sortiert'!C97</f>
        <v>U9</v>
      </c>
      <c r="J97" s="87" t="s">
        <v>153</v>
      </c>
      <c r="K97" t="s">
        <v>48</v>
      </c>
      <c r="L97" t="s">
        <v>47</v>
      </c>
    </row>
    <row r="98" spans="2:12" x14ac:dyDescent="0.3">
      <c r="B98" s="84">
        <v>36618</v>
      </c>
      <c r="C98" s="100">
        <v>0</v>
      </c>
      <c r="D98" s="100">
        <v>7.2916666666666671E-2</v>
      </c>
      <c r="G98"/>
      <c r="H98"/>
      <c r="I98" t="str">
        <f>'Nach Mannschaften sortiert'!C98</f>
        <v>U9</v>
      </c>
      <c r="J98" s="87" t="s">
        <v>153</v>
      </c>
      <c r="K98" t="s">
        <v>48</v>
      </c>
      <c r="L98" t="s">
        <v>47</v>
      </c>
    </row>
    <row r="99" spans="2:12" x14ac:dyDescent="0.3">
      <c r="B99" s="84">
        <v>36619</v>
      </c>
      <c r="C99" s="100">
        <v>0</v>
      </c>
      <c r="D99" s="100">
        <v>7.2916666666666671E-2</v>
      </c>
      <c r="G99"/>
      <c r="H99"/>
      <c r="I99" t="str">
        <f>'Nach Mannschaften sortiert'!C99</f>
        <v>U9</v>
      </c>
      <c r="J99" s="87" t="s">
        <v>153</v>
      </c>
      <c r="K99" t="s">
        <v>48</v>
      </c>
      <c r="L99" t="s">
        <v>47</v>
      </c>
    </row>
    <row r="100" spans="2:12" x14ac:dyDescent="0.3">
      <c r="B100" s="84">
        <v>36620</v>
      </c>
      <c r="C100" s="100">
        <v>0</v>
      </c>
      <c r="D100" s="100">
        <v>7.2916666666666671E-2</v>
      </c>
      <c r="G100"/>
      <c r="H100"/>
      <c r="I100" t="str">
        <f>'Nach Mannschaften sortiert'!C100</f>
        <v>U9</v>
      </c>
      <c r="J100" s="87" t="s">
        <v>153</v>
      </c>
      <c r="K100" t="s">
        <v>48</v>
      </c>
      <c r="L100" t="s">
        <v>47</v>
      </c>
    </row>
    <row r="101" spans="2:12" x14ac:dyDescent="0.3">
      <c r="B101" s="84">
        <v>36621</v>
      </c>
      <c r="C101" s="100">
        <v>0</v>
      </c>
      <c r="D101" s="100">
        <v>7.2916666666666671E-2</v>
      </c>
      <c r="G101"/>
      <c r="H101"/>
      <c r="I101" t="str">
        <f>'Nach Mannschaften sortiert'!C101</f>
        <v>U9</v>
      </c>
      <c r="J101" s="87" t="s">
        <v>153</v>
      </c>
      <c r="K101" t="s">
        <v>48</v>
      </c>
      <c r="L101" t="s">
        <v>47</v>
      </c>
    </row>
    <row r="102" spans="2:12" x14ac:dyDescent="0.3">
      <c r="B102" s="84">
        <v>36622</v>
      </c>
      <c r="C102" s="100">
        <v>0</v>
      </c>
      <c r="D102" s="100">
        <v>7.2916666666666671E-2</v>
      </c>
      <c r="G102"/>
      <c r="H102"/>
      <c r="I102" t="str">
        <f>'Nach Mannschaften sortiert'!C102</f>
        <v>U9</v>
      </c>
      <c r="J102" s="87" t="s">
        <v>153</v>
      </c>
      <c r="K102" t="s">
        <v>48</v>
      </c>
      <c r="L102" t="s">
        <v>47</v>
      </c>
    </row>
    <row r="103" spans="2:12" x14ac:dyDescent="0.3">
      <c r="B103" s="84">
        <v>36623</v>
      </c>
      <c r="C103" s="100">
        <v>0</v>
      </c>
      <c r="D103" s="100">
        <v>7.2916666666666671E-2</v>
      </c>
      <c r="G103"/>
      <c r="H103"/>
      <c r="I103" t="str">
        <f>'Nach Mannschaften sortiert'!C103</f>
        <v>U9</v>
      </c>
      <c r="J103" s="87" t="s">
        <v>153</v>
      </c>
      <c r="K103" t="s">
        <v>48</v>
      </c>
      <c r="L103" t="s">
        <v>47</v>
      </c>
    </row>
    <row r="104" spans="2:12" x14ac:dyDescent="0.3">
      <c r="B104" s="84">
        <v>36624</v>
      </c>
      <c r="C104" s="100">
        <v>0</v>
      </c>
      <c r="D104" s="100">
        <v>7.2916666666666671E-2</v>
      </c>
      <c r="G104"/>
      <c r="H104"/>
      <c r="I104" t="str">
        <f>'Nach Mannschaften sortiert'!C104</f>
        <v>U8</v>
      </c>
      <c r="J104" s="87" t="s">
        <v>153</v>
      </c>
      <c r="K104" t="s">
        <v>48</v>
      </c>
      <c r="L104" t="s">
        <v>47</v>
      </c>
    </row>
    <row r="105" spans="2:12" x14ac:dyDescent="0.3">
      <c r="B105" s="84">
        <v>36625</v>
      </c>
      <c r="C105" s="100">
        <v>0</v>
      </c>
      <c r="D105" s="100">
        <v>7.2916666666666671E-2</v>
      </c>
      <c r="G105"/>
      <c r="H105"/>
      <c r="I105" t="str">
        <f>'Nach Mannschaften sortiert'!C105</f>
        <v>U8</v>
      </c>
      <c r="J105" s="87" t="s">
        <v>153</v>
      </c>
      <c r="K105" t="s">
        <v>48</v>
      </c>
      <c r="L105" t="s">
        <v>47</v>
      </c>
    </row>
    <row r="106" spans="2:12" x14ac:dyDescent="0.3">
      <c r="B106" s="84">
        <v>36626</v>
      </c>
      <c r="C106" s="100">
        <v>0</v>
      </c>
      <c r="D106" s="100">
        <v>7.2916666666666671E-2</v>
      </c>
      <c r="G106"/>
      <c r="H106"/>
      <c r="I106" t="str">
        <f>'Nach Mannschaften sortiert'!C106</f>
        <v>U8</v>
      </c>
      <c r="J106" s="87" t="s">
        <v>153</v>
      </c>
      <c r="K106" t="s">
        <v>48</v>
      </c>
      <c r="L106" t="s">
        <v>47</v>
      </c>
    </row>
    <row r="107" spans="2:12" x14ac:dyDescent="0.3">
      <c r="B107" s="84">
        <v>36627</v>
      </c>
      <c r="C107" s="100">
        <v>0</v>
      </c>
      <c r="D107" s="100">
        <v>7.2916666666666671E-2</v>
      </c>
      <c r="G107"/>
      <c r="H107"/>
      <c r="I107" t="str">
        <f>'Nach Mannschaften sortiert'!C107</f>
        <v>U8</v>
      </c>
      <c r="J107" s="87" t="s">
        <v>153</v>
      </c>
      <c r="K107" t="s">
        <v>48</v>
      </c>
      <c r="L107" t="s">
        <v>47</v>
      </c>
    </row>
    <row r="108" spans="2:12" x14ac:dyDescent="0.3">
      <c r="B108" s="84">
        <v>36628</v>
      </c>
      <c r="C108" s="100">
        <v>0</v>
      </c>
      <c r="D108" s="100">
        <v>7.2916666666666671E-2</v>
      </c>
      <c r="G108"/>
      <c r="H108"/>
      <c r="I108" t="str">
        <f>'Nach Mannschaften sortiert'!C108</f>
        <v>U8</v>
      </c>
      <c r="J108" s="87" t="s">
        <v>153</v>
      </c>
      <c r="K108" t="s">
        <v>48</v>
      </c>
      <c r="L108" t="s">
        <v>47</v>
      </c>
    </row>
    <row r="109" spans="2:12" x14ac:dyDescent="0.3">
      <c r="B109" s="84">
        <v>36629</v>
      </c>
      <c r="C109" s="100">
        <v>0</v>
      </c>
      <c r="D109" s="100">
        <v>7.2916666666666671E-2</v>
      </c>
      <c r="G109"/>
      <c r="H109"/>
      <c r="I109" t="str">
        <f>'Nach Mannschaften sortiert'!C109</f>
        <v>U7</v>
      </c>
      <c r="J109" s="87" t="s">
        <v>153</v>
      </c>
      <c r="K109" t="s">
        <v>48</v>
      </c>
      <c r="L109" t="s">
        <v>47</v>
      </c>
    </row>
    <row r="110" spans="2:12" x14ac:dyDescent="0.3">
      <c r="B110" s="84">
        <v>36630</v>
      </c>
      <c r="C110" s="100">
        <v>0</v>
      </c>
      <c r="D110" s="100">
        <v>7.2916666666666671E-2</v>
      </c>
      <c r="G110"/>
      <c r="H110"/>
      <c r="I110" t="str">
        <f>'Nach Mannschaften sortiert'!C110</f>
        <v>U7</v>
      </c>
      <c r="J110" s="87" t="s">
        <v>153</v>
      </c>
      <c r="K110" t="s">
        <v>48</v>
      </c>
      <c r="L110" t="s">
        <v>47</v>
      </c>
    </row>
    <row r="111" spans="2:12" x14ac:dyDescent="0.3">
      <c r="B111" s="84">
        <v>36631</v>
      </c>
      <c r="C111" s="100">
        <v>0</v>
      </c>
      <c r="D111" s="100">
        <v>7.2916666666666671E-2</v>
      </c>
      <c r="G111"/>
      <c r="H111"/>
      <c r="I111" t="str">
        <f>'Nach Mannschaften sortiert'!C111</f>
        <v>U7</v>
      </c>
      <c r="J111" s="87" t="s">
        <v>153</v>
      </c>
      <c r="K111" t="s">
        <v>48</v>
      </c>
      <c r="L111" t="s">
        <v>47</v>
      </c>
    </row>
    <row r="112" spans="2:12" x14ac:dyDescent="0.3">
      <c r="B112" s="84">
        <v>36632</v>
      </c>
      <c r="C112" s="100">
        <v>0</v>
      </c>
      <c r="D112" s="100">
        <v>7.2916666666666671E-2</v>
      </c>
      <c r="G112"/>
      <c r="H112"/>
      <c r="I112" t="str">
        <f>'Nach Mannschaften sortiert'!C112</f>
        <v>U7</v>
      </c>
      <c r="J112" s="87" t="s">
        <v>153</v>
      </c>
      <c r="K112" t="s">
        <v>48</v>
      </c>
      <c r="L112" t="s">
        <v>47</v>
      </c>
    </row>
    <row r="113" spans="1:12" x14ac:dyDescent="0.3">
      <c r="B113" s="84">
        <v>36633</v>
      </c>
      <c r="C113" s="100">
        <v>0</v>
      </c>
      <c r="D113" s="100">
        <v>7.2916666666666671E-2</v>
      </c>
      <c r="G113"/>
      <c r="H113"/>
      <c r="I113" t="str">
        <f>'Nach Mannschaften sortiert'!C113</f>
        <v>U7</v>
      </c>
      <c r="J113" s="87" t="s">
        <v>153</v>
      </c>
      <c r="K113" t="s">
        <v>48</v>
      </c>
      <c r="L113" t="s">
        <v>47</v>
      </c>
    </row>
    <row r="114" spans="1:12" x14ac:dyDescent="0.3">
      <c r="B114" s="84">
        <f>'Nach Mannschaften sortiert'!D114</f>
        <v>46321</v>
      </c>
      <c r="C114" s="100">
        <v>0.375</v>
      </c>
      <c r="D114" s="100">
        <f t="shared" ref="D98:D125" si="1"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>0.5</v>
      </c>
      <c r="E114" s="100" t="s">
        <v>11</v>
      </c>
      <c r="G114" t="s">
        <v>13</v>
      </c>
      <c r="H114" t="s">
        <v>29</v>
      </c>
      <c r="I114" t="s">
        <v>28</v>
      </c>
      <c r="J114" s="87" t="s">
        <v>45</v>
      </c>
      <c r="K114" t="s">
        <v>49</v>
      </c>
      <c r="L114" t="s">
        <v>49</v>
      </c>
    </row>
    <row r="115" spans="1:12" x14ac:dyDescent="0.3">
      <c r="B115" s="84">
        <f>'Nach Mannschaften sortiert'!D115</f>
        <v>46322</v>
      </c>
      <c r="C115" s="100">
        <v>0.375</v>
      </c>
      <c r="D115" s="100">
        <f t="shared" si="1"/>
        <v>0.5</v>
      </c>
      <c r="E115" s="100" t="s">
        <v>11</v>
      </c>
      <c r="G115" s="99" t="s">
        <v>13</v>
      </c>
      <c r="H115" s="99" t="s">
        <v>29</v>
      </c>
      <c r="I115" s="99" t="s">
        <v>28</v>
      </c>
      <c r="J115" s="87" t="s">
        <v>45</v>
      </c>
      <c r="K115" t="s">
        <v>49</v>
      </c>
      <c r="L115" t="s">
        <v>49</v>
      </c>
    </row>
    <row r="116" spans="1:12" x14ac:dyDescent="0.3">
      <c r="B116" s="84">
        <f>'Nach Mannschaften sortiert'!D116</f>
        <v>46323</v>
      </c>
      <c r="C116" s="100">
        <v>0.375</v>
      </c>
      <c r="D116" s="100">
        <f t="shared" si="1"/>
        <v>0.5</v>
      </c>
      <c r="E116" s="100" t="s">
        <v>11</v>
      </c>
      <c r="G116" s="99" t="s">
        <v>13</v>
      </c>
      <c r="H116" s="99" t="s">
        <v>29</v>
      </c>
      <c r="I116" s="99" t="s">
        <v>28</v>
      </c>
      <c r="J116" s="87" t="s">
        <v>45</v>
      </c>
      <c r="K116" t="s">
        <v>49</v>
      </c>
      <c r="L116" t="s">
        <v>49</v>
      </c>
    </row>
    <row r="117" spans="1:12" x14ac:dyDescent="0.3">
      <c r="B117" s="84">
        <f>'Nach Mannschaften sortiert'!D117</f>
        <v>46230</v>
      </c>
      <c r="C117" s="100">
        <v>0.375</v>
      </c>
      <c r="D117" s="100">
        <f t="shared" si="1"/>
        <v>0.5</v>
      </c>
      <c r="E117" s="100" t="s">
        <v>11</v>
      </c>
      <c r="G117" s="99" t="s">
        <v>13</v>
      </c>
      <c r="H117" s="99" t="s">
        <v>29</v>
      </c>
      <c r="I117" t="s">
        <v>30</v>
      </c>
      <c r="J117" s="87" t="s">
        <v>45</v>
      </c>
      <c r="K117" t="s">
        <v>49</v>
      </c>
      <c r="L117" t="s">
        <v>49</v>
      </c>
    </row>
    <row r="118" spans="1:12" x14ac:dyDescent="0.3">
      <c r="B118" s="84">
        <f>'Nach Mannschaften sortiert'!D118</f>
        <v>46231</v>
      </c>
      <c r="C118" s="100">
        <v>0.375</v>
      </c>
      <c r="D118" s="100">
        <f t="shared" si="1"/>
        <v>0.5</v>
      </c>
      <c r="E118" s="100" t="s">
        <v>11</v>
      </c>
      <c r="G118" s="99" t="s">
        <v>13</v>
      </c>
      <c r="H118" s="99" t="s">
        <v>29</v>
      </c>
      <c r="I118" s="99" t="s">
        <v>30</v>
      </c>
      <c r="J118" s="87" t="s">
        <v>45</v>
      </c>
      <c r="K118" t="s">
        <v>49</v>
      </c>
      <c r="L118" t="s">
        <v>49</v>
      </c>
    </row>
    <row r="119" spans="1:12" x14ac:dyDescent="0.3">
      <c r="B119" s="84">
        <f>'Nach Mannschaften sortiert'!D119</f>
        <v>46232</v>
      </c>
      <c r="C119" s="100">
        <v>0.375</v>
      </c>
      <c r="D119" s="100">
        <f t="shared" si="1"/>
        <v>0.5</v>
      </c>
      <c r="E119" s="100" t="s">
        <v>11</v>
      </c>
      <c r="G119" s="99" t="s">
        <v>13</v>
      </c>
      <c r="H119" s="99" t="s">
        <v>29</v>
      </c>
      <c r="I119" s="99" t="s">
        <v>30</v>
      </c>
      <c r="J119" s="87" t="s">
        <v>45</v>
      </c>
      <c r="K119" t="s">
        <v>49</v>
      </c>
      <c r="L119" t="s">
        <v>49</v>
      </c>
    </row>
    <row r="120" spans="1:12" x14ac:dyDescent="0.3">
      <c r="B120" s="84">
        <f>'Nach Mannschaften sortiert'!D120</f>
        <v>46233</v>
      </c>
      <c r="C120" s="100">
        <v>0.375</v>
      </c>
      <c r="D120" s="100">
        <f t="shared" si="1"/>
        <v>0.5</v>
      </c>
      <c r="E120" s="100" t="s">
        <v>11</v>
      </c>
      <c r="G120" s="99" t="s">
        <v>13</v>
      </c>
      <c r="H120" s="99" t="s">
        <v>29</v>
      </c>
      <c r="I120" s="99" t="s">
        <v>30</v>
      </c>
      <c r="J120" s="87" t="s">
        <v>45</v>
      </c>
      <c r="K120" t="s">
        <v>49</v>
      </c>
      <c r="L120" t="s">
        <v>49</v>
      </c>
    </row>
    <row r="121" spans="1:12" x14ac:dyDescent="0.3">
      <c r="B121" s="84">
        <f>'Nach Mannschaften sortiert'!D121</f>
        <v>46234</v>
      </c>
      <c r="C121" s="100">
        <v>0.375</v>
      </c>
      <c r="D121" s="100">
        <f t="shared" si="1"/>
        <v>0.5</v>
      </c>
      <c r="E121" s="100" t="s">
        <v>11</v>
      </c>
      <c r="G121" s="99" t="s">
        <v>13</v>
      </c>
      <c r="H121" s="99" t="s">
        <v>29</v>
      </c>
      <c r="I121" s="99" t="s">
        <v>30</v>
      </c>
      <c r="J121" s="87" t="s">
        <v>45</v>
      </c>
      <c r="K121" t="s">
        <v>49</v>
      </c>
      <c r="L121" t="s">
        <v>49</v>
      </c>
    </row>
    <row r="122" spans="1:12" s="99" customFormat="1" x14ac:dyDescent="0.3">
      <c r="A122" s="87"/>
      <c r="B122" s="84">
        <v>46237</v>
      </c>
      <c r="C122" s="100">
        <v>0.375</v>
      </c>
      <c r="D122" s="100">
        <v>0.625</v>
      </c>
      <c r="E122" s="100" t="s">
        <v>11</v>
      </c>
      <c r="F122" s="87"/>
      <c r="G122" s="99" t="s">
        <v>13</v>
      </c>
      <c r="H122" s="99" t="s">
        <v>29</v>
      </c>
      <c r="I122" s="99" t="s">
        <v>152</v>
      </c>
      <c r="J122" s="87" t="s">
        <v>45</v>
      </c>
      <c r="K122" s="99" t="s">
        <v>49</v>
      </c>
      <c r="L122" s="99" t="s">
        <v>49</v>
      </c>
    </row>
    <row r="123" spans="1:12" s="99" customFormat="1" x14ac:dyDescent="0.3">
      <c r="A123" s="87"/>
      <c r="B123" s="84">
        <v>46238</v>
      </c>
      <c r="C123" s="100">
        <v>0.375</v>
      </c>
      <c r="D123" s="100">
        <v>0.625</v>
      </c>
      <c r="E123" s="100" t="s">
        <v>11</v>
      </c>
      <c r="F123" s="87"/>
      <c r="G123" s="99" t="s">
        <v>13</v>
      </c>
      <c r="H123" s="99" t="s">
        <v>29</v>
      </c>
      <c r="I123" s="99" t="s">
        <v>152</v>
      </c>
      <c r="J123" s="87" t="s">
        <v>45</v>
      </c>
      <c r="K123" s="99" t="s">
        <v>49</v>
      </c>
      <c r="L123" s="99" t="s">
        <v>49</v>
      </c>
    </row>
    <row r="124" spans="1:12" s="99" customFormat="1" x14ac:dyDescent="0.3">
      <c r="A124" s="87"/>
      <c r="B124" s="84">
        <v>46239</v>
      </c>
      <c r="C124" s="100">
        <v>0.375</v>
      </c>
      <c r="D124" s="100">
        <v>0.625</v>
      </c>
      <c r="E124" s="100" t="s">
        <v>11</v>
      </c>
      <c r="F124" s="87"/>
      <c r="G124" s="99" t="s">
        <v>13</v>
      </c>
      <c r="H124" s="99" t="s">
        <v>29</v>
      </c>
      <c r="I124" s="99" t="s">
        <v>152</v>
      </c>
      <c r="J124" s="87" t="s">
        <v>45</v>
      </c>
      <c r="K124" s="99" t="s">
        <v>49</v>
      </c>
      <c r="L124" s="99" t="s">
        <v>49</v>
      </c>
    </row>
    <row r="125" spans="1:12" x14ac:dyDescent="0.3">
      <c r="B125" s="84">
        <f>'Nach Mannschaften sortiert'!D122</f>
        <v>46256</v>
      </c>
      <c r="C125" s="100">
        <f>'Nach Mannschaften sortiert'!E122</f>
        <v>0.375</v>
      </c>
      <c r="D125" s="100">
        <f t="shared" si="1"/>
        <v>0.5</v>
      </c>
      <c r="E125" s="100" t="s">
        <v>11</v>
      </c>
      <c r="G125" s="99" t="s">
        <v>13</v>
      </c>
      <c r="H125" t="str">
        <f>'Nach Mannschaften sortiert'!G122</f>
        <v>viele Gegner</v>
      </c>
      <c r="I125" t="str">
        <f>'Nach Mannschaften sortiert'!C122</f>
        <v>GGG</v>
      </c>
      <c r="J125" s="87" t="s">
        <v>45</v>
      </c>
      <c r="K125" t="s">
        <v>50</v>
      </c>
      <c r="L125" t="s">
        <v>50</v>
      </c>
    </row>
    <row r="126" spans="1:12" x14ac:dyDescent="0.3">
      <c r="B126" t="s">
        <v>51</v>
      </c>
      <c r="C126" t="s">
        <v>52</v>
      </c>
      <c r="D126" t="s">
        <v>53</v>
      </c>
      <c r="E126" s="100" t="s">
        <v>11</v>
      </c>
      <c r="F126"/>
      <c r="G126" s="99" t="s">
        <v>13</v>
      </c>
      <c r="H126" t="s">
        <v>54</v>
      </c>
      <c r="I126" t="s">
        <v>19</v>
      </c>
      <c r="J126" t="s">
        <v>55</v>
      </c>
      <c r="L126" t="s">
        <v>47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sqref="A1:C16"/>
    </sheetView>
  </sheetViews>
  <sheetFormatPr baseColWidth="10" defaultRowHeight="14.4" x14ac:dyDescent="0.3"/>
  <cols>
    <col min="1" max="1" width="28.109375" style="99" bestFit="1" customWidth="1"/>
    <col min="2" max="2" width="16.77734375" style="99" hidden="1" customWidth="1"/>
    <col min="3" max="3" width="48.33203125" style="99" bestFit="1" customWidth="1"/>
  </cols>
  <sheetData>
    <row r="1" spans="1:3" ht="19.95" customHeight="1" x14ac:dyDescent="0.3">
      <c r="A1" s="89" t="s">
        <v>56</v>
      </c>
      <c r="B1" s="89"/>
      <c r="C1" s="89" t="s">
        <v>57</v>
      </c>
    </row>
    <row r="2" spans="1:3" ht="19.95" customHeight="1" x14ac:dyDescent="0.3">
      <c r="A2" s="89" t="s">
        <v>58</v>
      </c>
      <c r="B2" s="89" t="s">
        <v>59</v>
      </c>
      <c r="C2" s="89" t="str">
        <f t="shared" ref="C2:C18" si="0">"https://dtb-asv.github.io/asv-neufeld/"&amp;B2</f>
        <v>https://dtb-asv.github.io/asv-neufeld/alle_spiele.ics</v>
      </c>
    </row>
    <row r="3" spans="1:3" ht="19.95" customHeight="1" x14ac:dyDescent="0.3">
      <c r="A3" s="89" t="s">
        <v>60</v>
      </c>
      <c r="B3" s="89" t="s">
        <v>61</v>
      </c>
      <c r="C3" s="89" t="str">
        <f t="shared" si="0"/>
        <v>https://dtb-asv.github.io/asv-neufeld/heimspiele.ics</v>
      </c>
    </row>
    <row r="4" spans="1:3" ht="19.95" customHeight="1" x14ac:dyDescent="0.3">
      <c r="A4" s="89" t="s">
        <v>62</v>
      </c>
      <c r="B4" s="89" t="s">
        <v>63</v>
      </c>
      <c r="C4" s="89" t="str">
        <f t="shared" si="0"/>
        <v>https://dtb-asv.github.io/asv-neufeld/auswaertsspiele.ics</v>
      </c>
    </row>
    <row r="5" spans="1:3" ht="19.95" customHeight="1" x14ac:dyDescent="0.3">
      <c r="A5" s="89" t="s">
        <v>64</v>
      </c>
      <c r="B5" s="89" t="s">
        <v>65</v>
      </c>
      <c r="C5" s="89" t="str">
        <f t="shared" si="0"/>
        <v>https://dtb-asv.github.io/asv-neufeld/KM.ics</v>
      </c>
    </row>
    <row r="6" spans="1:3" ht="19.95" customHeight="1" x14ac:dyDescent="0.3">
      <c r="A6" s="89" t="s">
        <v>66</v>
      </c>
      <c r="B6" s="89" t="s">
        <v>67</v>
      </c>
      <c r="C6" s="89" t="str">
        <f t="shared" si="0"/>
        <v>https://dtb-asv.github.io/asv-neufeld/U23.ics</v>
      </c>
    </row>
    <row r="7" spans="1:3" ht="19.95" customHeight="1" x14ac:dyDescent="0.3">
      <c r="A7" s="89" t="s">
        <v>68</v>
      </c>
      <c r="B7" s="89" t="s">
        <v>69</v>
      </c>
      <c r="C7" s="89" t="str">
        <f t="shared" si="0"/>
        <v>https://dtb-asv.github.io/asv-neufeld/U16.ics</v>
      </c>
    </row>
    <row r="8" spans="1:3" ht="19.95" customHeight="1" x14ac:dyDescent="0.3">
      <c r="A8" s="89" t="s">
        <v>70</v>
      </c>
      <c r="B8" s="89" t="s">
        <v>71</v>
      </c>
      <c r="C8" s="89" t="str">
        <f t="shared" si="0"/>
        <v>https://dtb-asv.github.io/asv-neufeld/U15.ics</v>
      </c>
    </row>
    <row r="9" spans="1:3" ht="19.95" customHeight="1" x14ac:dyDescent="0.3">
      <c r="A9" s="89" t="s">
        <v>72</v>
      </c>
      <c r="B9" s="89" t="s">
        <v>73</v>
      </c>
      <c r="C9" s="89" t="str">
        <f t="shared" si="0"/>
        <v>https://dtb-asv.github.io/asv-neufeld/U14.ics</v>
      </c>
    </row>
    <row r="10" spans="1:3" ht="19.95" customHeight="1" x14ac:dyDescent="0.3">
      <c r="A10" s="89" t="s">
        <v>74</v>
      </c>
      <c r="B10" s="89" t="s">
        <v>75</v>
      </c>
      <c r="C10" s="89" t="str">
        <f t="shared" si="0"/>
        <v>https://dtb-asv.github.io/asv-neufeld/U13.ics</v>
      </c>
    </row>
    <row r="11" spans="1:3" ht="19.95" customHeight="1" x14ac:dyDescent="0.3">
      <c r="A11" s="89" t="s">
        <v>76</v>
      </c>
      <c r="B11" s="89" t="s">
        <v>77</v>
      </c>
      <c r="C11" s="89" t="str">
        <f t="shared" si="0"/>
        <v>https://dtb-asv.github.io/asv-neufeld/U12.ics</v>
      </c>
    </row>
    <row r="12" spans="1:3" ht="19.95" customHeight="1" x14ac:dyDescent="0.3">
      <c r="A12" s="89" t="s">
        <v>78</v>
      </c>
      <c r="B12" s="89" t="s">
        <v>79</v>
      </c>
      <c r="C12" s="89" t="str">
        <f t="shared" si="0"/>
        <v>https://dtb-asv.github.io/asv-neufeld/U11.ics</v>
      </c>
    </row>
    <row r="13" spans="1:3" ht="19.95" customHeight="1" x14ac:dyDescent="0.3">
      <c r="A13" s="89" t="s">
        <v>80</v>
      </c>
      <c r="B13" s="89" t="s">
        <v>81</v>
      </c>
      <c r="C13" s="89" t="str">
        <f t="shared" si="0"/>
        <v>https://dtb-asv.github.io/asv-neufeld/U10.ics</v>
      </c>
    </row>
    <row r="14" spans="1:3" ht="19.95" customHeight="1" x14ac:dyDescent="0.3">
      <c r="A14" s="89" t="s">
        <v>82</v>
      </c>
      <c r="B14" s="89" t="s">
        <v>83</v>
      </c>
      <c r="C14" s="89" t="str">
        <f t="shared" si="0"/>
        <v>https://dtb-asv.github.io/asv-neufeld/U9.ics</v>
      </c>
    </row>
    <row r="15" spans="1:3" ht="19.95" customHeight="1" x14ac:dyDescent="0.3">
      <c r="A15" s="89" t="s">
        <v>84</v>
      </c>
      <c r="B15" s="89" t="s">
        <v>85</v>
      </c>
      <c r="C15" s="89" t="str">
        <f t="shared" si="0"/>
        <v>https://dtb-asv.github.io/asv-neufeld/ U8.ics</v>
      </c>
    </row>
    <row r="16" spans="1:3" ht="19.95" customHeight="1" x14ac:dyDescent="0.3">
      <c r="A16" s="89" t="s">
        <v>86</v>
      </c>
      <c r="B16" s="89" t="s">
        <v>87</v>
      </c>
      <c r="C16" s="89" t="str">
        <f t="shared" si="0"/>
        <v>https://dtb-asv.github.io/asv-neufeld/ U7.ics</v>
      </c>
    </row>
    <row r="17" spans="2:3" x14ac:dyDescent="0.3">
      <c r="B17" t="s">
        <v>88</v>
      </c>
      <c r="C17" t="str">
        <f t="shared" si="0"/>
        <v>https://dtb-asv.github.io/asv-neufeld/ Camp.ics</v>
      </c>
    </row>
    <row r="18" spans="2:3" x14ac:dyDescent="0.3">
      <c r="B18" t="s">
        <v>89</v>
      </c>
      <c r="C18" t="str">
        <f t="shared" si="0"/>
        <v>https://dtb-asv.github.io/asv-neufeld/ GGG.ics</v>
      </c>
    </row>
    <row r="21" spans="2:3" x14ac:dyDescent="0.3">
      <c r="B21" s="8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workbookViewId="0">
      <selection activeCell="G21" sqref="G21"/>
    </sheetView>
  </sheetViews>
  <sheetFormatPr baseColWidth="10" defaultRowHeight="14.4" x14ac:dyDescent="0.3"/>
  <cols>
    <col min="1" max="1" width="21.109375" style="99" customWidth="1"/>
    <col min="2" max="2" width="20.88671875" style="99" customWidth="1"/>
    <col min="3" max="4" width="13" style="99" bestFit="1" customWidth="1"/>
    <col min="5" max="5" width="13.44140625" style="99" bestFit="1" customWidth="1"/>
    <col min="6" max="6" width="14.109375" style="99" bestFit="1" customWidth="1"/>
    <col min="7" max="7" width="14.33203125" style="99" bestFit="1" customWidth="1"/>
    <col min="8" max="8" width="13" style="99" bestFit="1" customWidth="1"/>
    <col min="9" max="9" width="19.5546875" style="99" customWidth="1"/>
  </cols>
  <sheetData>
    <row r="1" spans="1:10" ht="18.600000000000001" customHeight="1" thickBot="1" x14ac:dyDescent="0.4">
      <c r="A1" s="122" t="s">
        <v>90</v>
      </c>
      <c r="B1" s="123"/>
      <c r="C1" s="123"/>
      <c r="D1" s="123"/>
      <c r="E1" s="123"/>
      <c r="F1" s="123"/>
      <c r="G1" s="123"/>
      <c r="H1" s="123"/>
    </row>
    <row r="2" spans="1:10" ht="31.8" customHeight="1" thickTop="1" x14ac:dyDescent="0.3">
      <c r="A2" s="35" t="s">
        <v>91</v>
      </c>
      <c r="B2" s="35" t="s">
        <v>92</v>
      </c>
      <c r="C2" s="35" t="s">
        <v>93</v>
      </c>
      <c r="D2" s="35" t="s">
        <v>94</v>
      </c>
      <c r="E2" s="35" t="s">
        <v>95</v>
      </c>
      <c r="F2" s="35" t="s">
        <v>96</v>
      </c>
      <c r="G2" s="35" t="s">
        <v>97</v>
      </c>
      <c r="H2" s="35" t="s">
        <v>98</v>
      </c>
      <c r="I2" s="117" t="s">
        <v>99</v>
      </c>
      <c r="J2" s="42"/>
    </row>
    <row r="3" spans="1:10" ht="31.2" customHeight="1" x14ac:dyDescent="0.35">
      <c r="A3" s="38" t="s">
        <v>100</v>
      </c>
      <c r="B3" s="39" t="s">
        <v>101</v>
      </c>
      <c r="C3" s="64"/>
      <c r="D3" s="64"/>
      <c r="E3" s="65" t="s">
        <v>102</v>
      </c>
      <c r="F3" s="64"/>
      <c r="G3" s="64"/>
      <c r="H3" s="66"/>
      <c r="I3" s="118"/>
      <c r="J3" s="42"/>
    </row>
    <row r="4" spans="1:10" ht="31.2" customHeight="1" x14ac:dyDescent="0.35">
      <c r="A4" s="38" t="s">
        <v>27</v>
      </c>
      <c r="B4" s="39" t="s">
        <v>103</v>
      </c>
      <c r="C4" s="64"/>
      <c r="D4" s="67" t="s">
        <v>104</v>
      </c>
      <c r="E4" s="64"/>
      <c r="F4" s="67" t="s">
        <v>104</v>
      </c>
      <c r="G4" s="64"/>
      <c r="H4" s="66"/>
      <c r="I4" s="118"/>
      <c r="J4" s="42"/>
    </row>
    <row r="5" spans="1:10" ht="31.2" customHeight="1" x14ac:dyDescent="0.35">
      <c r="A5" s="38" t="s">
        <v>26</v>
      </c>
      <c r="B5" s="39" t="s">
        <v>105</v>
      </c>
      <c r="C5" s="65" t="s">
        <v>106</v>
      </c>
      <c r="D5" s="64"/>
      <c r="E5" s="64"/>
      <c r="F5" s="65" t="s">
        <v>107</v>
      </c>
      <c r="G5" s="64"/>
      <c r="H5" s="66"/>
      <c r="I5" s="118"/>
      <c r="J5" s="42"/>
    </row>
    <row r="6" spans="1:10" ht="31.2" customHeight="1" x14ac:dyDescent="0.35">
      <c r="A6" s="38" t="s">
        <v>25</v>
      </c>
      <c r="B6" s="39" t="s">
        <v>108</v>
      </c>
      <c r="C6" s="68"/>
      <c r="D6" s="69" t="s">
        <v>109</v>
      </c>
      <c r="E6" s="68"/>
      <c r="F6" s="69" t="s">
        <v>109</v>
      </c>
      <c r="G6" s="68"/>
      <c r="H6" s="66"/>
      <c r="I6" s="118"/>
      <c r="J6" s="42"/>
    </row>
    <row r="7" spans="1:10" ht="31.2" customHeight="1" x14ac:dyDescent="0.35">
      <c r="A7" s="38" t="s">
        <v>23</v>
      </c>
      <c r="B7" s="39" t="s">
        <v>110</v>
      </c>
      <c r="C7" s="69" t="s">
        <v>109</v>
      </c>
      <c r="D7" s="64"/>
      <c r="E7" s="69" t="s">
        <v>109</v>
      </c>
      <c r="F7" s="64"/>
      <c r="G7" s="69" t="s">
        <v>109</v>
      </c>
      <c r="H7" s="66"/>
      <c r="I7" s="118"/>
      <c r="J7" s="42"/>
    </row>
    <row r="8" spans="1:10" ht="31.2" customHeight="1" x14ac:dyDescent="0.35">
      <c r="A8" s="38" t="s">
        <v>20</v>
      </c>
      <c r="B8" s="39" t="s">
        <v>111</v>
      </c>
      <c r="C8" s="70" t="s">
        <v>109</v>
      </c>
      <c r="D8" s="64"/>
      <c r="E8" s="69" t="s">
        <v>109</v>
      </c>
      <c r="F8" s="68"/>
      <c r="G8" s="65" t="s">
        <v>109</v>
      </c>
      <c r="H8" s="66"/>
      <c r="I8" s="118"/>
      <c r="J8" s="42"/>
    </row>
    <row r="9" spans="1:10" ht="31.5" customHeight="1" x14ac:dyDescent="0.35">
      <c r="A9" s="38" t="s">
        <v>19</v>
      </c>
      <c r="B9" s="39" t="s">
        <v>112</v>
      </c>
      <c r="C9" s="69" t="s">
        <v>109</v>
      </c>
      <c r="D9" s="64"/>
      <c r="E9" s="64"/>
      <c r="F9" s="70" t="s">
        <v>109</v>
      </c>
      <c r="G9" s="69" t="s">
        <v>109</v>
      </c>
      <c r="H9" s="71" t="s">
        <v>113</v>
      </c>
      <c r="I9" s="118"/>
      <c r="J9" s="42"/>
    </row>
    <row r="10" spans="1:10" ht="31.2" customHeight="1" x14ac:dyDescent="0.35">
      <c r="A10" s="36" t="s">
        <v>17</v>
      </c>
      <c r="B10" s="39" t="s">
        <v>114</v>
      </c>
      <c r="C10" s="64"/>
      <c r="D10" s="70" t="s">
        <v>115</v>
      </c>
      <c r="E10" s="64"/>
      <c r="F10" s="69" t="s">
        <v>116</v>
      </c>
      <c r="G10" s="69" t="s">
        <v>115</v>
      </c>
      <c r="H10" s="66"/>
      <c r="I10" s="118"/>
      <c r="J10" s="42"/>
    </row>
    <row r="11" spans="1:10" ht="31.8" customHeight="1" thickBot="1" x14ac:dyDescent="0.4">
      <c r="A11" s="37" t="s">
        <v>14</v>
      </c>
      <c r="B11" s="41" t="s">
        <v>117</v>
      </c>
      <c r="C11" s="64"/>
      <c r="D11" s="72"/>
      <c r="E11" s="73" t="s">
        <v>118</v>
      </c>
      <c r="F11" s="83"/>
      <c r="G11" s="74" t="s">
        <v>119</v>
      </c>
      <c r="H11" s="75"/>
      <c r="I11" s="119"/>
      <c r="J11" s="42"/>
    </row>
    <row r="12" spans="1:10" ht="18.600000000000001" customHeight="1" thickTop="1" x14ac:dyDescent="0.35">
      <c r="A12" s="38" t="s">
        <v>18</v>
      </c>
      <c r="B12" s="40" t="s">
        <v>120</v>
      </c>
      <c r="C12" s="76" t="s">
        <v>121</v>
      </c>
      <c r="D12" s="77"/>
      <c r="E12" s="76" t="s">
        <v>121</v>
      </c>
      <c r="F12" s="76" t="s">
        <v>121</v>
      </c>
      <c r="G12" s="77"/>
      <c r="H12" s="78"/>
    </row>
    <row r="13" spans="1:10" ht="18.600000000000001" customHeight="1" thickBot="1" x14ac:dyDescent="0.4">
      <c r="A13" s="38" t="s">
        <v>8</v>
      </c>
      <c r="B13" s="41" t="s">
        <v>122</v>
      </c>
      <c r="C13" s="79" t="s">
        <v>121</v>
      </c>
      <c r="D13" s="72"/>
      <c r="E13" s="79" t="s">
        <v>121</v>
      </c>
      <c r="F13" s="79" t="s">
        <v>121</v>
      </c>
      <c r="G13" s="72"/>
      <c r="H13" s="75"/>
    </row>
    <row r="14" spans="1:10" ht="19.2" customHeight="1" thickTop="1" thickBot="1" x14ac:dyDescent="0.4">
      <c r="A14" s="38" t="s">
        <v>123</v>
      </c>
      <c r="B14" s="38"/>
      <c r="C14" s="80"/>
      <c r="D14" s="81" t="s">
        <v>121</v>
      </c>
      <c r="E14" s="80"/>
      <c r="F14" s="80"/>
      <c r="G14" s="80"/>
      <c r="H14" s="82"/>
    </row>
    <row r="15" spans="1:10" ht="16.8" customHeight="1" thickTop="1" thickBot="1" x14ac:dyDescent="0.35">
      <c r="A15" s="120" t="s">
        <v>124</v>
      </c>
      <c r="B15" s="115"/>
      <c r="C15" s="115"/>
      <c r="D15" s="115"/>
      <c r="E15" s="115"/>
      <c r="F15" s="115"/>
      <c r="G15" s="115"/>
      <c r="H15" s="116"/>
    </row>
    <row r="16" spans="1:10" ht="16.8" customHeight="1" thickTop="1" thickBot="1" x14ac:dyDescent="0.35">
      <c r="A16" s="121" t="s">
        <v>125</v>
      </c>
      <c r="B16" s="115"/>
      <c r="C16" s="115"/>
      <c r="D16" s="115"/>
      <c r="E16" s="115"/>
      <c r="F16" s="115"/>
      <c r="G16" s="115"/>
      <c r="H16" s="116"/>
    </row>
    <row r="17" spans="1:8" ht="16.8" customHeight="1" thickTop="1" thickBot="1" x14ac:dyDescent="0.35">
      <c r="A17" s="124" t="s">
        <v>126</v>
      </c>
      <c r="B17" s="115"/>
      <c r="C17" s="115"/>
      <c r="D17" s="115"/>
      <c r="E17" s="115"/>
      <c r="F17" s="115"/>
      <c r="G17" s="115"/>
      <c r="H17" s="116"/>
    </row>
    <row r="18" spans="1:8" ht="16.8" customHeight="1" thickTop="1" thickBot="1" x14ac:dyDescent="0.35">
      <c r="A18" s="114" t="s">
        <v>127</v>
      </c>
      <c r="B18" s="115"/>
      <c r="C18" s="115"/>
      <c r="D18" s="115"/>
      <c r="E18" s="115"/>
      <c r="F18" s="115"/>
      <c r="G18" s="115"/>
      <c r="H18" s="116"/>
    </row>
    <row r="19" spans="1:8" ht="15" customHeight="1" thickTop="1" x14ac:dyDescent="0.3"/>
  </sheetData>
  <mergeCells count="6">
    <mergeCell ref="A18:H18"/>
    <mergeCell ref="I2:I11"/>
    <mergeCell ref="A15:H15"/>
    <mergeCell ref="A16:H16"/>
    <mergeCell ref="A1:H1"/>
    <mergeCell ref="A17:H17"/>
  </mergeCells>
  <pageMargins left="0.23622047244094491" right="0.23622047244094491" top="0.15748031496062989" bottom="0.19685039370078741" header="0.31496062992125978" footer="0.31496062992125978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H84"/>
  <sheetViews>
    <sheetView workbookViewId="0">
      <selection activeCell="E81" sqref="E81"/>
    </sheetView>
  </sheetViews>
  <sheetFormatPr baseColWidth="10" defaultRowHeight="14.4" x14ac:dyDescent="0.3"/>
  <cols>
    <col min="1" max="1" width="25.33203125" style="99" bestFit="1" customWidth="1"/>
    <col min="2" max="2" width="11.33203125" style="99" bestFit="1" customWidth="1"/>
    <col min="3" max="3" width="15.88671875" style="99" bestFit="1" customWidth="1"/>
    <col min="4" max="4" width="27" style="48" bestFit="1" customWidth="1"/>
    <col min="5" max="5" width="27" style="100" customWidth="1"/>
    <col min="6" max="6" width="17.109375" style="99" bestFit="1" customWidth="1"/>
    <col min="7" max="7" width="21.5546875" style="99" bestFit="1" customWidth="1"/>
    <col min="8" max="8" width="18.44140625" style="99" bestFit="1" customWidth="1"/>
  </cols>
  <sheetData>
    <row r="1" spans="1:8" x14ac:dyDescent="0.3">
      <c r="A1" s="57" t="str">
        <f>'Nach Mannschaften sortiert'!A1</f>
        <v>fortlaufende Nummer</v>
      </c>
      <c r="B1" s="57" t="str">
        <f>'Nach Mannschaften sortiert'!B1</f>
        <v>Runde</v>
      </c>
      <c r="C1" s="57" t="str">
        <f>'Nach Mannschaften sortiert'!C1</f>
        <v>Mannschaft</v>
      </c>
      <c r="D1" s="58" t="str">
        <f>'Nach Mannschaften sortiert'!D1</f>
        <v>fixierter Termin</v>
      </c>
      <c r="E1" s="101" t="str">
        <f>'Nach Mannschaften sortiert'!E1</f>
        <v>fixierte Uhrzeit</v>
      </c>
      <c r="F1" s="57" t="str">
        <f>'Nach Mannschaften sortiert'!F1</f>
        <v>Ort</v>
      </c>
      <c r="G1" s="57" t="str">
        <f>'Nach Mannschaften sortiert'!G1</f>
        <v>Gegner</v>
      </c>
      <c r="H1" s="57" t="str">
        <f>'Nach Mannschaften sortiert'!H1</f>
        <v>Auswärt/Heim</v>
      </c>
    </row>
    <row r="2" spans="1:8" hidden="1" x14ac:dyDescent="0.3">
      <c r="A2" s="57">
        <f>'Nach Mannschaften sortiert'!A6</f>
        <v>1</v>
      </c>
      <c r="B2" s="57">
        <f>'Nach Mannschaften sortiert'!B6</f>
        <v>1</v>
      </c>
      <c r="C2" s="57" t="str">
        <f>'Nach Mannschaften sortiert'!C6</f>
        <v>KM</v>
      </c>
      <c r="D2" s="58">
        <f>'Nach Mannschaften sortiert'!D6</f>
        <v>0</v>
      </c>
      <c r="E2" s="101">
        <f>'Nach Mannschaften sortiert'!E6</f>
        <v>0</v>
      </c>
      <c r="F2" s="57">
        <f>'Nach Mannschaften sortiert'!F6</f>
        <v>0</v>
      </c>
      <c r="G2" s="57">
        <f>'Nach Mannschaften sortiert'!G6</f>
        <v>0</v>
      </c>
      <c r="H2" s="57">
        <f>'Nach Mannschaften sortiert'!H6</f>
        <v>0</v>
      </c>
    </row>
    <row r="3" spans="1:8" x14ac:dyDescent="0.3">
      <c r="A3" s="57">
        <f>'Nach Mannschaften sortiert'!A7</f>
        <v>2</v>
      </c>
      <c r="B3" s="57">
        <f>'Nach Mannschaften sortiert'!B7</f>
        <v>2</v>
      </c>
      <c r="C3" s="57" t="str">
        <f>'Nach Mannschaften sortiert'!C7</f>
        <v>KM</v>
      </c>
      <c r="D3" s="58">
        <f>'Nach Mannschaften sortiert'!D7</f>
        <v>0</v>
      </c>
      <c r="E3" s="101">
        <f>'Nach Mannschaften sortiert'!E7</f>
        <v>0</v>
      </c>
      <c r="F3" s="57">
        <f>'Nach Mannschaften sortiert'!F7</f>
        <v>0</v>
      </c>
      <c r="G3" s="57">
        <f>'Nach Mannschaften sortiert'!G7</f>
        <v>0</v>
      </c>
      <c r="H3" s="57">
        <f>'Nach Mannschaften sortiert'!H7</f>
        <v>0</v>
      </c>
    </row>
    <row r="4" spans="1:8" hidden="1" x14ac:dyDescent="0.3">
      <c r="A4" s="57">
        <f>'Nach Mannschaften sortiert'!A8</f>
        <v>3</v>
      </c>
      <c r="B4" s="57">
        <f>'Nach Mannschaften sortiert'!B8</f>
        <v>3</v>
      </c>
      <c r="C4" s="57" t="str">
        <f>'Nach Mannschaften sortiert'!C8</f>
        <v>KM</v>
      </c>
      <c r="D4" s="58">
        <f>'Nach Mannschaften sortiert'!D8</f>
        <v>0</v>
      </c>
      <c r="E4" s="101">
        <f>'Nach Mannschaften sortiert'!E8</f>
        <v>0</v>
      </c>
      <c r="F4" s="57">
        <f>'Nach Mannschaften sortiert'!F8</f>
        <v>0</v>
      </c>
      <c r="G4" s="57">
        <f>'Nach Mannschaften sortiert'!G8</f>
        <v>0</v>
      </c>
      <c r="H4" s="57">
        <f>'Nach Mannschaften sortiert'!H8</f>
        <v>0</v>
      </c>
    </row>
    <row r="5" spans="1:8" x14ac:dyDescent="0.3">
      <c r="A5" s="57">
        <f>'Nach Mannschaften sortiert'!A50</f>
        <v>34</v>
      </c>
      <c r="B5" s="57">
        <f>'Nach Mannschaften sortiert'!B50</f>
        <v>1</v>
      </c>
      <c r="C5" s="57" t="str">
        <f>'Nach Mannschaften sortiert'!C50</f>
        <v>U13</v>
      </c>
      <c r="D5" s="58">
        <f>'Nach Mannschaften sortiert'!D50</f>
        <v>0</v>
      </c>
      <c r="E5" s="101">
        <f>'Nach Mannschaften sortiert'!E50</f>
        <v>0</v>
      </c>
      <c r="F5" s="57">
        <f>'Nach Mannschaften sortiert'!F50</f>
        <v>0</v>
      </c>
      <c r="G5" s="57">
        <f>'Nach Mannschaften sortiert'!G50</f>
        <v>0</v>
      </c>
      <c r="H5" s="57">
        <f>'Nach Mannschaften sortiert'!H50</f>
        <v>0</v>
      </c>
    </row>
    <row r="6" spans="1:8" hidden="1" x14ac:dyDescent="0.3">
      <c r="A6" s="57">
        <f>'Nach Mannschaften sortiert'!A10</f>
        <v>5</v>
      </c>
      <c r="B6" s="57">
        <f>'Nach Mannschaften sortiert'!B10</f>
        <v>5</v>
      </c>
      <c r="C6" s="57" t="str">
        <f>'Nach Mannschaften sortiert'!C10</f>
        <v>KM</v>
      </c>
      <c r="D6" s="58">
        <f>'Nach Mannschaften sortiert'!D10</f>
        <v>0</v>
      </c>
      <c r="E6" s="101">
        <f>'Nach Mannschaften sortiert'!E10</f>
        <v>0</v>
      </c>
      <c r="F6" s="57">
        <f>'Nach Mannschaften sortiert'!F10</f>
        <v>0</v>
      </c>
      <c r="G6" s="57">
        <f>'Nach Mannschaften sortiert'!G10</f>
        <v>0</v>
      </c>
      <c r="H6" s="57">
        <f>'Nach Mannschaften sortiert'!H10</f>
        <v>0</v>
      </c>
    </row>
    <row r="7" spans="1:8" x14ac:dyDescent="0.3">
      <c r="A7" s="57">
        <f>'Nach Mannschaften sortiert'!A58</f>
        <v>44</v>
      </c>
      <c r="B7" s="57">
        <f>'Nach Mannschaften sortiert'!B58</f>
        <v>1</v>
      </c>
      <c r="C7" s="57" t="str">
        <f>'Nach Mannschaften sortiert'!C58</f>
        <v>U12_1</v>
      </c>
      <c r="D7" s="58">
        <f>'Nach Mannschaften sortiert'!D58</f>
        <v>0</v>
      </c>
      <c r="E7" s="101">
        <f>'Nach Mannschaften sortiert'!E58</f>
        <v>0</v>
      </c>
      <c r="F7" s="57">
        <f>'Nach Mannschaften sortiert'!F58</f>
        <v>0</v>
      </c>
      <c r="G7" s="57">
        <f>'Nach Mannschaften sortiert'!G58</f>
        <v>0</v>
      </c>
      <c r="H7" s="57">
        <f>'Nach Mannschaften sortiert'!H58</f>
        <v>0</v>
      </c>
    </row>
    <row r="8" spans="1:8" hidden="1" x14ac:dyDescent="0.3">
      <c r="A8" s="57">
        <f>'Nach Mannschaften sortiert'!A12</f>
        <v>7</v>
      </c>
      <c r="B8" s="57">
        <f>'Nach Mannschaften sortiert'!B12</f>
        <v>7</v>
      </c>
      <c r="C8" s="57" t="str">
        <f>'Nach Mannschaften sortiert'!C12</f>
        <v>KM</v>
      </c>
      <c r="D8" s="58">
        <f>'Nach Mannschaften sortiert'!D12</f>
        <v>0</v>
      </c>
      <c r="E8" s="101">
        <f>'Nach Mannschaften sortiert'!E12</f>
        <v>0</v>
      </c>
      <c r="F8" s="57">
        <f>'Nach Mannschaften sortiert'!F12</f>
        <v>0</v>
      </c>
      <c r="G8" s="57">
        <f>'Nach Mannschaften sortiert'!G12</f>
        <v>0</v>
      </c>
      <c r="H8" s="57">
        <f>'Nach Mannschaften sortiert'!H12</f>
        <v>0</v>
      </c>
    </row>
    <row r="9" spans="1:8" x14ac:dyDescent="0.3">
      <c r="A9" s="55">
        <f>'Nach Mannschaften sortiert'!A104</f>
        <v>79</v>
      </c>
      <c r="B9" s="55">
        <f>'Nach Mannschaften sortiert'!B104</f>
        <v>1</v>
      </c>
      <c r="C9" s="55" t="str">
        <f>'Nach Mannschaften sortiert'!C104</f>
        <v>U8</v>
      </c>
      <c r="D9" s="56">
        <f>'Nach Mannschaften sortiert'!D104</f>
        <v>0</v>
      </c>
      <c r="E9" s="102">
        <f>'Nach Mannschaften sortiert'!E104</f>
        <v>0</v>
      </c>
      <c r="F9" s="55">
        <f>'Nach Mannschaften sortiert'!F104</f>
        <v>0</v>
      </c>
      <c r="G9" s="55">
        <f>'Nach Mannschaften sortiert'!G104</f>
        <v>0</v>
      </c>
      <c r="H9" s="55">
        <f>'Nach Mannschaften sortiert'!H104</f>
        <v>0</v>
      </c>
    </row>
    <row r="10" spans="1:8" hidden="1" x14ac:dyDescent="0.3">
      <c r="A10" s="57">
        <f>'Nach Mannschaften sortiert'!A14</f>
        <v>9</v>
      </c>
      <c r="B10" s="57">
        <f>'Nach Mannschaften sortiert'!B14</f>
        <v>9</v>
      </c>
      <c r="C10" s="57" t="str">
        <f>'Nach Mannschaften sortiert'!C14</f>
        <v>KM</v>
      </c>
      <c r="D10" s="58">
        <f>'Nach Mannschaften sortiert'!D14</f>
        <v>0</v>
      </c>
      <c r="E10" s="101">
        <f>'Nach Mannschaften sortiert'!E14</f>
        <v>0</v>
      </c>
      <c r="F10" s="57">
        <f>'Nach Mannschaften sortiert'!F14</f>
        <v>0</v>
      </c>
      <c r="G10" s="57">
        <f>'Nach Mannschaften sortiert'!G14</f>
        <v>0</v>
      </c>
      <c r="H10" s="57">
        <f>'Nach Mannschaften sortiert'!H14</f>
        <v>0</v>
      </c>
    </row>
    <row r="11" spans="1:8" x14ac:dyDescent="0.3">
      <c r="A11" s="55">
        <f>'Nach Mannschaften sortiert'!A112</f>
        <v>80</v>
      </c>
      <c r="B11" s="55">
        <f>'Nach Mannschaften sortiert'!B112</f>
        <v>4</v>
      </c>
      <c r="C11" s="55" t="str">
        <f>'Nach Mannschaften sortiert'!C112</f>
        <v>U7</v>
      </c>
      <c r="D11" s="56">
        <f>'Nach Mannschaften sortiert'!D112</f>
        <v>0</v>
      </c>
      <c r="E11" s="102">
        <f>'Nach Mannschaften sortiert'!E112</f>
        <v>0</v>
      </c>
      <c r="F11" s="55">
        <f>'Nach Mannschaften sortiert'!F112</f>
        <v>0</v>
      </c>
      <c r="G11" s="55">
        <f>'Nach Mannschaften sortiert'!G112</f>
        <v>0</v>
      </c>
      <c r="H11" s="55">
        <f>'Nach Mannschaften sortiert'!H112</f>
        <v>0</v>
      </c>
    </row>
    <row r="12" spans="1:8" hidden="1" x14ac:dyDescent="0.3">
      <c r="A12" s="57">
        <f>'Nach Mannschaften sortiert'!A16</f>
        <v>11</v>
      </c>
      <c r="B12" s="57">
        <f>'Nach Mannschaften sortiert'!B16</f>
        <v>11</v>
      </c>
      <c r="C12" s="57" t="str">
        <f>'Nach Mannschaften sortiert'!C16</f>
        <v>KM</v>
      </c>
      <c r="D12" s="58">
        <f>'Nach Mannschaften sortiert'!D16</f>
        <v>0</v>
      </c>
      <c r="E12" s="101">
        <f>'Nach Mannschaften sortiert'!E16</f>
        <v>0</v>
      </c>
      <c r="F12" s="57">
        <f>'Nach Mannschaften sortiert'!F16</f>
        <v>0</v>
      </c>
      <c r="G12" s="57">
        <f>'Nach Mannschaften sortiert'!G16</f>
        <v>0</v>
      </c>
      <c r="H12" s="57">
        <f>'Nach Mannschaften sortiert'!H16</f>
        <v>0</v>
      </c>
    </row>
    <row r="13" spans="1:8" hidden="1" x14ac:dyDescent="0.3">
      <c r="A13" s="57">
        <f>'Nach Mannschaften sortiert'!A17</f>
        <v>12</v>
      </c>
      <c r="B13" s="57">
        <f>'Nach Mannschaften sortiert'!B17</f>
        <v>12</v>
      </c>
      <c r="C13" s="57" t="str">
        <f>'Nach Mannschaften sortiert'!C17</f>
        <v>KM</v>
      </c>
      <c r="D13" s="58">
        <f>'Nach Mannschaften sortiert'!D17</f>
        <v>0</v>
      </c>
      <c r="E13" s="101">
        <f>'Nach Mannschaften sortiert'!E17</f>
        <v>0</v>
      </c>
      <c r="F13" s="57">
        <f>'Nach Mannschaften sortiert'!F17</f>
        <v>0</v>
      </c>
      <c r="G13" s="57">
        <f>'Nach Mannschaften sortiert'!G17</f>
        <v>0</v>
      </c>
      <c r="H13" s="57">
        <f>'Nach Mannschaften sortiert'!H17</f>
        <v>0</v>
      </c>
    </row>
    <row r="14" spans="1:8" x14ac:dyDescent="0.3">
      <c r="A14" s="55">
        <f>'Nach Mannschaften sortiert'!A113</f>
        <v>81</v>
      </c>
      <c r="B14" s="55">
        <f>'Nach Mannschaften sortiert'!B113</f>
        <v>5</v>
      </c>
      <c r="C14" s="55" t="str">
        <f>'Nach Mannschaften sortiert'!C113</f>
        <v>U7</v>
      </c>
      <c r="D14" s="56">
        <f>'Nach Mannschaften sortiert'!D113</f>
        <v>0</v>
      </c>
      <c r="E14" s="102">
        <f>'Nach Mannschaften sortiert'!E113</f>
        <v>0</v>
      </c>
      <c r="F14" s="55">
        <f>'Nach Mannschaften sortiert'!F113</f>
        <v>0</v>
      </c>
      <c r="G14" s="55">
        <f>'Nach Mannschaften sortiert'!G113</f>
        <v>0</v>
      </c>
      <c r="H14" s="55">
        <f>'Nach Mannschaften sortiert'!H113</f>
        <v>0</v>
      </c>
    </row>
    <row r="15" spans="1:8" hidden="1" x14ac:dyDescent="0.3">
      <c r="A15" s="57">
        <f>'Nach Mannschaften sortiert'!A32</f>
        <v>14</v>
      </c>
      <c r="B15" s="57">
        <f>'Nach Mannschaften sortiert'!B32</f>
        <v>1</v>
      </c>
      <c r="C15" s="57" t="str">
        <f>'Nach Mannschaften sortiert'!C32</f>
        <v>U16</v>
      </c>
      <c r="D15" s="58">
        <f>'Nach Mannschaften sortiert'!D32</f>
        <v>0</v>
      </c>
      <c r="E15" s="101">
        <f>'Nach Mannschaften sortiert'!E32</f>
        <v>0</v>
      </c>
      <c r="F15" s="57">
        <f>'Nach Mannschaften sortiert'!F32</f>
        <v>0</v>
      </c>
      <c r="G15" s="57">
        <f>'Nach Mannschaften sortiert'!G32</f>
        <v>0</v>
      </c>
      <c r="H15" s="57">
        <f>'Nach Mannschaften sortiert'!H32</f>
        <v>0</v>
      </c>
    </row>
    <row r="16" spans="1:8" hidden="1" x14ac:dyDescent="0.3">
      <c r="A16" s="51">
        <f>'Nach Mannschaften sortiert'!A33</f>
        <v>15</v>
      </c>
      <c r="B16" s="51">
        <f>'Nach Mannschaften sortiert'!B33</f>
        <v>2</v>
      </c>
      <c r="C16" s="51" t="str">
        <f>'Nach Mannschaften sortiert'!C33</f>
        <v>U16</v>
      </c>
      <c r="D16" s="52">
        <f>'Nach Mannschaften sortiert'!D33</f>
        <v>0</v>
      </c>
      <c r="E16" s="103">
        <f>'Nach Mannschaften sortiert'!E33</f>
        <v>0</v>
      </c>
      <c r="F16" s="51">
        <f>'Nach Mannschaften sortiert'!F33</f>
        <v>0</v>
      </c>
      <c r="G16" s="51">
        <f>'Nach Mannschaften sortiert'!G33</f>
        <v>0</v>
      </c>
      <c r="H16" s="51">
        <f>'Nach Mannschaften sortiert'!H33</f>
        <v>0</v>
      </c>
    </row>
    <row r="17" spans="1:8" hidden="1" x14ac:dyDescent="0.3">
      <c r="A17" s="57">
        <f>'Nach Mannschaften sortiert'!A34</f>
        <v>16</v>
      </c>
      <c r="B17" s="57">
        <f>'Nach Mannschaften sortiert'!B34</f>
        <v>3</v>
      </c>
      <c r="C17" s="57" t="str">
        <f>'Nach Mannschaften sortiert'!C34</f>
        <v>U16</v>
      </c>
      <c r="D17" s="58">
        <f>'Nach Mannschaften sortiert'!D34</f>
        <v>0</v>
      </c>
      <c r="E17" s="101">
        <f>'Nach Mannschaften sortiert'!E34</f>
        <v>0</v>
      </c>
      <c r="F17" s="57">
        <f>'Nach Mannschaften sortiert'!F34</f>
        <v>0</v>
      </c>
      <c r="G17" s="57">
        <f>'Nach Mannschaften sortiert'!G34</f>
        <v>0</v>
      </c>
      <c r="H17" s="57">
        <f>'Nach Mannschaften sortiert'!H34</f>
        <v>0</v>
      </c>
    </row>
    <row r="18" spans="1:8" x14ac:dyDescent="0.3">
      <c r="A18" s="57">
        <f>'Nach Mannschaften sortiert'!A9</f>
        <v>4</v>
      </c>
      <c r="B18" s="57">
        <f>'Nach Mannschaften sortiert'!B9</f>
        <v>4</v>
      </c>
      <c r="C18" s="57" t="str">
        <f>'Nach Mannschaften sortiert'!C9</f>
        <v>KM</v>
      </c>
      <c r="D18" s="58">
        <f>'Nach Mannschaften sortiert'!D9</f>
        <v>0</v>
      </c>
      <c r="E18" s="101">
        <f>'Nach Mannschaften sortiert'!E9</f>
        <v>0</v>
      </c>
      <c r="F18" s="57">
        <f>'Nach Mannschaften sortiert'!F9</f>
        <v>0</v>
      </c>
      <c r="G18" s="57">
        <f>'Nach Mannschaften sortiert'!G9</f>
        <v>0</v>
      </c>
      <c r="H18" s="57">
        <f>'Nach Mannschaften sortiert'!H9</f>
        <v>0</v>
      </c>
    </row>
    <row r="19" spans="1:8" hidden="1" x14ac:dyDescent="0.3">
      <c r="A19" s="57">
        <f>'Nach Mannschaften sortiert'!A36</f>
        <v>18</v>
      </c>
      <c r="B19" s="57">
        <f>'Nach Mannschaften sortiert'!B36</f>
        <v>5</v>
      </c>
      <c r="C19" s="57" t="str">
        <f>'Nach Mannschaften sortiert'!C36</f>
        <v>U16</v>
      </c>
      <c r="D19" s="58">
        <f>'Nach Mannschaften sortiert'!D36</f>
        <v>0</v>
      </c>
      <c r="E19" s="101">
        <f>'Nach Mannschaften sortiert'!E36</f>
        <v>0</v>
      </c>
      <c r="F19" s="57">
        <f>'Nach Mannschaften sortiert'!F36</f>
        <v>0</v>
      </c>
      <c r="G19" s="57">
        <f>'Nach Mannschaften sortiert'!G36</f>
        <v>0</v>
      </c>
      <c r="H19" s="57">
        <f>'Nach Mannschaften sortiert'!H36</f>
        <v>0</v>
      </c>
    </row>
    <row r="20" spans="1:8" hidden="1" x14ac:dyDescent="0.3">
      <c r="A20" s="49">
        <f>'Nach Mannschaften sortiert'!A37</f>
        <v>19</v>
      </c>
      <c r="B20" s="49">
        <f>'Nach Mannschaften sortiert'!B37</f>
        <v>6</v>
      </c>
      <c r="C20" s="49" t="str">
        <f>'Nach Mannschaften sortiert'!C37</f>
        <v>U16</v>
      </c>
      <c r="D20" s="50">
        <f>'Nach Mannschaften sortiert'!D37</f>
        <v>0</v>
      </c>
      <c r="E20" s="104">
        <f>'Nach Mannschaften sortiert'!E37</f>
        <v>0</v>
      </c>
      <c r="F20" s="49">
        <f>'Nach Mannschaften sortiert'!F37</f>
        <v>0</v>
      </c>
      <c r="G20" s="49">
        <f>'Nach Mannschaften sortiert'!G37</f>
        <v>0</v>
      </c>
      <c r="H20" s="49">
        <f>'Nach Mannschaften sortiert'!H37</f>
        <v>0</v>
      </c>
    </row>
    <row r="21" spans="1:8" hidden="1" x14ac:dyDescent="0.3">
      <c r="A21" s="57">
        <f>'Nach Mannschaften sortiert'!A38</f>
        <v>20</v>
      </c>
      <c r="B21" s="57">
        <f>'Nach Mannschaften sortiert'!B38</f>
        <v>7</v>
      </c>
      <c r="C21" s="57" t="str">
        <f>'Nach Mannschaften sortiert'!C38</f>
        <v>U16</v>
      </c>
      <c r="D21" s="58">
        <f>'Nach Mannschaften sortiert'!D38</f>
        <v>0</v>
      </c>
      <c r="E21" s="101">
        <f>'Nach Mannschaften sortiert'!E38</f>
        <v>0</v>
      </c>
      <c r="F21" s="57">
        <f>'Nach Mannschaften sortiert'!F38</f>
        <v>0</v>
      </c>
      <c r="G21" s="57">
        <f>'Nach Mannschaften sortiert'!G38</f>
        <v>0</v>
      </c>
      <c r="H21" s="57">
        <f>'Nach Mannschaften sortiert'!H38</f>
        <v>0</v>
      </c>
    </row>
    <row r="22" spans="1:8" hidden="1" x14ac:dyDescent="0.3">
      <c r="A22" s="51">
        <f>'Nach Mannschaften sortiert'!A39</f>
        <v>21</v>
      </c>
      <c r="B22" s="51">
        <f>'Nach Mannschaften sortiert'!B39</f>
        <v>8</v>
      </c>
      <c r="C22" s="51" t="str">
        <f>'Nach Mannschaften sortiert'!C39</f>
        <v>U16</v>
      </c>
      <c r="D22" s="52">
        <f>'Nach Mannschaften sortiert'!D39</f>
        <v>0</v>
      </c>
      <c r="E22" s="103">
        <f>'Nach Mannschaften sortiert'!E39</f>
        <v>0</v>
      </c>
      <c r="F22" s="51">
        <f>'Nach Mannschaften sortiert'!F39</f>
        <v>0</v>
      </c>
      <c r="G22" s="51">
        <f>'Nach Mannschaften sortiert'!G39</f>
        <v>0</v>
      </c>
      <c r="H22" s="51">
        <f>'Nach Mannschaften sortiert'!H39</f>
        <v>0</v>
      </c>
    </row>
    <row r="23" spans="1:8" hidden="1" x14ac:dyDescent="0.3">
      <c r="A23" s="57">
        <f>'Nach Mannschaften sortiert'!A40</f>
        <v>22</v>
      </c>
      <c r="B23" s="57">
        <f>'Nach Mannschaften sortiert'!B40</f>
        <v>9</v>
      </c>
      <c r="C23" s="57" t="str">
        <f>'Nach Mannschaften sortiert'!C40</f>
        <v>U16</v>
      </c>
      <c r="D23" s="58">
        <f>'Nach Mannschaften sortiert'!D40</f>
        <v>0</v>
      </c>
      <c r="E23" s="101">
        <f>'Nach Mannschaften sortiert'!E40</f>
        <v>0</v>
      </c>
      <c r="F23" s="57">
        <f>'Nach Mannschaften sortiert'!F40</f>
        <v>0</v>
      </c>
      <c r="G23" s="57">
        <f>'Nach Mannschaften sortiert'!G40</f>
        <v>0</v>
      </c>
      <c r="H23" s="57">
        <f>'Nach Mannschaften sortiert'!H40</f>
        <v>0</v>
      </c>
    </row>
    <row r="24" spans="1:8" x14ac:dyDescent="0.3">
      <c r="A24" s="53">
        <f>'Nach Mannschaften sortiert'!A74</f>
        <v>64</v>
      </c>
      <c r="B24" s="53">
        <f>'Nach Mannschaften sortiert'!B74</f>
        <v>1</v>
      </c>
      <c r="C24" s="53" t="str">
        <f>'Nach Mannschaften sortiert'!C74</f>
        <v>U11</v>
      </c>
      <c r="D24" s="54">
        <f>'Nach Mannschaften sortiert'!D74</f>
        <v>0</v>
      </c>
      <c r="E24" s="105">
        <f>'Nach Mannschaften sortiert'!E74</f>
        <v>0</v>
      </c>
      <c r="F24" s="53">
        <f>'Nach Mannschaften sortiert'!F74</f>
        <v>0</v>
      </c>
      <c r="G24" s="53">
        <f>'Nach Mannschaften sortiert'!G74</f>
        <v>0</v>
      </c>
      <c r="H24" s="53">
        <f>'Nach Mannschaften sortiert'!H74</f>
        <v>0</v>
      </c>
    </row>
    <row r="25" spans="1:8" hidden="1" x14ac:dyDescent="0.3">
      <c r="A25" s="57" t="e">
        <f>'Nach Mannschaften sortiert'!#REF!</f>
        <v>#REF!</v>
      </c>
      <c r="B25" s="57" t="e">
        <f>'Nach Mannschaften sortiert'!#REF!</f>
        <v>#REF!</v>
      </c>
      <c r="C25" s="57" t="e">
        <f>'Nach Mannschaften sortiert'!#REF!</f>
        <v>#REF!</v>
      </c>
      <c r="D25" s="58" t="e">
        <f>'Nach Mannschaften sortiert'!#REF!</f>
        <v>#REF!</v>
      </c>
      <c r="E25" s="101" t="e">
        <f>'Nach Mannschaften sortiert'!#REF!</f>
        <v>#REF!</v>
      </c>
      <c r="F25" s="57" t="e">
        <f>'Nach Mannschaften sortiert'!#REF!</f>
        <v>#REF!</v>
      </c>
      <c r="G25" s="57" t="e">
        <f>'Nach Mannschaften sortiert'!#REF!</f>
        <v>#REF!</v>
      </c>
      <c r="H25" s="57" t="e">
        <f>'Nach Mannschaften sortiert'!#REF!</f>
        <v>#REF!</v>
      </c>
    </row>
    <row r="26" spans="1:8" x14ac:dyDescent="0.3">
      <c r="A26" s="53">
        <f>'Nach Mannschaften sortiert'!A84</f>
        <v>69</v>
      </c>
      <c r="B26" s="53">
        <f>'Nach Mannschaften sortiert'!B84</f>
        <v>1</v>
      </c>
      <c r="C26" s="53" t="str">
        <f>'Nach Mannschaften sortiert'!C84</f>
        <v>U10</v>
      </c>
      <c r="D26" s="54">
        <f>'Nach Mannschaften sortiert'!D84</f>
        <v>0</v>
      </c>
      <c r="E26" s="105">
        <f>'Nach Mannschaften sortiert'!E84</f>
        <v>0</v>
      </c>
      <c r="F26" s="53">
        <f>'Nach Mannschaften sortiert'!F84</f>
        <v>0</v>
      </c>
      <c r="G26" s="53">
        <f>'Nach Mannschaften sortiert'!G84</f>
        <v>0</v>
      </c>
      <c r="H26" s="53">
        <f>'Nach Mannschaften sortiert'!H84</f>
        <v>0</v>
      </c>
    </row>
    <row r="27" spans="1:8" hidden="1" x14ac:dyDescent="0.3">
      <c r="A27" s="51">
        <f>'Nach Mannschaften sortiert'!A43</f>
        <v>26</v>
      </c>
      <c r="B27" s="51">
        <f>'Nach Mannschaften sortiert'!B43</f>
        <v>3</v>
      </c>
      <c r="C27" s="51" t="str">
        <f>'Nach Mannschaften sortiert'!C43</f>
        <v>U14</v>
      </c>
      <c r="D27" s="52">
        <f>'Nach Mannschaften sortiert'!D43</f>
        <v>0</v>
      </c>
      <c r="E27" s="103">
        <f>'Nach Mannschaften sortiert'!E43</f>
        <v>0</v>
      </c>
      <c r="F27" s="51">
        <f>'Nach Mannschaften sortiert'!F43</f>
        <v>0</v>
      </c>
      <c r="G27" s="51">
        <f>'Nach Mannschaften sortiert'!G43</f>
        <v>0</v>
      </c>
      <c r="H27" s="51">
        <f>'Nach Mannschaften sortiert'!H43</f>
        <v>0</v>
      </c>
    </row>
    <row r="28" spans="1:8" hidden="1" x14ac:dyDescent="0.3">
      <c r="A28" s="57">
        <f>'Nach Mannschaften sortiert'!A44</f>
        <v>27</v>
      </c>
      <c r="B28" s="57">
        <f>'Nach Mannschaften sortiert'!B44</f>
        <v>4</v>
      </c>
      <c r="C28" s="57" t="str">
        <f>'Nach Mannschaften sortiert'!C44</f>
        <v>U14</v>
      </c>
      <c r="D28" s="58">
        <f>'Nach Mannschaften sortiert'!D44</f>
        <v>0</v>
      </c>
      <c r="E28" s="101">
        <f>'Nach Mannschaften sortiert'!E44</f>
        <v>0</v>
      </c>
      <c r="F28" s="57">
        <f>'Nach Mannschaften sortiert'!F44</f>
        <v>0</v>
      </c>
      <c r="G28" s="57">
        <f>'Nach Mannschaften sortiert'!G44</f>
        <v>0</v>
      </c>
      <c r="H28" s="57">
        <f>'Nach Mannschaften sortiert'!H44</f>
        <v>0</v>
      </c>
    </row>
    <row r="29" spans="1:8" x14ac:dyDescent="0.3">
      <c r="A29" s="53">
        <f>'Nach Mannschaften sortiert'!A94</f>
        <v>74</v>
      </c>
      <c r="B29" s="53">
        <f>'Nach Mannschaften sortiert'!B94</f>
        <v>1</v>
      </c>
      <c r="C29" s="53" t="str">
        <f>'Nach Mannschaften sortiert'!C94</f>
        <v>U9</v>
      </c>
      <c r="D29" s="54">
        <f>'Nach Mannschaften sortiert'!D94</f>
        <v>0</v>
      </c>
      <c r="E29" s="105">
        <f>'Nach Mannschaften sortiert'!E94</f>
        <v>0</v>
      </c>
      <c r="F29" s="53">
        <f>'Nach Mannschaften sortiert'!F94</f>
        <v>0</v>
      </c>
      <c r="G29" s="53">
        <f>'Nach Mannschaften sortiert'!G94</f>
        <v>0</v>
      </c>
      <c r="H29" s="53">
        <f>'Nach Mannschaften sortiert'!H94</f>
        <v>0</v>
      </c>
    </row>
    <row r="30" spans="1:8" hidden="1" x14ac:dyDescent="0.3">
      <c r="A30" s="57" t="e">
        <f>'Nach Mannschaften sortiert'!#REF!</f>
        <v>#REF!</v>
      </c>
      <c r="B30" s="57" t="e">
        <f>'Nach Mannschaften sortiert'!#REF!</f>
        <v>#REF!</v>
      </c>
      <c r="C30" s="57" t="e">
        <f>'Nach Mannschaften sortiert'!#REF!</f>
        <v>#REF!</v>
      </c>
      <c r="D30" s="58" t="e">
        <f>'Nach Mannschaften sortiert'!#REF!</f>
        <v>#REF!</v>
      </c>
      <c r="E30" s="101" t="e">
        <f>'Nach Mannschaften sortiert'!#REF!</f>
        <v>#REF!</v>
      </c>
      <c r="F30" s="57" t="e">
        <f>'Nach Mannschaften sortiert'!#REF!</f>
        <v>#REF!</v>
      </c>
      <c r="G30" s="57" t="e">
        <f>'Nach Mannschaften sortiert'!#REF!</f>
        <v>#REF!</v>
      </c>
      <c r="H30" s="57" t="e">
        <f>'Nach Mannschaften sortiert'!#REF!</f>
        <v>#REF!</v>
      </c>
    </row>
    <row r="31" spans="1:8" hidden="1" x14ac:dyDescent="0.3">
      <c r="A31" s="57">
        <f>'Nach Mannschaften sortiert'!A46</f>
        <v>30</v>
      </c>
      <c r="B31" s="57">
        <f>'Nach Mannschaften sortiert'!B46</f>
        <v>7</v>
      </c>
      <c r="C31" s="57" t="str">
        <f>'Nach Mannschaften sortiert'!C46</f>
        <v>U14</v>
      </c>
      <c r="D31" s="58">
        <f>'Nach Mannschaften sortiert'!D46</f>
        <v>0</v>
      </c>
      <c r="E31" s="101">
        <f>'Nach Mannschaften sortiert'!E46</f>
        <v>0</v>
      </c>
      <c r="F31" s="57">
        <f>'Nach Mannschaften sortiert'!F46</f>
        <v>0</v>
      </c>
      <c r="G31" s="57">
        <f>'Nach Mannschaften sortiert'!G46</f>
        <v>0</v>
      </c>
      <c r="H31" s="57">
        <f>'Nach Mannschaften sortiert'!H46</f>
        <v>0</v>
      </c>
    </row>
    <row r="32" spans="1:8" hidden="1" x14ac:dyDescent="0.3">
      <c r="A32" s="57">
        <f>'Nach Mannschaften sortiert'!A47</f>
        <v>31</v>
      </c>
      <c r="B32" s="57">
        <f>'Nach Mannschaften sortiert'!B47</f>
        <v>8</v>
      </c>
      <c r="C32" s="57" t="str">
        <f>'Nach Mannschaften sortiert'!C47</f>
        <v>U14</v>
      </c>
      <c r="D32" s="58">
        <f>'Nach Mannschaften sortiert'!D47</f>
        <v>0</v>
      </c>
      <c r="E32" s="101">
        <f>'Nach Mannschaften sortiert'!E47</f>
        <v>0</v>
      </c>
      <c r="F32" s="57">
        <f>'Nach Mannschaften sortiert'!F47</f>
        <v>0</v>
      </c>
      <c r="G32" s="57">
        <f>'Nach Mannschaften sortiert'!G47</f>
        <v>0</v>
      </c>
      <c r="H32" s="57">
        <f>'Nach Mannschaften sortiert'!H47</f>
        <v>0</v>
      </c>
    </row>
    <row r="33" spans="1:8" hidden="1" x14ac:dyDescent="0.3">
      <c r="A33" s="51">
        <f>'Nach Mannschaften sortiert'!A48</f>
        <v>32</v>
      </c>
      <c r="B33" s="51">
        <f>'Nach Mannschaften sortiert'!B48</f>
        <v>9</v>
      </c>
      <c r="C33" s="51" t="str">
        <f>'Nach Mannschaften sortiert'!C48</f>
        <v>U14</v>
      </c>
      <c r="D33" s="52">
        <f>'Nach Mannschaften sortiert'!D48</f>
        <v>0</v>
      </c>
      <c r="E33" s="103">
        <f>'Nach Mannschaften sortiert'!E48</f>
        <v>0</v>
      </c>
      <c r="F33" s="51">
        <f>'Nach Mannschaften sortiert'!F48</f>
        <v>0</v>
      </c>
      <c r="G33" s="51">
        <f>'Nach Mannschaften sortiert'!G48</f>
        <v>0</v>
      </c>
      <c r="H33" s="51">
        <f>'Nach Mannschaften sortiert'!H48</f>
        <v>0</v>
      </c>
    </row>
    <row r="34" spans="1:8" hidden="1" x14ac:dyDescent="0.3">
      <c r="A34" s="57">
        <f>'Nach Mannschaften sortiert'!A49</f>
        <v>33</v>
      </c>
      <c r="B34" s="57">
        <f>'Nach Mannschaften sortiert'!B49</f>
        <v>10</v>
      </c>
      <c r="C34" s="57" t="str">
        <f>'Nach Mannschaften sortiert'!C49</f>
        <v>U14</v>
      </c>
      <c r="D34" s="58">
        <f>'Nach Mannschaften sortiert'!D49</f>
        <v>0</v>
      </c>
      <c r="E34" s="101">
        <f>'Nach Mannschaften sortiert'!E49</f>
        <v>0</v>
      </c>
      <c r="F34" s="57">
        <f>'Nach Mannschaften sortiert'!F49</f>
        <v>0</v>
      </c>
      <c r="G34" s="57">
        <f>'Nach Mannschaften sortiert'!G49</f>
        <v>0</v>
      </c>
      <c r="H34" s="57">
        <f>'Nach Mannschaften sortiert'!H49</f>
        <v>0</v>
      </c>
    </row>
    <row r="35" spans="1:8" x14ac:dyDescent="0.3">
      <c r="A35" s="53">
        <f>'Nach Mannschaften sortiert'!A67</f>
        <v>55</v>
      </c>
      <c r="B35" s="53">
        <f>'Nach Mannschaften sortiert'!B67</f>
        <v>2</v>
      </c>
      <c r="C35" s="53" t="str">
        <f>'Nach Mannschaften sortiert'!C67</f>
        <v>U12_2</v>
      </c>
      <c r="D35" s="54">
        <f>'Nach Mannschaften sortiert'!D67</f>
        <v>0</v>
      </c>
      <c r="E35" s="105">
        <f>'Nach Mannschaften sortiert'!E67</f>
        <v>0</v>
      </c>
      <c r="F35" s="53">
        <f>'Nach Mannschaften sortiert'!F67</f>
        <v>0</v>
      </c>
      <c r="G35" s="53">
        <f>'Nach Mannschaften sortiert'!G67</f>
        <v>0</v>
      </c>
      <c r="H35" s="53">
        <f>'Nach Mannschaften sortiert'!H67</f>
        <v>0</v>
      </c>
    </row>
    <row r="36" spans="1:8" hidden="1" x14ac:dyDescent="0.3">
      <c r="A36" s="57">
        <f>'Nach Mannschaften sortiert'!A51</f>
        <v>35</v>
      </c>
      <c r="B36" s="57">
        <f>'Nach Mannschaften sortiert'!B51</f>
        <v>2</v>
      </c>
      <c r="C36" s="57" t="str">
        <f>'Nach Mannschaften sortiert'!C51</f>
        <v>U13</v>
      </c>
      <c r="D36" s="58">
        <f>'Nach Mannschaften sortiert'!D51</f>
        <v>0</v>
      </c>
      <c r="E36" s="101">
        <f>'Nach Mannschaften sortiert'!E51</f>
        <v>0</v>
      </c>
      <c r="F36" s="57">
        <f>'Nach Mannschaften sortiert'!F51</f>
        <v>0</v>
      </c>
      <c r="G36" s="57">
        <f>'Nach Mannschaften sortiert'!G51</f>
        <v>0</v>
      </c>
      <c r="H36" s="57">
        <f>'Nach Mannschaften sortiert'!H51</f>
        <v>0</v>
      </c>
    </row>
    <row r="37" spans="1:8" hidden="1" x14ac:dyDescent="0.3">
      <c r="A37" s="57">
        <f>'Nach Mannschaften sortiert'!A52</f>
        <v>36</v>
      </c>
      <c r="B37" s="57">
        <f>'Nach Mannschaften sortiert'!B52</f>
        <v>3</v>
      </c>
      <c r="C37" s="57" t="str">
        <f>'Nach Mannschaften sortiert'!C52</f>
        <v>U13</v>
      </c>
      <c r="D37" s="58">
        <f>'Nach Mannschaften sortiert'!D52</f>
        <v>0</v>
      </c>
      <c r="E37" s="101">
        <f>'Nach Mannschaften sortiert'!E52</f>
        <v>0</v>
      </c>
      <c r="F37" s="57">
        <f>'Nach Mannschaften sortiert'!F52</f>
        <v>0</v>
      </c>
      <c r="G37" s="57">
        <f>'Nach Mannschaften sortiert'!G52</f>
        <v>0</v>
      </c>
      <c r="H37" s="57">
        <f>'Nach Mannschaften sortiert'!H52</f>
        <v>0</v>
      </c>
    </row>
    <row r="38" spans="1:8" x14ac:dyDescent="0.3">
      <c r="A38" s="51">
        <f>'Nach Mannschaften sortiert'!A42</f>
        <v>25</v>
      </c>
      <c r="B38" s="51">
        <f>'Nach Mannschaften sortiert'!B42</f>
        <v>2</v>
      </c>
      <c r="C38" s="51" t="str">
        <f>'Nach Mannschaften sortiert'!C42</f>
        <v>U14</v>
      </c>
      <c r="D38" s="52">
        <f>'Nach Mannschaften sortiert'!D42</f>
        <v>0</v>
      </c>
      <c r="E38" s="103">
        <f>'Nach Mannschaften sortiert'!E42</f>
        <v>0</v>
      </c>
      <c r="F38" s="51">
        <f>'Nach Mannschaften sortiert'!F42</f>
        <v>0</v>
      </c>
      <c r="G38" s="51">
        <f>'Nach Mannschaften sortiert'!G42</f>
        <v>0</v>
      </c>
      <c r="H38" s="51">
        <f>'Nach Mannschaften sortiert'!H42</f>
        <v>0</v>
      </c>
    </row>
    <row r="39" spans="1:8" hidden="1" x14ac:dyDescent="0.3">
      <c r="A39" s="57" t="e">
        <f>'Nach Mannschaften sortiert'!#REF!</f>
        <v>#REF!</v>
      </c>
      <c r="B39" s="57" t="e">
        <f>'Nach Mannschaften sortiert'!#REF!</f>
        <v>#REF!</v>
      </c>
      <c r="C39" s="57" t="e">
        <f>'Nach Mannschaften sortiert'!#REF!</f>
        <v>#REF!</v>
      </c>
      <c r="D39" s="58" t="e">
        <f>'Nach Mannschaften sortiert'!#REF!</f>
        <v>#REF!</v>
      </c>
      <c r="E39" s="101" t="e">
        <f>'Nach Mannschaften sortiert'!#REF!</f>
        <v>#REF!</v>
      </c>
      <c r="F39" s="57" t="e">
        <f>'Nach Mannschaften sortiert'!#REF!</f>
        <v>#REF!</v>
      </c>
      <c r="G39" s="57" t="e">
        <f>'Nach Mannschaften sortiert'!#REF!</f>
        <v>#REF!</v>
      </c>
      <c r="H39" s="57" t="e">
        <f>'Nach Mannschaften sortiert'!#REF!</f>
        <v>#REF!</v>
      </c>
    </row>
    <row r="40" spans="1:8" hidden="1" x14ac:dyDescent="0.3">
      <c r="A40" s="57">
        <f>'Nach Mannschaften sortiert'!A54</f>
        <v>39</v>
      </c>
      <c r="B40" s="57">
        <f>'Nach Mannschaften sortiert'!B54</f>
        <v>6</v>
      </c>
      <c r="C40" s="57" t="str">
        <f>'Nach Mannschaften sortiert'!C54</f>
        <v>U13</v>
      </c>
      <c r="D40" s="58">
        <f>'Nach Mannschaften sortiert'!D54</f>
        <v>0</v>
      </c>
      <c r="E40" s="101">
        <f>'Nach Mannschaften sortiert'!E54</f>
        <v>0</v>
      </c>
      <c r="F40" s="57">
        <f>'Nach Mannschaften sortiert'!F54</f>
        <v>0</v>
      </c>
      <c r="G40" s="57">
        <f>'Nach Mannschaften sortiert'!G54</f>
        <v>0</v>
      </c>
      <c r="H40" s="57">
        <f>'Nach Mannschaften sortiert'!H54</f>
        <v>0</v>
      </c>
    </row>
    <row r="41" spans="1:8" x14ac:dyDescent="0.3">
      <c r="A41" s="51">
        <f>'Nach Mannschaften sortiert'!A11</f>
        <v>6</v>
      </c>
      <c r="B41" s="51">
        <f>'Nach Mannschaften sortiert'!B11</f>
        <v>6</v>
      </c>
      <c r="C41" s="51" t="str">
        <f>'Nach Mannschaften sortiert'!C11</f>
        <v>KM</v>
      </c>
      <c r="D41" s="52">
        <f>'Nach Mannschaften sortiert'!D11</f>
        <v>0</v>
      </c>
      <c r="E41" s="103">
        <f>'Nach Mannschaften sortiert'!E11</f>
        <v>0</v>
      </c>
      <c r="F41" s="51">
        <f>'Nach Mannschaften sortiert'!F11</f>
        <v>0</v>
      </c>
      <c r="G41" s="51">
        <f>'Nach Mannschaften sortiert'!G11</f>
        <v>0</v>
      </c>
      <c r="H41" s="51">
        <f>'Nach Mannschaften sortiert'!H11</f>
        <v>0</v>
      </c>
    </row>
    <row r="42" spans="1:8" x14ac:dyDescent="0.3">
      <c r="A42" s="57">
        <f>'Nach Mannschaften sortiert'!A69</f>
        <v>57</v>
      </c>
      <c r="B42" s="57">
        <f>'Nach Mannschaften sortiert'!B69</f>
        <v>4</v>
      </c>
      <c r="C42" s="57" t="str">
        <f>'Nach Mannschaften sortiert'!C69</f>
        <v>U12_2</v>
      </c>
      <c r="D42" s="58">
        <f>'Nach Mannschaften sortiert'!D69</f>
        <v>0</v>
      </c>
      <c r="E42" s="101">
        <f>'Nach Mannschaften sortiert'!E69</f>
        <v>0</v>
      </c>
      <c r="F42" s="57">
        <f>'Nach Mannschaften sortiert'!F69</f>
        <v>0</v>
      </c>
      <c r="G42" s="57">
        <f>'Nach Mannschaften sortiert'!G69</f>
        <v>0</v>
      </c>
      <c r="H42" s="57">
        <f>'Nach Mannschaften sortiert'!H69</f>
        <v>0</v>
      </c>
    </row>
    <row r="43" spans="1:8" hidden="1" x14ac:dyDescent="0.3">
      <c r="A43" s="57">
        <f>'Nach Mannschaften sortiert'!A57</f>
        <v>42</v>
      </c>
      <c r="B43" s="57">
        <f>'Nach Mannschaften sortiert'!B57</f>
        <v>9</v>
      </c>
      <c r="C43" s="57" t="str">
        <f>'Nach Mannschaften sortiert'!C57</f>
        <v>U13</v>
      </c>
      <c r="D43" s="58">
        <f>'Nach Mannschaften sortiert'!D57</f>
        <v>0</v>
      </c>
      <c r="E43" s="101">
        <f>'Nach Mannschaften sortiert'!E57</f>
        <v>0</v>
      </c>
      <c r="F43" s="57">
        <f>'Nach Mannschaften sortiert'!F57</f>
        <v>0</v>
      </c>
      <c r="G43" s="57">
        <f>'Nach Mannschaften sortiert'!G57</f>
        <v>0</v>
      </c>
      <c r="H43" s="57">
        <f>'Nach Mannschaften sortiert'!H57</f>
        <v>0</v>
      </c>
    </row>
    <row r="44" spans="1:8" x14ac:dyDescent="0.3">
      <c r="A44" s="53">
        <f>'Nach Mannschaften sortiert'!A60</f>
        <v>47</v>
      </c>
      <c r="B44" s="53">
        <f>'Nach Mannschaften sortiert'!B60</f>
        <v>4</v>
      </c>
      <c r="C44" s="53" t="str">
        <f>'Nach Mannschaften sortiert'!C60</f>
        <v>U12_1</v>
      </c>
      <c r="D44" s="54">
        <f>'Nach Mannschaften sortiert'!D60</f>
        <v>0</v>
      </c>
      <c r="E44" s="105">
        <f>'Nach Mannschaften sortiert'!E60</f>
        <v>0</v>
      </c>
      <c r="F44" s="53">
        <f>'Nach Mannschaften sortiert'!F60</f>
        <v>0</v>
      </c>
      <c r="G44" s="53">
        <f>'Nach Mannschaften sortiert'!G60</f>
        <v>0</v>
      </c>
      <c r="H44" s="53">
        <f>'Nach Mannschaften sortiert'!H60</f>
        <v>0</v>
      </c>
    </row>
    <row r="45" spans="1:8" x14ac:dyDescent="0.3">
      <c r="A45" s="53">
        <f>'Nach Mannschaften sortiert'!A53</f>
        <v>37</v>
      </c>
      <c r="B45" s="53">
        <f>'Nach Mannschaften sortiert'!B53</f>
        <v>4</v>
      </c>
      <c r="C45" s="53" t="str">
        <f>'Nach Mannschaften sortiert'!C53</f>
        <v>U13</v>
      </c>
      <c r="D45" s="54">
        <f>'Nach Mannschaften sortiert'!D53</f>
        <v>0</v>
      </c>
      <c r="E45" s="105">
        <f>'Nach Mannschaften sortiert'!E53</f>
        <v>0</v>
      </c>
      <c r="F45" s="53">
        <f>'Nach Mannschaften sortiert'!F53</f>
        <v>0</v>
      </c>
      <c r="G45" s="53">
        <f>'Nach Mannschaften sortiert'!G53</f>
        <v>0</v>
      </c>
      <c r="H45" s="53">
        <f>'Nach Mannschaften sortiert'!H53</f>
        <v>0</v>
      </c>
    </row>
    <row r="46" spans="1:8" hidden="1" x14ac:dyDescent="0.3">
      <c r="A46" s="57" t="e">
        <f>'Nach Mannschaften sortiert'!#REF!</f>
        <v>#REF!</v>
      </c>
      <c r="B46" s="57" t="e">
        <f>'Nach Mannschaften sortiert'!#REF!</f>
        <v>#REF!</v>
      </c>
      <c r="C46" s="57" t="e">
        <f>'Nach Mannschaften sortiert'!#REF!</f>
        <v>#REF!</v>
      </c>
      <c r="D46" s="58" t="e">
        <f>'Nach Mannschaften sortiert'!#REF!</f>
        <v>#REF!</v>
      </c>
      <c r="E46" s="101" t="e">
        <f>'Nach Mannschaften sortiert'!#REF!</f>
        <v>#REF!</v>
      </c>
      <c r="F46" s="57" t="e">
        <f>'Nach Mannschaften sortiert'!#REF!</f>
        <v>#REF!</v>
      </c>
      <c r="G46" s="57" t="e">
        <f>'Nach Mannschaften sortiert'!#REF!</f>
        <v>#REF!</v>
      </c>
      <c r="H46" s="57" t="e">
        <f>'Nach Mannschaften sortiert'!#REF!</f>
        <v>#REF!</v>
      </c>
    </row>
    <row r="47" spans="1:8" hidden="1" x14ac:dyDescent="0.3">
      <c r="A47" s="57">
        <f>'Nach Mannschaften sortiert'!A59</f>
        <v>46</v>
      </c>
      <c r="B47" s="57">
        <f>'Nach Mannschaften sortiert'!B59</f>
        <v>3</v>
      </c>
      <c r="C47" s="57" t="str">
        <f>'Nach Mannschaften sortiert'!C59</f>
        <v>U12_1</v>
      </c>
      <c r="D47" s="58">
        <f>'Nach Mannschaften sortiert'!D59</f>
        <v>0</v>
      </c>
      <c r="E47" s="101">
        <f>'Nach Mannschaften sortiert'!E59</f>
        <v>0</v>
      </c>
      <c r="F47" s="57">
        <f>'Nach Mannschaften sortiert'!F59</f>
        <v>0</v>
      </c>
      <c r="G47" s="57">
        <f>'Nach Mannschaften sortiert'!G59</f>
        <v>0</v>
      </c>
      <c r="H47" s="57">
        <f>'Nach Mannschaften sortiert'!H59</f>
        <v>0</v>
      </c>
    </row>
    <row r="48" spans="1:8" x14ac:dyDescent="0.3">
      <c r="A48" s="51">
        <f>'Nach Mannschaften sortiert'!A35</f>
        <v>17</v>
      </c>
      <c r="B48" s="51">
        <f>'Nach Mannschaften sortiert'!B35</f>
        <v>4</v>
      </c>
      <c r="C48" s="51" t="str">
        <f>'Nach Mannschaften sortiert'!C35</f>
        <v>U16</v>
      </c>
      <c r="D48" s="52">
        <f>'Nach Mannschaften sortiert'!D35</f>
        <v>0</v>
      </c>
      <c r="E48" s="103">
        <f>'Nach Mannschaften sortiert'!E35</f>
        <v>0</v>
      </c>
      <c r="F48" s="51">
        <f>'Nach Mannschaften sortiert'!F35</f>
        <v>0</v>
      </c>
      <c r="G48" s="51">
        <f>'Nach Mannschaften sortiert'!G35</f>
        <v>0</v>
      </c>
      <c r="H48" s="51">
        <f>'Nach Mannschaften sortiert'!H35</f>
        <v>0</v>
      </c>
    </row>
    <row r="49" spans="1:8" hidden="1" x14ac:dyDescent="0.3">
      <c r="A49" s="57">
        <f>'Nach Mannschaften sortiert'!A61</f>
        <v>48</v>
      </c>
      <c r="B49" s="57">
        <f>'Nach Mannschaften sortiert'!B61</f>
        <v>5</v>
      </c>
      <c r="C49" s="57" t="str">
        <f>'Nach Mannschaften sortiert'!C61</f>
        <v>U12_1</v>
      </c>
      <c r="D49" s="58">
        <f>'Nach Mannschaften sortiert'!D61</f>
        <v>0</v>
      </c>
      <c r="E49" s="101">
        <f>'Nach Mannschaften sortiert'!E61</f>
        <v>0</v>
      </c>
      <c r="F49" s="57">
        <f>'Nach Mannschaften sortiert'!F61</f>
        <v>0</v>
      </c>
      <c r="G49" s="57">
        <f>'Nach Mannschaften sortiert'!G61</f>
        <v>0</v>
      </c>
      <c r="H49" s="57">
        <f>'Nach Mannschaften sortiert'!H61</f>
        <v>0</v>
      </c>
    </row>
    <row r="50" spans="1:8" hidden="1" x14ac:dyDescent="0.3">
      <c r="A50" s="57">
        <f>'Nach Mannschaften sortiert'!A62</f>
        <v>49</v>
      </c>
      <c r="B50" s="57">
        <f>'Nach Mannschaften sortiert'!B62</f>
        <v>6</v>
      </c>
      <c r="C50" s="57" t="str">
        <f>'Nach Mannschaften sortiert'!C62</f>
        <v>U12_1</v>
      </c>
      <c r="D50" s="58">
        <f>'Nach Mannschaften sortiert'!D62</f>
        <v>0</v>
      </c>
      <c r="E50" s="101">
        <f>'Nach Mannschaften sortiert'!E62</f>
        <v>0</v>
      </c>
      <c r="F50" s="57">
        <f>'Nach Mannschaften sortiert'!F62</f>
        <v>0</v>
      </c>
      <c r="G50" s="57">
        <f>'Nach Mannschaften sortiert'!G62</f>
        <v>0</v>
      </c>
      <c r="H50" s="57">
        <f>'Nach Mannschaften sortiert'!H62</f>
        <v>0</v>
      </c>
    </row>
    <row r="51" spans="1:8" hidden="1" x14ac:dyDescent="0.3">
      <c r="A51" s="57" t="e">
        <f>'Nach Mannschaften sortiert'!#REF!</f>
        <v>#REF!</v>
      </c>
      <c r="B51" s="57" t="e">
        <f>'Nach Mannschaften sortiert'!#REF!</f>
        <v>#REF!</v>
      </c>
      <c r="C51" s="57" t="e">
        <f>'Nach Mannschaften sortiert'!#REF!</f>
        <v>#REF!</v>
      </c>
      <c r="D51" s="58" t="e">
        <f>'Nach Mannschaften sortiert'!#REF!</f>
        <v>#REF!</v>
      </c>
      <c r="E51" s="101" t="e">
        <f>'Nach Mannschaften sortiert'!#REF!</f>
        <v>#REF!</v>
      </c>
      <c r="F51" s="57" t="e">
        <f>'Nach Mannschaften sortiert'!#REF!</f>
        <v>#REF!</v>
      </c>
      <c r="G51" s="57" t="e">
        <f>'Nach Mannschaften sortiert'!#REF!</f>
        <v>#REF!</v>
      </c>
      <c r="H51" s="57" t="e">
        <f>'Nach Mannschaften sortiert'!#REF!</f>
        <v>#REF!</v>
      </c>
    </row>
    <row r="52" spans="1:8" x14ac:dyDescent="0.3">
      <c r="A52" s="51">
        <f>'Nach Mannschaften sortiert'!A13</f>
        <v>8</v>
      </c>
      <c r="B52" s="51">
        <f>'Nach Mannschaften sortiert'!B13</f>
        <v>8</v>
      </c>
      <c r="C52" s="51" t="str">
        <f>'Nach Mannschaften sortiert'!C13</f>
        <v>KM</v>
      </c>
      <c r="D52" s="52">
        <f>'Nach Mannschaften sortiert'!D13</f>
        <v>0</v>
      </c>
      <c r="E52" s="103">
        <f>'Nach Mannschaften sortiert'!E13</f>
        <v>0</v>
      </c>
      <c r="F52" s="51">
        <f>'Nach Mannschaften sortiert'!F13</f>
        <v>0</v>
      </c>
      <c r="G52" s="51">
        <f>'Nach Mannschaften sortiert'!G13</f>
        <v>0</v>
      </c>
      <c r="H52" s="51">
        <f>'Nach Mannschaften sortiert'!H13</f>
        <v>0</v>
      </c>
    </row>
    <row r="53" spans="1:8" hidden="1" x14ac:dyDescent="0.3">
      <c r="A53" s="57">
        <f>'Nach Mannschaften sortiert'!A64</f>
        <v>52</v>
      </c>
      <c r="B53" s="57">
        <f>'Nach Mannschaften sortiert'!B64</f>
        <v>9</v>
      </c>
      <c r="C53" s="57" t="str">
        <f>'Nach Mannschaften sortiert'!C64</f>
        <v>U12_1</v>
      </c>
      <c r="D53" s="58">
        <f>'Nach Mannschaften sortiert'!D64</f>
        <v>0</v>
      </c>
      <c r="E53" s="101">
        <f>'Nach Mannschaften sortiert'!E64</f>
        <v>0</v>
      </c>
      <c r="F53" s="57">
        <f>'Nach Mannschaften sortiert'!F64</f>
        <v>0</v>
      </c>
      <c r="G53" s="57">
        <f>'Nach Mannschaften sortiert'!G64</f>
        <v>0</v>
      </c>
      <c r="H53" s="57">
        <f>'Nach Mannschaften sortiert'!H64</f>
        <v>0</v>
      </c>
    </row>
    <row r="54" spans="1:8" x14ac:dyDescent="0.3">
      <c r="A54" s="51">
        <f>'Nach Mannschaften sortiert'!A45</f>
        <v>28</v>
      </c>
      <c r="B54" s="51">
        <f>'Nach Mannschaften sortiert'!B45</f>
        <v>5</v>
      </c>
      <c r="C54" s="51" t="str">
        <f>'Nach Mannschaften sortiert'!C45</f>
        <v>U14</v>
      </c>
      <c r="D54" s="52">
        <f>'Nach Mannschaften sortiert'!D45</f>
        <v>0</v>
      </c>
      <c r="E54" s="103">
        <f>'Nach Mannschaften sortiert'!E45</f>
        <v>0</v>
      </c>
      <c r="F54" s="51">
        <f>'Nach Mannschaften sortiert'!F45</f>
        <v>0</v>
      </c>
      <c r="G54" s="51">
        <f>'Nach Mannschaften sortiert'!G45</f>
        <v>0</v>
      </c>
      <c r="H54" s="51">
        <f>'Nach Mannschaften sortiert'!H45</f>
        <v>0</v>
      </c>
    </row>
    <row r="55" spans="1:8" hidden="1" x14ac:dyDescent="0.3">
      <c r="A55" s="57">
        <f>'Nach Mannschaften sortiert'!A66</f>
        <v>54</v>
      </c>
      <c r="B55" s="57">
        <f>'Nach Mannschaften sortiert'!B66</f>
        <v>1</v>
      </c>
      <c r="C55" s="57" t="str">
        <f>'Nach Mannschaften sortiert'!C66</f>
        <v>U12_2</v>
      </c>
      <c r="D55" s="58">
        <f>'Nach Mannschaften sortiert'!D66</f>
        <v>0</v>
      </c>
      <c r="E55" s="101">
        <f>'Nach Mannschaften sortiert'!E66</f>
        <v>0</v>
      </c>
      <c r="F55" s="57">
        <f>'Nach Mannschaften sortiert'!F66</f>
        <v>0</v>
      </c>
      <c r="G55" s="57">
        <f>'Nach Mannschaften sortiert'!G66</f>
        <v>0</v>
      </c>
      <c r="H55" s="57">
        <f>'Nach Mannschaften sortiert'!H66</f>
        <v>0</v>
      </c>
    </row>
    <row r="56" spans="1:8" x14ac:dyDescent="0.3">
      <c r="A56" s="51">
        <f>'Nach Mannschaften sortiert'!A70</f>
        <v>59</v>
      </c>
      <c r="B56" s="51">
        <f>'Nach Mannschaften sortiert'!B70</f>
        <v>6</v>
      </c>
      <c r="C56" s="51" t="str">
        <f>'Nach Mannschaften sortiert'!C70</f>
        <v>U12_2</v>
      </c>
      <c r="D56" s="52">
        <f>'Nach Mannschaften sortiert'!D70</f>
        <v>0</v>
      </c>
      <c r="E56" s="103">
        <f>'Nach Mannschaften sortiert'!E70</f>
        <v>0</v>
      </c>
      <c r="F56" s="51">
        <f>'Nach Mannschaften sortiert'!F70</f>
        <v>0</v>
      </c>
      <c r="G56" s="51">
        <f>'Nach Mannschaften sortiert'!G70</f>
        <v>0</v>
      </c>
      <c r="H56" s="51">
        <f>'Nach Mannschaften sortiert'!H70</f>
        <v>0</v>
      </c>
    </row>
    <row r="57" spans="1:8" hidden="1" x14ac:dyDescent="0.3">
      <c r="A57" s="57">
        <f>'Nach Mannschaften sortiert'!A68</f>
        <v>56</v>
      </c>
      <c r="B57" s="57">
        <f>'Nach Mannschaften sortiert'!B68</f>
        <v>3</v>
      </c>
      <c r="C57" s="57" t="str">
        <f>'Nach Mannschaften sortiert'!C68</f>
        <v>U12_2</v>
      </c>
      <c r="D57" s="58">
        <f>'Nach Mannschaften sortiert'!D68</f>
        <v>0</v>
      </c>
      <c r="E57" s="101">
        <f>'Nach Mannschaften sortiert'!E68</f>
        <v>0</v>
      </c>
      <c r="F57" s="57">
        <f>'Nach Mannschaften sortiert'!F68</f>
        <v>0</v>
      </c>
      <c r="G57" s="57">
        <f>'Nach Mannschaften sortiert'!G68</f>
        <v>0</v>
      </c>
      <c r="H57" s="57">
        <f>'Nach Mannschaften sortiert'!H68</f>
        <v>0</v>
      </c>
    </row>
    <row r="58" spans="1:8" x14ac:dyDescent="0.3">
      <c r="A58" s="51">
        <f>'Nach Mannschaften sortiert'!A15</f>
        <v>10</v>
      </c>
      <c r="B58" s="51">
        <f>'Nach Mannschaften sortiert'!B15</f>
        <v>10</v>
      </c>
      <c r="C58" s="51" t="str">
        <f>'Nach Mannschaften sortiert'!C15</f>
        <v>KM</v>
      </c>
      <c r="D58" s="52">
        <f>'Nach Mannschaften sortiert'!D15</f>
        <v>0</v>
      </c>
      <c r="E58" s="103">
        <f>'Nach Mannschaften sortiert'!E15</f>
        <v>0</v>
      </c>
      <c r="F58" s="51">
        <f>'Nach Mannschaften sortiert'!F15</f>
        <v>0</v>
      </c>
      <c r="G58" s="51">
        <f>'Nach Mannschaften sortiert'!G15</f>
        <v>0</v>
      </c>
      <c r="H58" s="51">
        <f>'Nach Mannschaften sortiert'!H15</f>
        <v>0</v>
      </c>
    </row>
    <row r="59" spans="1:8" hidden="1" x14ac:dyDescent="0.3">
      <c r="A59" s="57" t="e">
        <f>'Nach Mannschaften sortiert'!#REF!</f>
        <v>#REF!</v>
      </c>
      <c r="B59" s="57" t="e">
        <f>'Nach Mannschaften sortiert'!#REF!</f>
        <v>#REF!</v>
      </c>
      <c r="C59" s="57" t="e">
        <f>'Nach Mannschaften sortiert'!#REF!</f>
        <v>#REF!</v>
      </c>
      <c r="D59" s="58" t="e">
        <f>'Nach Mannschaften sortiert'!#REF!</f>
        <v>#REF!</v>
      </c>
      <c r="E59" s="101" t="e">
        <f>'Nach Mannschaften sortiert'!#REF!</f>
        <v>#REF!</v>
      </c>
      <c r="F59" s="57" t="e">
        <f>'Nach Mannschaften sortiert'!#REF!</f>
        <v>#REF!</v>
      </c>
      <c r="G59" s="57" t="e">
        <f>'Nach Mannschaften sortiert'!#REF!</f>
        <v>#REF!</v>
      </c>
      <c r="H59" s="57" t="e">
        <f>'Nach Mannschaften sortiert'!#REF!</f>
        <v>#REF!</v>
      </c>
    </row>
    <row r="60" spans="1:8" x14ac:dyDescent="0.3">
      <c r="A60" s="51">
        <f>'Nach Mannschaften sortiert'!A55</f>
        <v>40</v>
      </c>
      <c r="B60" s="51">
        <f>'Nach Mannschaften sortiert'!B55</f>
        <v>7</v>
      </c>
      <c r="C60" s="51" t="str">
        <f>'Nach Mannschaften sortiert'!C55</f>
        <v>U13</v>
      </c>
      <c r="D60" s="52">
        <f>'Nach Mannschaften sortiert'!D55</f>
        <v>0</v>
      </c>
      <c r="E60" s="103">
        <f>'Nach Mannschaften sortiert'!E55</f>
        <v>0</v>
      </c>
      <c r="F60" s="51">
        <f>'Nach Mannschaften sortiert'!F55</f>
        <v>0</v>
      </c>
      <c r="G60" s="51">
        <f>'Nach Mannschaften sortiert'!G55</f>
        <v>0</v>
      </c>
      <c r="H60" s="51">
        <f>'Nach Mannschaften sortiert'!H55</f>
        <v>0</v>
      </c>
    </row>
    <row r="61" spans="1:8" hidden="1" x14ac:dyDescent="0.3">
      <c r="A61" s="57">
        <f>'Nach Mannschaften sortiert'!A71</f>
        <v>60</v>
      </c>
      <c r="B61" s="57">
        <f>'Nach Mannschaften sortiert'!B71</f>
        <v>7</v>
      </c>
      <c r="C61" s="57" t="str">
        <f>'Nach Mannschaften sortiert'!C71</f>
        <v>U12_2</v>
      </c>
      <c r="D61" s="58">
        <f>'Nach Mannschaften sortiert'!D71</f>
        <v>0</v>
      </c>
      <c r="E61" s="101">
        <f>'Nach Mannschaften sortiert'!E71</f>
        <v>0</v>
      </c>
      <c r="F61" s="57">
        <f>'Nach Mannschaften sortiert'!F71</f>
        <v>0</v>
      </c>
      <c r="G61" s="57">
        <f>'Nach Mannschaften sortiert'!G71</f>
        <v>0</v>
      </c>
      <c r="H61" s="57">
        <f>'Nach Mannschaften sortiert'!H71</f>
        <v>0</v>
      </c>
    </row>
    <row r="62" spans="1:8" x14ac:dyDescent="0.3">
      <c r="A62" s="49">
        <f>'Nach Mannschaften sortiert'!A56</f>
        <v>41</v>
      </c>
      <c r="B62" s="49">
        <f>'Nach Mannschaften sortiert'!B56</f>
        <v>8</v>
      </c>
      <c r="C62" s="49" t="str">
        <f>'Nach Mannschaften sortiert'!C56</f>
        <v>U13</v>
      </c>
      <c r="D62" s="50">
        <f>'Nach Mannschaften sortiert'!D56</f>
        <v>0</v>
      </c>
      <c r="E62" s="104">
        <f>'Nach Mannschaften sortiert'!E56</f>
        <v>0</v>
      </c>
      <c r="F62" s="49">
        <f>'Nach Mannschaften sortiert'!F56</f>
        <v>0</v>
      </c>
      <c r="G62" s="49">
        <f>'Nach Mannschaften sortiert'!G56</f>
        <v>0</v>
      </c>
      <c r="H62" s="49">
        <f>'Nach Mannschaften sortiert'!H56</f>
        <v>0</v>
      </c>
    </row>
    <row r="63" spans="1:8" hidden="1" x14ac:dyDescent="0.3">
      <c r="A63" s="57">
        <f>'Nach Mannschaften sortiert'!A73</f>
        <v>62</v>
      </c>
      <c r="B63" s="57">
        <f>'Nach Mannschaften sortiert'!B73</f>
        <v>9</v>
      </c>
      <c r="C63" s="57" t="str">
        <f>'Nach Mannschaften sortiert'!C73</f>
        <v>U12_2</v>
      </c>
      <c r="D63" s="58">
        <f>'Nach Mannschaften sortiert'!D73</f>
        <v>0</v>
      </c>
      <c r="E63" s="101">
        <f>'Nach Mannschaften sortiert'!E73</f>
        <v>0</v>
      </c>
      <c r="F63" s="57">
        <f>'Nach Mannschaften sortiert'!F73</f>
        <v>0</v>
      </c>
      <c r="G63" s="57">
        <f>'Nach Mannschaften sortiert'!G73</f>
        <v>0</v>
      </c>
      <c r="H63" s="57">
        <f>'Nach Mannschaften sortiert'!H73</f>
        <v>0</v>
      </c>
    </row>
    <row r="64" spans="1:8" hidden="1" x14ac:dyDescent="0.3">
      <c r="A64" s="57" t="e">
        <f>'Nach Mannschaften sortiert'!#REF!</f>
        <v>#REF!</v>
      </c>
      <c r="B64" s="57" t="e">
        <f>'Nach Mannschaften sortiert'!#REF!</f>
        <v>#REF!</v>
      </c>
      <c r="C64" s="57" t="e">
        <f>'Nach Mannschaften sortiert'!#REF!</f>
        <v>#REF!</v>
      </c>
      <c r="D64" s="58" t="e">
        <f>'Nach Mannschaften sortiert'!#REF!</f>
        <v>#REF!</v>
      </c>
      <c r="E64" s="101" t="e">
        <f>'Nach Mannschaften sortiert'!#REF!</f>
        <v>#REF!</v>
      </c>
      <c r="F64" s="57" t="e">
        <f>'Nach Mannschaften sortiert'!#REF!</f>
        <v>#REF!</v>
      </c>
      <c r="G64" s="57" t="e">
        <f>'Nach Mannschaften sortiert'!#REF!</f>
        <v>#REF!</v>
      </c>
      <c r="H64" s="57" t="e">
        <f>'Nach Mannschaften sortiert'!#REF!</f>
        <v>#REF!</v>
      </c>
    </row>
    <row r="65" spans="1:8" x14ac:dyDescent="0.3">
      <c r="A65" s="51">
        <f>'Nach Mannschaften sortiert'!A72</f>
        <v>61</v>
      </c>
      <c r="B65" s="51">
        <f>'Nach Mannschaften sortiert'!B72</f>
        <v>8</v>
      </c>
      <c r="C65" s="51" t="str">
        <f>'Nach Mannschaften sortiert'!C72</f>
        <v>U12_2</v>
      </c>
      <c r="D65" s="52">
        <v>46164</v>
      </c>
      <c r="E65" s="103">
        <v>0.70833333333333337</v>
      </c>
      <c r="F65" s="51">
        <f>'Nach Mannschaften sortiert'!F72</f>
        <v>0</v>
      </c>
      <c r="G65" s="51">
        <f>'Nach Mannschaften sortiert'!G72</f>
        <v>0</v>
      </c>
      <c r="H65" s="51">
        <f>'Nach Mannschaften sortiert'!H72</f>
        <v>0</v>
      </c>
    </row>
    <row r="66" spans="1:8" hidden="1" x14ac:dyDescent="0.3">
      <c r="A66" s="57">
        <f>'Nach Mannschaften sortiert'!A75</f>
        <v>65</v>
      </c>
      <c r="B66" s="57">
        <f>'Nach Mannschaften sortiert'!B75</f>
        <v>2</v>
      </c>
      <c r="C66" s="57" t="str">
        <f>'Nach Mannschaften sortiert'!C75</f>
        <v>U11</v>
      </c>
      <c r="D66" s="58">
        <f>'Nach Mannschaften sortiert'!D75</f>
        <v>0</v>
      </c>
      <c r="E66" s="101">
        <f>'Nach Mannschaften sortiert'!E75</f>
        <v>0</v>
      </c>
      <c r="F66" s="57">
        <f>'Nach Mannschaften sortiert'!F75</f>
        <v>0</v>
      </c>
      <c r="G66" s="57">
        <f>'Nach Mannschaften sortiert'!G75</f>
        <v>0</v>
      </c>
      <c r="H66" s="57">
        <f>'Nach Mannschaften sortiert'!H75</f>
        <v>0</v>
      </c>
    </row>
    <row r="67" spans="1:8" hidden="1" x14ac:dyDescent="0.3">
      <c r="A67" s="57">
        <f>'Nach Mannschaften sortiert'!A76</f>
        <v>66</v>
      </c>
      <c r="B67" s="57">
        <f>'Nach Mannschaften sortiert'!B76</f>
        <v>3</v>
      </c>
      <c r="C67" s="57" t="str">
        <f>'Nach Mannschaften sortiert'!C76</f>
        <v>U11</v>
      </c>
      <c r="D67" s="58">
        <f>'Nach Mannschaften sortiert'!D76</f>
        <v>0</v>
      </c>
      <c r="E67" s="101">
        <f>'Nach Mannschaften sortiert'!E76</f>
        <v>0</v>
      </c>
      <c r="F67" s="57">
        <f>'Nach Mannschaften sortiert'!F76</f>
        <v>0</v>
      </c>
      <c r="G67" s="57">
        <f>'Nach Mannschaften sortiert'!G76</f>
        <v>0</v>
      </c>
      <c r="H67" s="57">
        <f>'Nach Mannschaften sortiert'!H76</f>
        <v>0</v>
      </c>
    </row>
    <row r="68" spans="1:8" hidden="1" x14ac:dyDescent="0.3">
      <c r="A68" s="57">
        <f>'Nach Mannschaften sortiert'!A77</f>
        <v>67</v>
      </c>
      <c r="B68" s="57">
        <f>'Nach Mannschaften sortiert'!B77</f>
        <v>4</v>
      </c>
      <c r="C68" s="57" t="str">
        <f>'Nach Mannschaften sortiert'!C77</f>
        <v>U11</v>
      </c>
      <c r="D68" s="58">
        <f>'Nach Mannschaften sortiert'!D77</f>
        <v>0</v>
      </c>
      <c r="E68" s="101">
        <f>'Nach Mannschaften sortiert'!E77</f>
        <v>0</v>
      </c>
      <c r="F68" s="57">
        <f>'Nach Mannschaften sortiert'!F77</f>
        <v>0</v>
      </c>
      <c r="G68" s="57">
        <f>'Nach Mannschaften sortiert'!G77</f>
        <v>0</v>
      </c>
      <c r="H68" s="57">
        <f>'Nach Mannschaften sortiert'!H77</f>
        <v>0</v>
      </c>
    </row>
    <row r="69" spans="1:8" hidden="1" x14ac:dyDescent="0.3">
      <c r="A69" s="57">
        <f>'Nach Mannschaften sortiert'!A83</f>
        <v>68</v>
      </c>
      <c r="B69" s="57">
        <f>'Nach Mannschaften sortiert'!B83</f>
        <v>10</v>
      </c>
      <c r="C69" s="57" t="str">
        <f>'Nach Mannschaften sortiert'!C83</f>
        <v>U11</v>
      </c>
      <c r="D69" s="58">
        <f>'Nach Mannschaften sortiert'!D83</f>
        <v>0</v>
      </c>
      <c r="E69" s="101">
        <f>'Nach Mannschaften sortiert'!E83</f>
        <v>0</v>
      </c>
      <c r="F69" s="57">
        <f>'Nach Mannschaften sortiert'!F83</f>
        <v>0</v>
      </c>
      <c r="G69" s="57">
        <f>'Nach Mannschaften sortiert'!G83</f>
        <v>0</v>
      </c>
      <c r="H69" s="57">
        <f>'Nach Mannschaften sortiert'!H83</f>
        <v>0</v>
      </c>
    </row>
    <row r="70" spans="1:8" x14ac:dyDescent="0.3">
      <c r="A70" s="51">
        <f>'Nach Mannschaften sortiert'!A63</f>
        <v>51</v>
      </c>
      <c r="B70" s="51">
        <f>'Nach Mannschaften sortiert'!B63</f>
        <v>8</v>
      </c>
      <c r="C70" s="51" t="str">
        <f>'Nach Mannschaften sortiert'!C63</f>
        <v>U12_1</v>
      </c>
      <c r="D70" s="52">
        <f>'Nach Mannschaften sortiert'!D63</f>
        <v>0</v>
      </c>
      <c r="E70" s="103">
        <f>'Nach Mannschaften sortiert'!E63</f>
        <v>0</v>
      </c>
      <c r="F70" s="51">
        <f>'Nach Mannschaften sortiert'!F63</f>
        <v>0</v>
      </c>
      <c r="G70" s="51">
        <f>'Nach Mannschaften sortiert'!G63</f>
        <v>0</v>
      </c>
      <c r="H70" s="51">
        <f>'Nach Mannschaften sortiert'!H63</f>
        <v>0</v>
      </c>
    </row>
    <row r="71" spans="1:8" hidden="1" x14ac:dyDescent="0.3">
      <c r="A71" s="57">
        <f>'Nach Mannschaften sortiert'!A85</f>
        <v>70</v>
      </c>
      <c r="B71" s="57">
        <f>'Nach Mannschaften sortiert'!B85</f>
        <v>2</v>
      </c>
      <c r="C71" s="57" t="str">
        <f>'Nach Mannschaften sortiert'!C85</f>
        <v>U10</v>
      </c>
      <c r="D71" s="58">
        <f>'Nach Mannschaften sortiert'!D85</f>
        <v>0</v>
      </c>
      <c r="E71" s="101">
        <f>'Nach Mannschaften sortiert'!E85</f>
        <v>0</v>
      </c>
      <c r="F71" s="57">
        <f>'Nach Mannschaften sortiert'!F85</f>
        <v>0</v>
      </c>
      <c r="G71" s="57">
        <f>'Nach Mannschaften sortiert'!G85</f>
        <v>0</v>
      </c>
      <c r="H71" s="57">
        <f>'Nach Mannschaften sortiert'!H85</f>
        <v>0</v>
      </c>
    </row>
    <row r="72" spans="1:8" hidden="1" x14ac:dyDescent="0.3">
      <c r="A72" s="57">
        <f>'Nach Mannschaften sortiert'!A86</f>
        <v>71</v>
      </c>
      <c r="B72" s="57">
        <f>'Nach Mannschaften sortiert'!B86</f>
        <v>3</v>
      </c>
      <c r="C72" s="57" t="str">
        <f>'Nach Mannschaften sortiert'!C86</f>
        <v>U10</v>
      </c>
      <c r="D72" s="58">
        <f>'Nach Mannschaften sortiert'!D86</f>
        <v>0</v>
      </c>
      <c r="E72" s="101">
        <f>'Nach Mannschaften sortiert'!E86</f>
        <v>0</v>
      </c>
      <c r="F72" s="57">
        <f>'Nach Mannschaften sortiert'!F86</f>
        <v>0</v>
      </c>
      <c r="G72" s="57">
        <f>'Nach Mannschaften sortiert'!G86</f>
        <v>0</v>
      </c>
      <c r="H72" s="57">
        <f>'Nach Mannschaften sortiert'!H86</f>
        <v>0</v>
      </c>
    </row>
    <row r="73" spans="1:8" hidden="1" x14ac:dyDescent="0.3">
      <c r="A73" s="57">
        <f>'Nach Mannschaften sortiert'!A92</f>
        <v>72</v>
      </c>
      <c r="B73" s="57">
        <f>'Nach Mannschaften sortiert'!B92</f>
        <v>9</v>
      </c>
      <c r="C73" s="57" t="str">
        <f>'Nach Mannschaften sortiert'!C92</f>
        <v>U10</v>
      </c>
      <c r="D73" s="58">
        <f>'Nach Mannschaften sortiert'!D92</f>
        <v>0</v>
      </c>
      <c r="E73" s="101">
        <f>'Nach Mannschaften sortiert'!E92</f>
        <v>0</v>
      </c>
      <c r="F73" s="57">
        <f>'Nach Mannschaften sortiert'!F92</f>
        <v>0</v>
      </c>
      <c r="G73" s="57">
        <f>'Nach Mannschaften sortiert'!G92</f>
        <v>0</v>
      </c>
      <c r="H73" s="57">
        <f>'Nach Mannschaften sortiert'!H92</f>
        <v>0</v>
      </c>
    </row>
    <row r="74" spans="1:8" hidden="1" x14ac:dyDescent="0.3">
      <c r="A74" s="57">
        <f>'Nach Mannschaften sortiert'!A93</f>
        <v>73</v>
      </c>
      <c r="B74" s="57">
        <f>'Nach Mannschaften sortiert'!B93</f>
        <v>10</v>
      </c>
      <c r="C74" s="57" t="str">
        <f>'Nach Mannschaften sortiert'!C93</f>
        <v>U10</v>
      </c>
      <c r="D74" s="58">
        <f>'Nach Mannschaften sortiert'!D93</f>
        <v>0</v>
      </c>
      <c r="E74" s="101">
        <f>'Nach Mannschaften sortiert'!E93</f>
        <v>0</v>
      </c>
      <c r="F74" s="57">
        <f>'Nach Mannschaften sortiert'!F93</f>
        <v>0</v>
      </c>
      <c r="G74" s="57">
        <f>'Nach Mannschaften sortiert'!G93</f>
        <v>0</v>
      </c>
      <c r="H74" s="57">
        <f>'Nach Mannschaften sortiert'!H93</f>
        <v>0</v>
      </c>
    </row>
    <row r="75" spans="1:8" x14ac:dyDescent="0.3">
      <c r="A75" s="51">
        <f>'Nach Mannschaften sortiert'!A18</f>
        <v>13</v>
      </c>
      <c r="B75" s="51">
        <f>'Nach Mannschaften sortiert'!B18</f>
        <v>13</v>
      </c>
      <c r="C75" s="51" t="str">
        <f>'Nach Mannschaften sortiert'!C18</f>
        <v>KM</v>
      </c>
      <c r="D75" s="52">
        <f>'Nach Mannschaften sortiert'!D18</f>
        <v>0</v>
      </c>
      <c r="E75" s="103">
        <f>'Nach Mannschaften sortiert'!E18</f>
        <v>0</v>
      </c>
      <c r="F75" s="51">
        <f>'Nach Mannschaften sortiert'!F18</f>
        <v>0</v>
      </c>
      <c r="G75" s="51">
        <f>'Nach Mannschaften sortiert'!G18</f>
        <v>0</v>
      </c>
      <c r="H75" s="51">
        <f>'Nach Mannschaften sortiert'!H18</f>
        <v>0</v>
      </c>
    </row>
    <row r="76" spans="1:8" hidden="1" x14ac:dyDescent="0.3">
      <c r="A76" s="57">
        <f>'Nach Mannschaften sortiert'!A95</f>
        <v>75</v>
      </c>
      <c r="B76" s="57">
        <f>'Nach Mannschaften sortiert'!B95</f>
        <v>2</v>
      </c>
      <c r="C76" s="57" t="str">
        <f>'Nach Mannschaften sortiert'!C95</f>
        <v>U9</v>
      </c>
      <c r="D76" s="58">
        <f>'Nach Mannschaften sortiert'!D95</f>
        <v>0</v>
      </c>
      <c r="E76" s="101">
        <f>'Nach Mannschaften sortiert'!E95</f>
        <v>0</v>
      </c>
      <c r="F76" s="57">
        <f>'Nach Mannschaften sortiert'!F95</f>
        <v>0</v>
      </c>
      <c r="G76" s="57">
        <f>'Nach Mannschaften sortiert'!G95</f>
        <v>0</v>
      </c>
      <c r="H76" s="57">
        <f>'Nach Mannschaften sortiert'!H95</f>
        <v>0</v>
      </c>
    </row>
    <row r="77" spans="1:8" hidden="1" x14ac:dyDescent="0.3">
      <c r="A77" s="57">
        <f>'Nach Mannschaften sortiert'!A101</f>
        <v>76</v>
      </c>
      <c r="B77" s="57">
        <f>'Nach Mannschaften sortiert'!B101</f>
        <v>8</v>
      </c>
      <c r="C77" s="57" t="str">
        <f>'Nach Mannschaften sortiert'!C101</f>
        <v>U9</v>
      </c>
      <c r="D77" s="58">
        <f>'Nach Mannschaften sortiert'!D101</f>
        <v>0</v>
      </c>
      <c r="E77" s="101">
        <f>'Nach Mannschaften sortiert'!E101</f>
        <v>0</v>
      </c>
      <c r="F77" s="57">
        <f>'Nach Mannschaften sortiert'!F101</f>
        <v>0</v>
      </c>
      <c r="G77" s="57">
        <f>'Nach Mannschaften sortiert'!G101</f>
        <v>0</v>
      </c>
      <c r="H77" s="57">
        <f>'Nach Mannschaften sortiert'!H101</f>
        <v>0</v>
      </c>
    </row>
    <row r="78" spans="1:8" hidden="1" x14ac:dyDescent="0.3">
      <c r="A78" s="57">
        <f>'Nach Mannschaften sortiert'!A102</f>
        <v>77</v>
      </c>
      <c r="B78" s="57">
        <f>'Nach Mannschaften sortiert'!B102</f>
        <v>9</v>
      </c>
      <c r="C78" s="57" t="str">
        <f>'Nach Mannschaften sortiert'!C102</f>
        <v>U9</v>
      </c>
      <c r="D78" s="58">
        <f>'Nach Mannschaften sortiert'!D102</f>
        <v>0</v>
      </c>
      <c r="E78" s="101">
        <f>'Nach Mannschaften sortiert'!E102</f>
        <v>0</v>
      </c>
      <c r="F78" s="57">
        <f>'Nach Mannschaften sortiert'!F102</f>
        <v>0</v>
      </c>
      <c r="G78" s="57">
        <f>'Nach Mannschaften sortiert'!G102</f>
        <v>0</v>
      </c>
      <c r="H78" s="57">
        <f>'Nach Mannschaften sortiert'!H102</f>
        <v>0</v>
      </c>
    </row>
    <row r="79" spans="1:8" hidden="1" x14ac:dyDescent="0.3">
      <c r="A79" s="57">
        <f>'Nach Mannschaften sortiert'!A103</f>
        <v>78</v>
      </c>
      <c r="B79" s="57">
        <f>'Nach Mannschaften sortiert'!B103</f>
        <v>10</v>
      </c>
      <c r="C79" s="57" t="str">
        <f>'Nach Mannschaften sortiert'!C103</f>
        <v>U9</v>
      </c>
      <c r="D79" s="58">
        <f>'Nach Mannschaften sortiert'!D103</f>
        <v>0</v>
      </c>
      <c r="E79" s="101">
        <f>'Nach Mannschaften sortiert'!E103</f>
        <v>0</v>
      </c>
      <c r="F79" s="57">
        <f>'Nach Mannschaften sortiert'!F103</f>
        <v>0</v>
      </c>
      <c r="G79" s="57">
        <f>'Nach Mannschaften sortiert'!G103</f>
        <v>0</v>
      </c>
      <c r="H79" s="57">
        <f>'Nach Mannschaften sortiert'!H103</f>
        <v>0</v>
      </c>
    </row>
    <row r="80" spans="1:8" x14ac:dyDescent="0.3">
      <c r="A80" s="51">
        <f>'Nach Mannschaften sortiert'!A65</f>
        <v>53</v>
      </c>
      <c r="B80" s="51">
        <f>'Nach Mannschaften sortiert'!B65</f>
        <v>10</v>
      </c>
      <c r="C80" s="51" t="str">
        <f>'Nach Mannschaften sortiert'!C65</f>
        <v>U12_1</v>
      </c>
      <c r="D80" s="52">
        <f>'Nach Mannschaften sortiert'!D65</f>
        <v>0</v>
      </c>
      <c r="E80" s="103">
        <f>'Nach Mannschaften sortiert'!E65</f>
        <v>0</v>
      </c>
      <c r="F80" s="51">
        <f>'Nach Mannschaften sortiert'!F65</f>
        <v>0</v>
      </c>
      <c r="G80" s="51">
        <f>'Nach Mannschaften sortiert'!G65</f>
        <v>0</v>
      </c>
      <c r="H80" s="51">
        <f>'Nach Mannschaften sortiert'!H65</f>
        <v>0</v>
      </c>
    </row>
    <row r="81" spans="1:8" x14ac:dyDescent="0.3">
      <c r="A81" s="51" t="e">
        <f>'Nach Mannschaften sortiert'!#REF!</f>
        <v>#REF!</v>
      </c>
      <c r="B81" s="51" t="e">
        <f>'Nach Mannschaften sortiert'!#REF!</f>
        <v>#REF!</v>
      </c>
      <c r="C81" s="51" t="e">
        <f>'Nach Mannschaften sortiert'!#REF!</f>
        <v>#REF!</v>
      </c>
      <c r="D81" s="52" t="e">
        <f>'Nach Mannschaften sortiert'!#REF!</f>
        <v>#REF!</v>
      </c>
      <c r="E81" s="103" t="e">
        <f>'Nach Mannschaften sortiert'!#REF!</f>
        <v>#REF!</v>
      </c>
      <c r="F81" s="51" t="e">
        <f>'Nach Mannschaften sortiert'!#REF!</f>
        <v>#REF!</v>
      </c>
      <c r="G81" s="51" t="e">
        <f>'Nach Mannschaften sortiert'!#REF!</f>
        <v>#REF!</v>
      </c>
      <c r="H81" s="51" t="e">
        <f>'Nach Mannschaften sortiert'!#REF!</f>
        <v>#REF!</v>
      </c>
    </row>
    <row r="82" spans="1:8" x14ac:dyDescent="0.3">
      <c r="A82" s="51">
        <f>'Nach Mannschaften sortiert'!A41</f>
        <v>23</v>
      </c>
      <c r="B82" s="51">
        <f>'Nach Mannschaften sortiert'!B41</f>
        <v>10</v>
      </c>
      <c r="C82" s="51" t="str">
        <f>'Nach Mannschaften sortiert'!C41</f>
        <v>U16</v>
      </c>
      <c r="D82" s="52">
        <f>'Nach Mannschaften sortiert'!D41</f>
        <v>0</v>
      </c>
      <c r="E82" s="103">
        <f>'Nach Mannschaften sortiert'!E41</f>
        <v>0</v>
      </c>
      <c r="F82" s="51">
        <f>'Nach Mannschaften sortiert'!F41</f>
        <v>0</v>
      </c>
      <c r="G82" s="51">
        <f>'Nach Mannschaften sortiert'!G41</f>
        <v>0</v>
      </c>
      <c r="H82" s="51">
        <f>'Nach Mannschaften sortiert'!H41</f>
        <v>0</v>
      </c>
    </row>
    <row r="83" spans="1:8" x14ac:dyDescent="0.3">
      <c r="A83" s="57" t="e">
        <f>'Nach Mannschaften sortiert'!#REF!</f>
        <v>#REF!</v>
      </c>
      <c r="B83" s="57" t="e">
        <f>'Nach Mannschaften sortiert'!#REF!</f>
        <v>#REF!</v>
      </c>
      <c r="C83" s="57" t="e">
        <f>'Nach Mannschaften sortiert'!#REF!</f>
        <v>#REF!</v>
      </c>
      <c r="D83" s="58" t="e">
        <f>'Nach Mannschaften sortiert'!#REF!</f>
        <v>#REF!</v>
      </c>
      <c r="E83" s="101" t="e">
        <f>'Nach Mannschaften sortiert'!#REF!</f>
        <v>#REF!</v>
      </c>
      <c r="F83" s="57" t="e">
        <f>'Nach Mannschaften sortiert'!#REF!</f>
        <v>#REF!</v>
      </c>
      <c r="G83" s="57" t="e">
        <f>'Nach Mannschaften sortiert'!#REF!</f>
        <v>#REF!</v>
      </c>
      <c r="H83" s="57" t="e">
        <f>'Nach Mannschaften sortiert'!#REF!</f>
        <v>#REF!</v>
      </c>
    </row>
    <row r="84" spans="1:8" x14ac:dyDescent="0.3">
      <c r="A84" s="57">
        <f>'Nach Mannschaften sortiert'!A122</f>
        <v>83</v>
      </c>
      <c r="B84" s="57">
        <f>'Nach Mannschaften sortiert'!B122</f>
        <v>2</v>
      </c>
      <c r="C84" s="57" t="str">
        <f>'Nach Mannschaften sortiert'!C122</f>
        <v>GGG</v>
      </c>
      <c r="D84" s="58">
        <f>'Nach Mannschaften sortiert'!D122</f>
        <v>46256</v>
      </c>
      <c r="E84" s="101">
        <f>'Nach Mannschaften sortiert'!E122</f>
        <v>0.375</v>
      </c>
      <c r="F84" s="57" t="str">
        <f>'Nach Mannschaften sortiert'!F122</f>
        <v>Neufeld</v>
      </c>
      <c r="G84" s="57" t="str">
        <f>'Nach Mannschaften sortiert'!G122</f>
        <v>viele Gegner</v>
      </c>
      <c r="H84" s="57" t="str">
        <f>'Nach Mannschaften sortiert'!H122</f>
        <v>Heim</v>
      </c>
    </row>
  </sheetData>
  <autoFilter ref="A1:H84" xr:uid="{00000000-0009-0000-0000-000004000000}">
    <filterColumn colId="5">
      <filters>
        <filter val="Neufeld"/>
      </filters>
    </filterColumn>
    <filterColumn colId="7">
      <filters>
        <filter val="Heim"/>
      </filters>
    </filterColumn>
    <sortState xmlns:xlrd2="http://schemas.microsoft.com/office/spreadsheetml/2017/richdata2" ref="A3:H84">
      <sortCondition ref="D1:D84"/>
    </sortState>
  </autoFilter>
  <pageMargins left="0.7" right="0.7" top="0.78740157499999996" bottom="0.78740157499999996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selection activeCell="A3" sqref="A3"/>
    </sheetView>
  </sheetViews>
  <sheetFormatPr baseColWidth="10" defaultRowHeight="14.4" x14ac:dyDescent="0.3"/>
  <sheetData>
    <row r="1" spans="1:3" x14ac:dyDescent="0.3">
      <c r="A1" t="s">
        <v>23</v>
      </c>
      <c r="B1" t="s">
        <v>128</v>
      </c>
      <c r="C1" t="s">
        <v>129</v>
      </c>
    </row>
    <row r="2" spans="1:3" x14ac:dyDescent="0.3">
      <c r="A2" t="s">
        <v>25</v>
      </c>
      <c r="B2" t="s">
        <v>130</v>
      </c>
      <c r="C2" t="s">
        <v>131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 x14ac:dyDescent="0.3"/>
  <cols>
    <col min="1" max="1" width="24.109375" style="57" bestFit="1" customWidth="1"/>
    <col min="2" max="2" width="29" style="106" bestFit="1" customWidth="1"/>
    <col min="3" max="3" width="19.33203125" style="101" customWidth="1"/>
    <col min="4" max="4" width="18.33203125" style="57" customWidth="1"/>
    <col min="5" max="5" width="33.109375" style="57" bestFit="1" customWidth="1"/>
    <col min="6" max="6" width="12.5546875" style="57" bestFit="1" customWidth="1"/>
    <col min="7" max="7" width="24.6640625" style="57" customWidth="1"/>
    <col min="8" max="8" width="12" style="57" customWidth="1"/>
    <col min="9" max="9" width="12" style="57" bestFit="1" customWidth="1"/>
    <col min="10" max="10" width="44.109375" style="57" bestFit="1" customWidth="1"/>
    <col min="11" max="11" width="40.44140625" style="57" bestFit="1" customWidth="1"/>
  </cols>
  <sheetData>
    <row r="1" spans="1:11" ht="22.8" customHeight="1" x14ac:dyDescent="0.4">
      <c r="A1" s="59" t="s">
        <v>2</v>
      </c>
      <c r="B1" s="107" t="s">
        <v>3</v>
      </c>
      <c r="C1" s="108" t="s">
        <v>132</v>
      </c>
      <c r="D1" s="59" t="s">
        <v>5</v>
      </c>
      <c r="E1" s="59" t="s">
        <v>6</v>
      </c>
      <c r="F1" s="59" t="s">
        <v>133</v>
      </c>
      <c r="G1" s="59" t="s">
        <v>134</v>
      </c>
      <c r="H1" s="59" t="s">
        <v>135</v>
      </c>
      <c r="I1" s="59" t="s">
        <v>136</v>
      </c>
      <c r="J1" s="59" t="s">
        <v>137</v>
      </c>
      <c r="K1" s="59" t="s">
        <v>138</v>
      </c>
    </row>
    <row r="2" spans="1:11" ht="15.6" customHeight="1" x14ac:dyDescent="0.3">
      <c r="A2" s="60" t="s">
        <v>26</v>
      </c>
      <c r="B2" s="109">
        <v>46091</v>
      </c>
      <c r="C2" s="110">
        <v>0.6875</v>
      </c>
      <c r="D2" s="60" t="s">
        <v>11</v>
      </c>
      <c r="E2" s="60" t="s">
        <v>139</v>
      </c>
      <c r="F2" s="60" t="s">
        <v>26</v>
      </c>
      <c r="G2" s="60" t="str">
        <f t="shared" ref="G2:G33" si="0">IF(F2="Großfeld","Großfeld",IF(F2="U16","Großfeld",IF(F2="U15","Großfeld",IF(F2="U14","Großfeld",IF(F2="U13","75x55",IF(F2="U11/U12","55x40",IF(F2="U9/U10","40x25",IF(F2="U8","29x22","25x20"))))))))</f>
        <v>29x22</v>
      </c>
      <c r="H2" s="60" t="str">
        <f>IF(F2="Großfeld","7,32x2,44",IF(F2="U16","7,32x2,44",IF(F2="U15","7,32x2,44",IF(F2="U14","7,32x2,44",IF(F2="U13","5x2",IF(F2="U11/U12","5x2",IF(F2="U9/U10","5x2","4 Minitore")))))))</f>
        <v>4 Minitore</v>
      </c>
      <c r="I2" s="60" t="str">
        <f t="shared" ref="I2:I22" si="1">IF(F2="Großfeld","5",IF(F2="U16","5",IF(F2="U15","5",IF(F2="U14","4",IF(F2="U13","4",IF(F2="U11/U12","4",IF(F2="U9/U10","4",IF(F2="U9","4","3"))))))))</f>
        <v>3</v>
      </c>
      <c r="J2" s="60" t="str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>Berger Tobias&amp;Sebastian Putric</v>
      </c>
      <c r="K2" s="60" t="str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>+43 660 199 13 52 &amp;  +43 660 914 92 36</v>
      </c>
    </row>
    <row r="3" spans="1:11" hidden="1" x14ac:dyDescent="0.3">
      <c r="A3" t="str">
        <f>Heimspiele!C4</f>
        <v>KM</v>
      </c>
      <c r="B3" s="111">
        <f>Heimspiele!D4</f>
        <v>0</v>
      </c>
      <c r="C3" s="111"/>
      <c r="D3">
        <f>Heimspiele!F4</f>
        <v>0</v>
      </c>
      <c r="E3">
        <f>Heimspiele!G4</f>
        <v>0</v>
      </c>
      <c r="F3" t="s">
        <v>140</v>
      </c>
      <c r="G3" t="str">
        <f t="shared" si="0"/>
        <v>Großfeld</v>
      </c>
      <c r="H3" t="str">
        <f>IF(F3="Großfeld","7,32x2,44",IF(F3="U16","7,32x2,44",IF(F3="U15","7,32x2,44",IF(F3="U14","7,32x2,44",IF(F3="U13","5x2",IF(F3="U11/U12","5x2",IF(F3="U9/U10","5x2","4 Minitore")))))))</f>
        <v>7,32x2,44</v>
      </c>
      <c r="I3" t="str">
        <f t="shared" si="1"/>
        <v>5</v>
      </c>
      <c r="J3" t="str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>FEHLER</v>
      </c>
      <c r="K3" t="str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>FEHLER</v>
      </c>
    </row>
    <row r="4" spans="1:11" ht="15.6" customHeight="1" x14ac:dyDescent="0.3">
      <c r="A4" s="60" t="s">
        <v>141</v>
      </c>
      <c r="B4" s="109">
        <v>46095</v>
      </c>
      <c r="C4" s="110">
        <v>0.54166666666666663</v>
      </c>
      <c r="D4" s="60" t="s">
        <v>11</v>
      </c>
      <c r="E4" s="60" t="s">
        <v>142</v>
      </c>
      <c r="F4" s="60" t="s">
        <v>14</v>
      </c>
      <c r="G4" s="60" t="str">
        <f t="shared" si="0"/>
        <v>Großfeld</v>
      </c>
      <c r="H4" s="60" t="str">
        <f>IF(F4="Großfeld","7,32x2,44",IF(F4="U16","7,32x2,44",IF(F4="U15","7,32x2,44",IF(F4="U14","7,32x2,44",IF(F4="U13","5x2",IF(F4="U11/U12","5x2",IF(F4="U9/U10","5x2",IF(F3="Turnier","5x2","4 Minitore"))))))))</f>
        <v>7,32x2,44</v>
      </c>
      <c r="I4" s="60" t="str">
        <f t="shared" si="1"/>
        <v>5</v>
      </c>
      <c r="J4" s="60" t="str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>Josch Kögl</v>
      </c>
      <c r="K4" s="60" t="str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>+43 650 262 82 63</v>
      </c>
    </row>
    <row r="5" spans="1:11" hidden="1" x14ac:dyDescent="0.3">
      <c r="A5" t="str">
        <f>Heimspiele!C6</f>
        <v>KM</v>
      </c>
      <c r="B5" s="111">
        <f>Heimspiele!D6</f>
        <v>0</v>
      </c>
      <c r="C5" s="111"/>
      <c r="D5">
        <f>Heimspiele!F6</f>
        <v>0</v>
      </c>
      <c r="E5">
        <f>Heimspiele!G6</f>
        <v>0</v>
      </c>
      <c r="F5" t="s">
        <v>140</v>
      </c>
      <c r="G5" t="str">
        <f t="shared" si="0"/>
        <v>Großfeld</v>
      </c>
      <c r="H5" t="str">
        <f>IF(F5="Großfeld","7,32x2,44",IF(F5="U16","7,32x2,44",IF(F5="U15","7,32x2,44",IF(F5="U14","7,32x2,44",IF(F5="U13","5x2",IF(F5="U11/U12","5x2",IF(F5="U9/U10","5x2","4 Minitore")))))))</f>
        <v>7,32x2,44</v>
      </c>
      <c r="I5" t="str">
        <f t="shared" si="1"/>
        <v>5</v>
      </c>
      <c r="J5" t="str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>FEHLER</v>
      </c>
      <c r="K5" t="str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>FEHLER</v>
      </c>
    </row>
    <row r="6" spans="1:11" ht="15.6" customHeight="1" x14ac:dyDescent="0.3">
      <c r="A6" s="60" t="s">
        <v>143</v>
      </c>
      <c r="B6" s="109">
        <v>46096</v>
      </c>
      <c r="C6" s="110">
        <v>0.45833333333333331</v>
      </c>
      <c r="D6" s="60" t="s">
        <v>11</v>
      </c>
      <c r="E6" s="60" t="s">
        <v>144</v>
      </c>
      <c r="F6" s="60" t="s">
        <v>17</v>
      </c>
      <c r="G6" s="60" t="str">
        <f t="shared" si="0"/>
        <v>Großfeld</v>
      </c>
      <c r="H6" s="60" t="str">
        <f>IF(F6="Großfeld","7,32x2,44",IF(F6="U16","7,32x2,44",IF(F6="U15","7,32x2,44",IF(F6="U14","7,32x2,44",IF(F6="U13","5x2",IF(F6="U11/U12","5x2",IF(F6="U9/U10","5x2",IF(F5="Turnier","5x2","4 Minitore"))))))))</f>
        <v>7,32x2,44</v>
      </c>
      <c r="I6" s="60" t="str">
        <f t="shared" si="1"/>
        <v>5</v>
      </c>
      <c r="J6" s="60" t="str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>Serdar Ekinci</v>
      </c>
      <c r="K6" s="60" t="str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>+43 650 701 02 44</v>
      </c>
    </row>
    <row r="7" spans="1:11" hidden="1" x14ac:dyDescent="0.3">
      <c r="A7" t="str">
        <f>Heimspiele!C8</f>
        <v>KM</v>
      </c>
      <c r="B7" s="111">
        <f>Heimspiele!D8</f>
        <v>0</v>
      </c>
      <c r="C7" s="111"/>
      <c r="D7">
        <f>Heimspiele!F8</f>
        <v>0</v>
      </c>
      <c r="E7">
        <f>Heimspiele!G8</f>
        <v>0</v>
      </c>
      <c r="F7" t="s">
        <v>140</v>
      </c>
      <c r="G7" t="str">
        <f t="shared" si="0"/>
        <v>Großfeld</v>
      </c>
      <c r="H7" t="str">
        <f>IF(F7="Großfeld","7,32x2,44",IF(F7="U16","7,32x2,44",IF(F7="U15","7,32x2,44",IF(F7="U14","7,32x2,44",IF(F7="U13","5x2",IF(F7="U11/U12","5x2",IF(F7="U9/U10","5x2","4 Minitore")))))))</f>
        <v>7,32x2,44</v>
      </c>
      <c r="I7" t="str">
        <f t="shared" si="1"/>
        <v>5</v>
      </c>
      <c r="J7" t="str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>FEHLER</v>
      </c>
      <c r="K7" t="str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>FEHLER</v>
      </c>
    </row>
    <row r="8" spans="1:11" ht="15.6" customHeight="1" x14ac:dyDescent="0.3">
      <c r="A8" s="60" t="s">
        <v>145</v>
      </c>
      <c r="B8" s="109">
        <v>46102</v>
      </c>
      <c r="C8" s="110">
        <v>0.5</v>
      </c>
      <c r="D8" s="60" t="s">
        <v>11</v>
      </c>
      <c r="E8" s="60" t="s">
        <v>146</v>
      </c>
      <c r="F8" s="60" t="s">
        <v>147</v>
      </c>
      <c r="G8" s="60" t="str">
        <f t="shared" si="0"/>
        <v>55x40</v>
      </c>
      <c r="H8" s="60" t="str">
        <f>IF(F8="Großfeld","7,32x2,44",IF(F8="U16","7,32x2,44",IF(F8="U15","7,32x2,44",IF(F8="U14","7,32x2,44",IF(F8="U13","5x2",IF(F8="U11/U12","5x2",IF(F8="U9/U10","5x2",IF(F7="Turnier","5x2","4 Minitore"))))))))</f>
        <v>5x2</v>
      </c>
      <c r="I8" s="60" t="str">
        <f t="shared" si="1"/>
        <v>4</v>
      </c>
      <c r="J8" s="60" t="str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>Mario Magler&amp;Ronny Archam</v>
      </c>
      <c r="K8" s="60" t="str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>+43 664 762 09 93 &amp; +43 699 111 93 828</v>
      </c>
    </row>
    <row r="9" spans="1:11" hidden="1" x14ac:dyDescent="0.3">
      <c r="A9" t="str">
        <f>Heimspiele!C10</f>
        <v>KM</v>
      </c>
      <c r="B9" s="111">
        <f>Heimspiele!D10</f>
        <v>0</v>
      </c>
      <c r="C9" s="111"/>
      <c r="D9">
        <f>Heimspiele!F10</f>
        <v>0</v>
      </c>
      <c r="E9">
        <f>Heimspiele!G10</f>
        <v>0</v>
      </c>
      <c r="F9" t="s">
        <v>140</v>
      </c>
      <c r="G9" t="str">
        <f t="shared" si="0"/>
        <v>Großfeld</v>
      </c>
      <c r="H9" t="str">
        <f t="shared" ref="H9:H22" si="2">IF(F9="Großfeld","7,32x2,44",IF(F9="U16","7,32x2,44",IF(F9="U15","7,32x2,44",IF(F9="U14","7,32x2,44",IF(F9="U13","5x2",IF(F9="U11/U12","5x2",IF(F9="U9/U10","5x2","4 Minitore")))))))</f>
        <v>7,32x2,44</v>
      </c>
      <c r="I9" t="str">
        <f t="shared" si="1"/>
        <v>5</v>
      </c>
      <c r="J9" t="str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>FEHLER</v>
      </c>
      <c r="K9" t="str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>FEHLER</v>
      </c>
    </row>
    <row r="10" spans="1:11" ht="15.6" customHeight="1" x14ac:dyDescent="0.3">
      <c r="A10" s="61" t="str">
        <f>Heimspiele!C3</f>
        <v>KM</v>
      </c>
      <c r="B10" s="112">
        <f>Heimspiele!D3</f>
        <v>0</v>
      </c>
      <c r="C10" s="113">
        <f>Heimspiele!E3</f>
        <v>0</v>
      </c>
      <c r="D10" s="61">
        <f>Heimspiele!F3</f>
        <v>0</v>
      </c>
      <c r="E10" s="61">
        <f>Heimspiele!G3</f>
        <v>0</v>
      </c>
      <c r="F10" s="61" t="s">
        <v>140</v>
      </c>
      <c r="G10" s="61" t="str">
        <f t="shared" si="0"/>
        <v>Großfeld</v>
      </c>
      <c r="H10" s="61" t="str">
        <f t="shared" si="2"/>
        <v>7,32x2,44</v>
      </c>
      <c r="I10" s="61" t="str">
        <f t="shared" si="1"/>
        <v>5</v>
      </c>
      <c r="J10" s="61" t="str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>FEHLER</v>
      </c>
      <c r="K10" s="61" t="str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>FEHLER</v>
      </c>
    </row>
    <row r="11" spans="1:11" hidden="1" x14ac:dyDescent="0.3">
      <c r="A11" t="str">
        <f>Heimspiele!C12</f>
        <v>KM</v>
      </c>
      <c r="B11" s="111">
        <f>Heimspiele!D12</f>
        <v>0</v>
      </c>
      <c r="C11" s="111"/>
      <c r="D11">
        <f>Heimspiele!F12</f>
        <v>0</v>
      </c>
      <c r="E11">
        <f>Heimspiele!G12</f>
        <v>0</v>
      </c>
      <c r="F11" t="s">
        <v>140</v>
      </c>
      <c r="G11" t="str">
        <f t="shared" si="0"/>
        <v>Großfeld</v>
      </c>
      <c r="H11" t="str">
        <f t="shared" si="2"/>
        <v>7,32x2,44</v>
      </c>
      <c r="I11" t="str">
        <f t="shared" si="1"/>
        <v>5</v>
      </c>
      <c r="J11" t="str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>FEHLER</v>
      </c>
      <c r="K11" t="str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>FEHLER</v>
      </c>
    </row>
    <row r="12" spans="1:11" hidden="1" x14ac:dyDescent="0.3">
      <c r="A12" t="str">
        <f>Heimspiele!C13</f>
        <v>KM</v>
      </c>
      <c r="B12" s="111">
        <f>Heimspiele!D13</f>
        <v>0</v>
      </c>
      <c r="C12" s="111"/>
      <c r="D12">
        <f>Heimspiele!F13</f>
        <v>0</v>
      </c>
      <c r="E12">
        <f>Heimspiele!G13</f>
        <v>0</v>
      </c>
      <c r="F12" t="s">
        <v>140</v>
      </c>
      <c r="G12" t="str">
        <f t="shared" si="0"/>
        <v>Großfeld</v>
      </c>
      <c r="H12" t="str">
        <f t="shared" si="2"/>
        <v>7,32x2,44</v>
      </c>
      <c r="I12" t="str">
        <f t="shared" si="1"/>
        <v>5</v>
      </c>
      <c r="J12" t="str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>FEHLER</v>
      </c>
      <c r="K12" t="str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>FEHLER</v>
      </c>
    </row>
    <row r="13" spans="1:11" ht="15.6" customHeight="1" x14ac:dyDescent="0.3">
      <c r="A13" s="61" t="str">
        <f>Heimspiele!C5</f>
        <v>U13</v>
      </c>
      <c r="B13" s="112">
        <f>Heimspiele!D5</f>
        <v>0</v>
      </c>
      <c r="C13" s="113">
        <f>Heimspiele!E5</f>
        <v>0</v>
      </c>
      <c r="D13" s="61">
        <f>Heimspiele!F5</f>
        <v>0</v>
      </c>
      <c r="E13" s="61">
        <f>Heimspiele!G5</f>
        <v>0</v>
      </c>
      <c r="F13" s="61" t="s">
        <v>19</v>
      </c>
      <c r="G13" s="61" t="str">
        <f t="shared" si="0"/>
        <v>Großfeld</v>
      </c>
      <c r="H13" s="61" t="str">
        <f t="shared" si="2"/>
        <v>7,32x2,44</v>
      </c>
      <c r="I13" s="61" t="str">
        <f t="shared" si="1"/>
        <v>4</v>
      </c>
      <c r="J13" s="61" t="str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>FEHLER</v>
      </c>
      <c r="K13" s="61" t="str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>FEHLER</v>
      </c>
    </row>
    <row r="14" spans="1:11" hidden="1" x14ac:dyDescent="0.3">
      <c r="A14" t="str">
        <f>Heimspiele!C15</f>
        <v>U16</v>
      </c>
      <c r="B14" s="111">
        <f>Heimspiele!D15</f>
        <v>0</v>
      </c>
      <c r="C14" s="111"/>
      <c r="D14">
        <f>Heimspiele!F15</f>
        <v>0</v>
      </c>
      <c r="E14">
        <f>Heimspiele!G15</f>
        <v>0</v>
      </c>
      <c r="F14" t="s">
        <v>140</v>
      </c>
      <c r="G14" t="str">
        <f t="shared" si="0"/>
        <v>Großfeld</v>
      </c>
      <c r="H14" t="str">
        <f t="shared" si="2"/>
        <v>7,32x2,44</v>
      </c>
      <c r="I14" t="str">
        <f t="shared" si="1"/>
        <v>5</v>
      </c>
      <c r="J14" t="str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>FEHLER</v>
      </c>
      <c r="K14" t="str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>FEHLER</v>
      </c>
    </row>
    <row r="15" spans="1:11" hidden="1" x14ac:dyDescent="0.3">
      <c r="A15" t="str">
        <f>Heimspiele!C16</f>
        <v>U16</v>
      </c>
      <c r="B15" s="111">
        <f>Heimspiele!D16</f>
        <v>0</v>
      </c>
      <c r="C15" s="111"/>
      <c r="D15">
        <f>Heimspiele!F16</f>
        <v>0</v>
      </c>
      <c r="E15">
        <f>Heimspiele!G16</f>
        <v>0</v>
      </c>
      <c r="F15" t="s">
        <v>140</v>
      </c>
      <c r="G15" t="str">
        <f t="shared" si="0"/>
        <v>Großfeld</v>
      </c>
      <c r="H15" t="str">
        <f t="shared" si="2"/>
        <v>7,32x2,44</v>
      </c>
      <c r="I15" t="str">
        <f t="shared" si="1"/>
        <v>5</v>
      </c>
      <c r="J15" t="str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>FEHLER</v>
      </c>
      <c r="K15" t="str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>FEHLER</v>
      </c>
    </row>
    <row r="16" spans="1:11" hidden="1" x14ac:dyDescent="0.3">
      <c r="A16" t="str">
        <f>Heimspiele!C17</f>
        <v>U16</v>
      </c>
      <c r="B16" s="111">
        <f>Heimspiele!D17</f>
        <v>0</v>
      </c>
      <c r="C16" s="111"/>
      <c r="D16">
        <f>Heimspiele!F17</f>
        <v>0</v>
      </c>
      <c r="E16">
        <f>Heimspiele!G17</f>
        <v>0</v>
      </c>
      <c r="F16" t="s">
        <v>140</v>
      </c>
      <c r="G16" t="str">
        <f t="shared" si="0"/>
        <v>Großfeld</v>
      </c>
      <c r="H16" t="str">
        <f t="shared" si="2"/>
        <v>7,32x2,44</v>
      </c>
      <c r="I16" t="str">
        <f t="shared" si="1"/>
        <v>5</v>
      </c>
      <c r="J16" t="str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>FEHLER</v>
      </c>
      <c r="K16" t="str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>FEHLER</v>
      </c>
    </row>
    <row r="17" spans="1:11" ht="15.6" customHeight="1" x14ac:dyDescent="0.3">
      <c r="A17" s="61" t="str">
        <f>Heimspiele!C7</f>
        <v>U12_1</v>
      </c>
      <c r="B17" s="112">
        <f>Heimspiele!D7</f>
        <v>0</v>
      </c>
      <c r="C17" s="113">
        <f>Heimspiele!E7</f>
        <v>0</v>
      </c>
      <c r="D17" s="61">
        <f>Heimspiele!F7</f>
        <v>0</v>
      </c>
      <c r="E17" s="61">
        <f>Heimspiele!G7</f>
        <v>0</v>
      </c>
      <c r="F17" s="61" t="s">
        <v>20</v>
      </c>
      <c r="G17" s="61" t="str">
        <f t="shared" si="0"/>
        <v>75x55</v>
      </c>
      <c r="H17" s="61" t="str">
        <f t="shared" si="2"/>
        <v>5x2</v>
      </c>
      <c r="I17" s="61" t="str">
        <f t="shared" si="1"/>
        <v>4</v>
      </c>
      <c r="J17" s="61" t="str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>FEHLER</v>
      </c>
      <c r="K17" s="61" t="str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>FEHLER</v>
      </c>
    </row>
    <row r="18" spans="1:11" hidden="1" x14ac:dyDescent="0.3">
      <c r="A18" t="str">
        <f>Heimspiele!C19</f>
        <v>U16</v>
      </c>
      <c r="B18" s="111">
        <f>Heimspiele!D19</f>
        <v>0</v>
      </c>
      <c r="C18" s="111"/>
      <c r="D18">
        <f>Heimspiele!F19</f>
        <v>0</v>
      </c>
      <c r="E18">
        <f>Heimspiele!G19</f>
        <v>0</v>
      </c>
      <c r="F18" t="s">
        <v>140</v>
      </c>
      <c r="G18" t="str">
        <f t="shared" si="0"/>
        <v>Großfeld</v>
      </c>
      <c r="H18" t="str">
        <f t="shared" si="2"/>
        <v>7,32x2,44</v>
      </c>
      <c r="I18" t="str">
        <f t="shared" si="1"/>
        <v>5</v>
      </c>
      <c r="J18" t="str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>FEHLER</v>
      </c>
      <c r="K18" t="str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>FEHLER</v>
      </c>
    </row>
    <row r="19" spans="1:11" hidden="1" x14ac:dyDescent="0.3">
      <c r="A19" t="str">
        <f>Heimspiele!C20</f>
        <v>U16</v>
      </c>
      <c r="B19" s="111">
        <f>Heimspiele!D20</f>
        <v>0</v>
      </c>
      <c r="C19" s="111"/>
      <c r="D19">
        <f>Heimspiele!F20</f>
        <v>0</v>
      </c>
      <c r="E19">
        <f>Heimspiele!G20</f>
        <v>0</v>
      </c>
      <c r="F19" t="s">
        <v>140</v>
      </c>
      <c r="G19" t="str">
        <f t="shared" si="0"/>
        <v>Großfeld</v>
      </c>
      <c r="H19" t="str">
        <f t="shared" si="2"/>
        <v>7,32x2,44</v>
      </c>
      <c r="I19" t="str">
        <f t="shared" si="1"/>
        <v>5</v>
      </c>
      <c r="J19" t="str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>FEHLER</v>
      </c>
      <c r="K19" t="str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>FEHLER</v>
      </c>
    </row>
    <row r="20" spans="1:11" hidden="1" x14ac:dyDescent="0.3">
      <c r="A20" t="str">
        <f>Heimspiele!C21</f>
        <v>U16</v>
      </c>
      <c r="B20" s="111">
        <f>Heimspiele!D21</f>
        <v>0</v>
      </c>
      <c r="C20" s="111"/>
      <c r="D20">
        <f>Heimspiele!F21</f>
        <v>0</v>
      </c>
      <c r="E20">
        <f>Heimspiele!G21</f>
        <v>0</v>
      </c>
      <c r="F20" t="s">
        <v>140</v>
      </c>
      <c r="G20" t="str">
        <f t="shared" si="0"/>
        <v>Großfeld</v>
      </c>
      <c r="H20" t="str">
        <f t="shared" si="2"/>
        <v>7,32x2,44</v>
      </c>
      <c r="I20" t="str">
        <f t="shared" si="1"/>
        <v>5</v>
      </c>
      <c r="J20" t="str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>FEHLER</v>
      </c>
      <c r="K20" t="str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>FEHLER</v>
      </c>
    </row>
    <row r="21" spans="1:11" hidden="1" x14ac:dyDescent="0.3">
      <c r="A21" t="str">
        <f>Heimspiele!C22</f>
        <v>U16</v>
      </c>
      <c r="B21" s="111">
        <f>Heimspiele!D22</f>
        <v>0</v>
      </c>
      <c r="C21" s="111"/>
      <c r="D21">
        <f>Heimspiele!F22</f>
        <v>0</v>
      </c>
      <c r="E21">
        <f>Heimspiele!G22</f>
        <v>0</v>
      </c>
      <c r="F21" t="s">
        <v>140</v>
      </c>
      <c r="G21" t="str">
        <f t="shared" si="0"/>
        <v>Großfeld</v>
      </c>
      <c r="H21" t="str">
        <f t="shared" si="2"/>
        <v>7,32x2,44</v>
      </c>
      <c r="I21" t="str">
        <f t="shared" si="1"/>
        <v>5</v>
      </c>
      <c r="J21" t="str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>FEHLER</v>
      </c>
      <c r="K21" t="str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>FEHLER</v>
      </c>
    </row>
    <row r="22" spans="1:11" hidden="1" x14ac:dyDescent="0.3">
      <c r="A22" t="str">
        <f>Heimspiele!C23</f>
        <v>U16</v>
      </c>
      <c r="B22" s="111">
        <f>Heimspiele!D23</f>
        <v>0</v>
      </c>
      <c r="C22" s="111"/>
      <c r="D22">
        <f>Heimspiele!F23</f>
        <v>0</v>
      </c>
      <c r="E22">
        <f>Heimspiele!G23</f>
        <v>0</v>
      </c>
      <c r="F22" t="s">
        <v>140</v>
      </c>
      <c r="G22" t="str">
        <f t="shared" si="0"/>
        <v>Großfeld</v>
      </c>
      <c r="H22" t="str">
        <f t="shared" si="2"/>
        <v>7,32x2,44</v>
      </c>
      <c r="I22" t="str">
        <f t="shared" si="1"/>
        <v>5</v>
      </c>
      <c r="J22" t="str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>FEHLER</v>
      </c>
      <c r="K22" t="str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>FEHLER</v>
      </c>
    </row>
    <row r="23" spans="1:11" ht="15.6" customHeight="1" x14ac:dyDescent="0.3">
      <c r="A23" s="60" t="str">
        <f>Heimspiele!C9</f>
        <v>U8</v>
      </c>
      <c r="B23" s="109">
        <f>Heimspiele!D9</f>
        <v>0</v>
      </c>
      <c r="C23" s="110">
        <f>Heimspiele!E9</f>
        <v>0</v>
      </c>
      <c r="D23" s="60">
        <f>Heimspiele!F9</f>
        <v>0</v>
      </c>
      <c r="E23" s="60">
        <f>Heimspiele!G9</f>
        <v>0</v>
      </c>
      <c r="F23" s="60" t="s">
        <v>140</v>
      </c>
      <c r="G23" s="60" t="str">
        <f t="shared" si="0"/>
        <v>Großfeld</v>
      </c>
      <c r="H23" s="60" t="s">
        <v>148</v>
      </c>
      <c r="I23" s="60">
        <v>3</v>
      </c>
      <c r="J23" s="60" t="str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>Berger Tobias&amp;Sebastian Putric</v>
      </c>
      <c r="K23" s="60" t="str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>+43 660 199 13 52 &amp;  +43 660 914 92 36</v>
      </c>
    </row>
    <row r="24" spans="1:11" hidden="1" x14ac:dyDescent="0.3">
      <c r="A24" t="e">
        <f>Heimspiele!C25</f>
        <v>#REF!</v>
      </c>
      <c r="B24" s="111" t="e">
        <f>Heimspiele!D25</f>
        <v>#REF!</v>
      </c>
      <c r="C24" s="111"/>
      <c r="D24" t="e">
        <f>Heimspiele!F25</f>
        <v>#REF!</v>
      </c>
      <c r="E24" t="e">
        <f>Heimspiele!G25</f>
        <v>#REF!</v>
      </c>
      <c r="F24" t="s">
        <v>140</v>
      </c>
      <c r="G24" t="str">
        <f t="shared" si="0"/>
        <v>Großfeld</v>
      </c>
      <c r="H24" t="str">
        <f>IF(F24="Großfeld","7,32x2,44",IF(F24="U16","7,32x2,44",IF(F24="U15","7,32x2,44",IF(F24="U14","7,32x2,44",IF(F24="U13","5x2",IF(F24="U11/U12","5x2",IF(F24="U9/U10","5x2","4 Minitore")))))))</f>
        <v>7,32x2,44</v>
      </c>
      <c r="I24" t="str">
        <f>IF(F24="Großfeld","5",IF(F24="U16","5",IF(F24="U15","5",IF(F24="U14","4",IF(F24="U13","4",IF(F24="U11/U12","4",IF(F24="U9/U10","4",IF(F24="U9","4","3"))))))))</f>
        <v>5</v>
      </c>
      <c r="J24" t="e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>#REF!</v>
      </c>
      <c r="K24" t="e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>#REF!</v>
      </c>
    </row>
    <row r="25" spans="1:11" ht="15.6" customHeight="1" x14ac:dyDescent="0.3">
      <c r="A25" s="60" t="str">
        <f>Heimspiele!C11</f>
        <v>U7</v>
      </c>
      <c r="B25" s="109">
        <f>Heimspiele!D11</f>
        <v>0</v>
      </c>
      <c r="C25" s="110">
        <f>Heimspiele!E11</f>
        <v>0</v>
      </c>
      <c r="D25" s="60">
        <f>Heimspiele!F11</f>
        <v>0</v>
      </c>
      <c r="E25" s="60">
        <f>Heimspiele!G11</f>
        <v>0</v>
      </c>
      <c r="F25" s="60" t="s">
        <v>140</v>
      </c>
      <c r="G25" s="60" t="str">
        <f t="shared" si="0"/>
        <v>Großfeld</v>
      </c>
      <c r="H25" s="60" t="s">
        <v>148</v>
      </c>
      <c r="I25" s="60">
        <v>3</v>
      </c>
      <c r="J25" s="60" t="str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>Türkes Ömer&amp;Mahsumi Taha</v>
      </c>
      <c r="K25" s="60" t="str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>+43 676 661 62 26 &amp;  +43 681 208 115 99</v>
      </c>
    </row>
    <row r="26" spans="1:11" hidden="1" x14ac:dyDescent="0.3">
      <c r="A26" t="str">
        <f>Heimspiele!C27</f>
        <v>U14</v>
      </c>
      <c r="B26" s="111">
        <f>Heimspiele!D27</f>
        <v>0</v>
      </c>
      <c r="C26" s="111"/>
      <c r="D26">
        <f>Heimspiele!F27</f>
        <v>0</v>
      </c>
      <c r="E26">
        <f>Heimspiele!G27</f>
        <v>0</v>
      </c>
      <c r="F26" t="s">
        <v>140</v>
      </c>
      <c r="G26" t="str">
        <f t="shared" si="0"/>
        <v>Großfeld</v>
      </c>
      <c r="H26" t="str">
        <f>IF(F26="Großfeld","7,32x2,44",IF(F26="U16","7,32x2,44",IF(F26="U15","7,32x2,44",IF(F26="U14","7,32x2,44",IF(F26="U13","5x2",IF(F26="U11/U12","5x2",IF(F26="U9/U10","5x2","4 Minitore")))))))</f>
        <v>7,32x2,44</v>
      </c>
      <c r="I26" t="str">
        <f>IF(F26="Großfeld","5",IF(F26="U16","5",IF(F26="U15","5",IF(F26="U14","4",IF(F26="U13","4",IF(F26="U11/U12","4",IF(F26="U9/U10","4",IF(F26="U9","4","3"))))))))</f>
        <v>5</v>
      </c>
      <c r="J26" t="str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>FEHLER</v>
      </c>
      <c r="K26" t="str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>FEHLER</v>
      </c>
    </row>
    <row r="27" spans="1:11" hidden="1" x14ac:dyDescent="0.3">
      <c r="A27" t="str">
        <f>Heimspiele!C28</f>
        <v>U14</v>
      </c>
      <c r="B27" s="111">
        <f>Heimspiele!D28</f>
        <v>0</v>
      </c>
      <c r="C27" s="111"/>
      <c r="D27">
        <f>Heimspiele!F28</f>
        <v>0</v>
      </c>
      <c r="E27">
        <f>Heimspiele!G28</f>
        <v>0</v>
      </c>
      <c r="F27" t="s">
        <v>140</v>
      </c>
      <c r="G27" t="str">
        <f t="shared" si="0"/>
        <v>Großfeld</v>
      </c>
      <c r="H27" t="str">
        <f>IF(F27="Großfeld","7,32x2,44",IF(F27="U16","7,32x2,44",IF(F27="U15","7,32x2,44",IF(F27="U14","7,32x2,44",IF(F27="U13","5x2",IF(F27="U11/U12","5x2",IF(F27="U9/U10","5x2","4 Minitore")))))))</f>
        <v>7,32x2,44</v>
      </c>
      <c r="I27" t="str">
        <f>IF(F27="Großfeld","5",IF(F27="U16","5",IF(F27="U15","5",IF(F27="U14","4",IF(F27="U13","4",IF(F27="U11/U12","4",IF(F27="U9/U10","4",IF(F27="U9","4","3"))))))))</f>
        <v>5</v>
      </c>
      <c r="J27" t="str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>FEHLER</v>
      </c>
      <c r="K27" t="str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>FEHLER</v>
      </c>
    </row>
    <row r="28" spans="1:11" ht="15.6" customHeight="1" x14ac:dyDescent="0.3">
      <c r="A28" s="60" t="str">
        <f>Heimspiele!C14</f>
        <v>U7</v>
      </c>
      <c r="B28" s="109">
        <f>Heimspiele!D14</f>
        <v>0</v>
      </c>
      <c r="C28" s="110">
        <f>Heimspiele!E14</f>
        <v>0</v>
      </c>
      <c r="D28" s="60">
        <f>Heimspiele!F14</f>
        <v>0</v>
      </c>
      <c r="E28" s="60">
        <f>Heimspiele!G14</f>
        <v>0</v>
      </c>
      <c r="F28" s="60" t="s">
        <v>140</v>
      </c>
      <c r="G28" s="60" t="str">
        <f t="shared" si="0"/>
        <v>Großfeld</v>
      </c>
      <c r="H28" s="60" t="s">
        <v>148</v>
      </c>
      <c r="I28" s="60">
        <v>3</v>
      </c>
      <c r="J28" s="60" t="str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>Türkes Ömer&amp;Mahsumi Taha</v>
      </c>
      <c r="K28" s="60" t="str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>+43 676 661 62 26 &amp;  +43 681 208 115 99</v>
      </c>
    </row>
    <row r="29" spans="1:11" hidden="1" x14ac:dyDescent="0.3">
      <c r="A29" t="e">
        <f>Heimspiele!C30</f>
        <v>#REF!</v>
      </c>
      <c r="B29" s="111" t="e">
        <f>Heimspiele!D30</f>
        <v>#REF!</v>
      </c>
      <c r="C29" s="111"/>
      <c r="D29" t="e">
        <f>Heimspiele!F30</f>
        <v>#REF!</v>
      </c>
      <c r="E29" t="e">
        <f>Heimspiele!G30</f>
        <v>#REF!</v>
      </c>
      <c r="F29" t="s">
        <v>140</v>
      </c>
      <c r="G29" t="str">
        <f t="shared" si="0"/>
        <v>Großfeld</v>
      </c>
      <c r="H29" t="str">
        <f t="shared" ref="H29:H60" si="3">IF(F29="Großfeld","7,32x2,44",IF(F29="U16","7,32x2,44",IF(F29="U15","7,32x2,44",IF(F29="U14","7,32x2,44",IF(F29="U13","5x2",IF(F29="U11/U12","5x2",IF(F29="U9/U10","5x2","4 Minitore")))))))</f>
        <v>7,32x2,44</v>
      </c>
      <c r="I29" t="str">
        <f t="shared" ref="I29:I60" si="4">IF(F29="Großfeld","5",IF(F29="U16","5",IF(F29="U15","5",IF(F29="U14","4",IF(F29="U13","4",IF(F29="U11/U12","4",IF(F29="U9/U10","4",IF(F29="U9","4","3"))))))))</f>
        <v>5</v>
      </c>
      <c r="J29" t="e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>#REF!</v>
      </c>
      <c r="K29" t="e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>#REF!</v>
      </c>
    </row>
    <row r="30" spans="1:11" hidden="1" x14ac:dyDescent="0.3">
      <c r="A30" t="str">
        <f>Heimspiele!C31</f>
        <v>U14</v>
      </c>
      <c r="B30" s="111">
        <f>Heimspiele!D31</f>
        <v>0</v>
      </c>
      <c r="C30" s="111"/>
      <c r="D30">
        <f>Heimspiele!F31</f>
        <v>0</v>
      </c>
      <c r="E30">
        <f>Heimspiele!G31</f>
        <v>0</v>
      </c>
      <c r="F30" t="s">
        <v>140</v>
      </c>
      <c r="G30" t="str">
        <f t="shared" si="0"/>
        <v>Großfeld</v>
      </c>
      <c r="H30" t="str">
        <f t="shared" si="3"/>
        <v>7,32x2,44</v>
      </c>
      <c r="I30" t="str">
        <f t="shared" si="4"/>
        <v>5</v>
      </c>
      <c r="J30" t="str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>FEHLER</v>
      </c>
      <c r="K30" t="str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>FEHLER</v>
      </c>
    </row>
    <row r="31" spans="1:11" hidden="1" x14ac:dyDescent="0.3">
      <c r="A31" t="str">
        <f>Heimspiele!C32</f>
        <v>U14</v>
      </c>
      <c r="B31" s="111">
        <f>Heimspiele!D32</f>
        <v>0</v>
      </c>
      <c r="C31" s="111"/>
      <c r="D31">
        <f>Heimspiele!F32</f>
        <v>0</v>
      </c>
      <c r="E31">
        <f>Heimspiele!G32</f>
        <v>0</v>
      </c>
      <c r="F31" t="s">
        <v>140</v>
      </c>
      <c r="G31" t="str">
        <f t="shared" si="0"/>
        <v>Großfeld</v>
      </c>
      <c r="H31" t="str">
        <f t="shared" si="3"/>
        <v>7,32x2,44</v>
      </c>
      <c r="I31" t="str">
        <f t="shared" si="4"/>
        <v>5</v>
      </c>
      <c r="J31" t="str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>FEHLER</v>
      </c>
      <c r="K31" t="str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>FEHLER</v>
      </c>
    </row>
    <row r="32" spans="1:11" hidden="1" x14ac:dyDescent="0.3">
      <c r="A32" t="str">
        <f>Heimspiele!C33</f>
        <v>U14</v>
      </c>
      <c r="B32" s="111">
        <f>Heimspiele!D33</f>
        <v>0</v>
      </c>
      <c r="C32" s="111"/>
      <c r="D32">
        <f>Heimspiele!F33</f>
        <v>0</v>
      </c>
      <c r="E32">
        <f>Heimspiele!G33</f>
        <v>0</v>
      </c>
      <c r="F32" t="s">
        <v>140</v>
      </c>
      <c r="G32" t="str">
        <f t="shared" si="0"/>
        <v>Großfeld</v>
      </c>
      <c r="H32" t="str">
        <f t="shared" si="3"/>
        <v>7,32x2,44</v>
      </c>
      <c r="I32" t="str">
        <f t="shared" si="4"/>
        <v>5</v>
      </c>
      <c r="J32" t="str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>FEHLER</v>
      </c>
      <c r="K32" t="str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>FEHLER</v>
      </c>
    </row>
    <row r="33" spans="1:11" hidden="1" x14ac:dyDescent="0.3">
      <c r="A33" t="str">
        <f>Heimspiele!C34</f>
        <v>U14</v>
      </c>
      <c r="B33" s="111">
        <f>Heimspiele!D34</f>
        <v>0</v>
      </c>
      <c r="C33" s="111"/>
      <c r="D33">
        <f>Heimspiele!F34</f>
        <v>0</v>
      </c>
      <c r="E33">
        <f>Heimspiele!G34</f>
        <v>0</v>
      </c>
      <c r="F33" t="s">
        <v>140</v>
      </c>
      <c r="G33" t="str">
        <f t="shared" si="0"/>
        <v>Großfeld</v>
      </c>
      <c r="H33" t="str">
        <f t="shared" si="3"/>
        <v>7,32x2,44</v>
      </c>
      <c r="I33" t="str">
        <f t="shared" si="4"/>
        <v>5</v>
      </c>
      <c r="J33" t="str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>FEHLER</v>
      </c>
      <c r="K33" t="str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>FEHLER</v>
      </c>
    </row>
    <row r="34" spans="1:11" ht="15.6" customHeight="1" x14ac:dyDescent="0.3">
      <c r="A34" s="61" t="str">
        <f>Heimspiele!C18</f>
        <v>KM</v>
      </c>
      <c r="B34" s="112">
        <f>Heimspiele!D18</f>
        <v>0</v>
      </c>
      <c r="C34" s="113">
        <f>Heimspiele!E18</f>
        <v>0</v>
      </c>
      <c r="D34" s="61">
        <f>Heimspiele!F18</f>
        <v>0</v>
      </c>
      <c r="E34" s="61">
        <f>Heimspiele!G18</f>
        <v>0</v>
      </c>
      <c r="F34" s="61" t="s">
        <v>140</v>
      </c>
      <c r="G34" s="61" t="str">
        <f t="shared" ref="G34:G65" si="5">IF(F34="Großfeld","Großfeld",IF(F34="U16","Großfeld",IF(F34="U15","Großfeld",IF(F34="U14","Großfeld",IF(F34="U13","75x55",IF(F34="U11/U12","55x40",IF(F34="U9/U10","40x25",IF(F34="U8","29x22","25x20"))))))))</f>
        <v>Großfeld</v>
      </c>
      <c r="H34" s="61" t="str">
        <f t="shared" si="3"/>
        <v>7,32x2,44</v>
      </c>
      <c r="I34" s="61" t="str">
        <f t="shared" si="4"/>
        <v>5</v>
      </c>
      <c r="J34" s="61" t="str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>FEHLER</v>
      </c>
      <c r="K34" s="61" t="str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>FEHLER</v>
      </c>
    </row>
    <row r="35" spans="1:11" hidden="1" x14ac:dyDescent="0.3">
      <c r="A35" t="str">
        <f>Heimspiele!C36</f>
        <v>U13</v>
      </c>
      <c r="B35" s="111">
        <f>Heimspiele!D36</f>
        <v>0</v>
      </c>
      <c r="C35" s="111"/>
      <c r="D35">
        <f>Heimspiele!F36</f>
        <v>0</v>
      </c>
      <c r="E35">
        <f>Heimspiele!G36</f>
        <v>0</v>
      </c>
      <c r="F35" t="s">
        <v>140</v>
      </c>
      <c r="G35" t="str">
        <f t="shared" si="5"/>
        <v>Großfeld</v>
      </c>
      <c r="H35" t="str">
        <f t="shared" si="3"/>
        <v>7,32x2,44</v>
      </c>
      <c r="I35" t="str">
        <f t="shared" si="4"/>
        <v>5</v>
      </c>
      <c r="J35" t="str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>FEHLER</v>
      </c>
      <c r="K35" t="str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>FEHLER</v>
      </c>
    </row>
    <row r="36" spans="1:11" hidden="1" x14ac:dyDescent="0.3">
      <c r="A36" t="str">
        <f>Heimspiele!C37</f>
        <v>U13</v>
      </c>
      <c r="B36" s="111">
        <f>Heimspiele!D37</f>
        <v>0</v>
      </c>
      <c r="C36" s="111"/>
      <c r="D36">
        <f>Heimspiele!F37</f>
        <v>0</v>
      </c>
      <c r="E36">
        <f>Heimspiele!G37</f>
        <v>0</v>
      </c>
      <c r="F36" t="s">
        <v>140</v>
      </c>
      <c r="G36" t="str">
        <f t="shared" si="5"/>
        <v>Großfeld</v>
      </c>
      <c r="H36" t="str">
        <f t="shared" si="3"/>
        <v>7,32x2,44</v>
      </c>
      <c r="I36" t="str">
        <f t="shared" si="4"/>
        <v>5</v>
      </c>
      <c r="J36" t="str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>FEHLER</v>
      </c>
      <c r="K36" t="str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>FEHLER</v>
      </c>
    </row>
    <row r="37" spans="1:11" ht="15.6" customHeight="1" x14ac:dyDescent="0.3">
      <c r="A37" s="61" t="str">
        <f>Heimspiele!C24</f>
        <v>U11</v>
      </c>
      <c r="B37" s="112">
        <f>Heimspiele!D24</f>
        <v>0</v>
      </c>
      <c r="C37" s="113">
        <f>Heimspiele!E24</f>
        <v>0</v>
      </c>
      <c r="D37" s="61">
        <f>Heimspiele!F24</f>
        <v>0</v>
      </c>
      <c r="E37" s="61">
        <f>Heimspiele!G24</f>
        <v>0</v>
      </c>
      <c r="F37" s="61" t="s">
        <v>149</v>
      </c>
      <c r="G37" s="61" t="str">
        <f t="shared" si="5"/>
        <v>40x25</v>
      </c>
      <c r="H37" s="61" t="str">
        <f t="shared" si="3"/>
        <v>5x2</v>
      </c>
      <c r="I37" s="61" t="str">
        <f t="shared" si="4"/>
        <v>4</v>
      </c>
      <c r="J37" s="61" t="str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>FEHLER</v>
      </c>
      <c r="K37" s="61" t="str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>FEHLER</v>
      </c>
    </row>
    <row r="38" spans="1:11" hidden="1" x14ac:dyDescent="0.3">
      <c r="A38" t="e">
        <f>Heimspiele!C39</f>
        <v>#REF!</v>
      </c>
      <c r="B38" s="111" t="e">
        <f>Heimspiele!D39</f>
        <v>#REF!</v>
      </c>
      <c r="C38" s="111"/>
      <c r="D38" t="e">
        <f>Heimspiele!F39</f>
        <v>#REF!</v>
      </c>
      <c r="E38" t="e">
        <f>Heimspiele!G39</f>
        <v>#REF!</v>
      </c>
      <c r="F38" t="s">
        <v>140</v>
      </c>
      <c r="G38" t="str">
        <f t="shared" si="5"/>
        <v>Großfeld</v>
      </c>
      <c r="H38" t="str">
        <f t="shared" si="3"/>
        <v>7,32x2,44</v>
      </c>
      <c r="I38" t="str">
        <f t="shared" si="4"/>
        <v>5</v>
      </c>
      <c r="J38" t="e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>#REF!</v>
      </c>
      <c r="K38" t="e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>#REF!</v>
      </c>
    </row>
    <row r="39" spans="1:11" hidden="1" x14ac:dyDescent="0.3">
      <c r="A39" t="str">
        <f>Heimspiele!C40</f>
        <v>U13</v>
      </c>
      <c r="B39" s="111">
        <f>Heimspiele!D40</f>
        <v>0</v>
      </c>
      <c r="C39" s="111"/>
      <c r="D39">
        <f>Heimspiele!F40</f>
        <v>0</v>
      </c>
      <c r="E39">
        <f>Heimspiele!G40</f>
        <v>0</v>
      </c>
      <c r="F39" t="s">
        <v>140</v>
      </c>
      <c r="G39" t="str">
        <f t="shared" si="5"/>
        <v>Großfeld</v>
      </c>
      <c r="H39" t="str">
        <f t="shared" si="3"/>
        <v>7,32x2,44</v>
      </c>
      <c r="I39" t="str">
        <f t="shared" si="4"/>
        <v>5</v>
      </c>
      <c r="J39" t="str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>FEHLER</v>
      </c>
      <c r="K39" t="str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>FEHLER</v>
      </c>
    </row>
    <row r="40" spans="1:11" ht="15.6" customHeight="1" x14ac:dyDescent="0.3">
      <c r="A40" s="61" t="str">
        <f>Heimspiele!C26</f>
        <v>U10</v>
      </c>
      <c r="B40" s="112">
        <f>Heimspiele!D26</f>
        <v>0</v>
      </c>
      <c r="C40" s="113">
        <f>Heimspiele!E26</f>
        <v>0</v>
      </c>
      <c r="D40" s="61">
        <f>Heimspiele!F26</f>
        <v>0</v>
      </c>
      <c r="E40" s="61">
        <f>Heimspiele!G26</f>
        <v>0</v>
      </c>
      <c r="F40" s="61" t="s">
        <v>26</v>
      </c>
      <c r="G40" s="61" t="str">
        <f t="shared" si="5"/>
        <v>29x22</v>
      </c>
      <c r="H40" s="61" t="str">
        <f t="shared" si="3"/>
        <v>4 Minitore</v>
      </c>
      <c r="I40" s="61" t="str">
        <f t="shared" si="4"/>
        <v>3</v>
      </c>
      <c r="J40" s="61" t="str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>FEHLER</v>
      </c>
      <c r="K40" s="61" t="str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>FEHLER</v>
      </c>
    </row>
    <row r="41" spans="1:11" ht="15.6" customHeight="1" x14ac:dyDescent="0.3">
      <c r="A41" s="61" t="str">
        <f>Heimspiele!C29</f>
        <v>U9</v>
      </c>
      <c r="B41" s="112">
        <f>Heimspiele!D29</f>
        <v>0</v>
      </c>
      <c r="C41" s="113">
        <f>Heimspiele!E29</f>
        <v>0</v>
      </c>
      <c r="D41" s="61">
        <f>Heimspiele!F29</f>
        <v>0</v>
      </c>
      <c r="E41" s="61">
        <f>Heimspiele!G29</f>
        <v>0</v>
      </c>
      <c r="F41" s="61" t="s">
        <v>27</v>
      </c>
      <c r="G41" s="61" t="str">
        <f t="shared" si="5"/>
        <v>25x20</v>
      </c>
      <c r="H41" s="61" t="str">
        <f t="shared" si="3"/>
        <v>4 Minitore</v>
      </c>
      <c r="I41" s="61" t="str">
        <f t="shared" si="4"/>
        <v>3</v>
      </c>
      <c r="J41" s="61" t="str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>Thomas Brandl&amp;Daniel Hofbauer</v>
      </c>
      <c r="K41" s="61" t="str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>+43 676 377 16 30 &amp;  +43 399 197 871 81</v>
      </c>
    </row>
    <row r="42" spans="1:11" hidden="1" x14ac:dyDescent="0.3">
      <c r="A42" t="str">
        <f>Heimspiele!C43</f>
        <v>U13</v>
      </c>
      <c r="B42" s="111">
        <f>Heimspiele!D43</f>
        <v>0</v>
      </c>
      <c r="C42" s="111"/>
      <c r="D42">
        <f>Heimspiele!F43</f>
        <v>0</v>
      </c>
      <c r="E42">
        <f>Heimspiele!G43</f>
        <v>0</v>
      </c>
      <c r="F42" t="s">
        <v>140</v>
      </c>
      <c r="G42" t="str">
        <f t="shared" si="5"/>
        <v>Großfeld</v>
      </c>
      <c r="H42" t="str">
        <f t="shared" si="3"/>
        <v>7,32x2,44</v>
      </c>
      <c r="I42" t="str">
        <f t="shared" si="4"/>
        <v>5</v>
      </c>
      <c r="J42" t="str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>FEHLER</v>
      </c>
      <c r="K42" t="str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>FEHLER</v>
      </c>
    </row>
    <row r="43" spans="1:11" ht="15.6" customHeight="1" x14ac:dyDescent="0.3">
      <c r="A43" s="61" t="str">
        <f>Heimspiele!C35</f>
        <v>U12_2</v>
      </c>
      <c r="B43" s="112">
        <f>Heimspiele!D35</f>
        <v>0</v>
      </c>
      <c r="C43" s="113">
        <f>Heimspiele!E35</f>
        <v>0</v>
      </c>
      <c r="D43" s="61">
        <f>Heimspiele!F35</f>
        <v>0</v>
      </c>
      <c r="E43" s="61">
        <f>Heimspiele!G35</f>
        <v>0</v>
      </c>
      <c r="F43" s="61" t="s">
        <v>147</v>
      </c>
      <c r="G43" s="61" t="str">
        <f t="shared" si="5"/>
        <v>55x40</v>
      </c>
      <c r="H43" s="61" t="str">
        <f t="shared" si="3"/>
        <v>5x2</v>
      </c>
      <c r="I43" s="61" t="str">
        <f t="shared" si="4"/>
        <v>4</v>
      </c>
      <c r="J43" s="61" t="str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>FEHLER</v>
      </c>
      <c r="K43" s="61" t="str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>FEHLER</v>
      </c>
    </row>
    <row r="44" spans="1:11" ht="15.6" customHeight="1" x14ac:dyDescent="0.3">
      <c r="A44" s="61" t="str">
        <f>Heimspiele!C38</f>
        <v>U14</v>
      </c>
      <c r="B44" s="112">
        <f>Heimspiele!D38</f>
        <v>0</v>
      </c>
      <c r="C44" s="113">
        <f>Heimspiele!E38</f>
        <v>0</v>
      </c>
      <c r="D44" s="61">
        <f>Heimspiele!F38</f>
        <v>0</v>
      </c>
      <c r="E44" s="61">
        <f>Heimspiele!G38</f>
        <v>0</v>
      </c>
      <c r="F44" s="61" t="s">
        <v>17</v>
      </c>
      <c r="G44" s="61" t="str">
        <f t="shared" si="5"/>
        <v>Großfeld</v>
      </c>
      <c r="H44" s="61" t="str">
        <f t="shared" si="3"/>
        <v>7,32x2,44</v>
      </c>
      <c r="I44" s="61" t="str">
        <f t="shared" si="4"/>
        <v>5</v>
      </c>
      <c r="J44" s="61" t="str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>FEHLER</v>
      </c>
      <c r="K44" s="61" t="str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>FEHLER</v>
      </c>
    </row>
    <row r="45" spans="1:11" hidden="1" x14ac:dyDescent="0.3">
      <c r="A45" t="e">
        <f>Heimspiele!C46</f>
        <v>#REF!</v>
      </c>
      <c r="B45" s="111" t="e">
        <f>Heimspiele!D46</f>
        <v>#REF!</v>
      </c>
      <c r="C45" s="111"/>
      <c r="D45" t="e">
        <f>Heimspiele!F46</f>
        <v>#REF!</v>
      </c>
      <c r="E45" t="e">
        <f>Heimspiele!G46</f>
        <v>#REF!</v>
      </c>
      <c r="F45" t="s">
        <v>140</v>
      </c>
      <c r="G45" t="str">
        <f t="shared" si="5"/>
        <v>Großfeld</v>
      </c>
      <c r="H45" t="str">
        <f t="shared" si="3"/>
        <v>7,32x2,44</v>
      </c>
      <c r="I45" t="str">
        <f t="shared" si="4"/>
        <v>5</v>
      </c>
      <c r="J45" t="e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>#REF!</v>
      </c>
      <c r="K45" t="e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>#REF!</v>
      </c>
    </row>
    <row r="46" spans="1:11" hidden="1" x14ac:dyDescent="0.3">
      <c r="A46" t="str">
        <f>Heimspiele!C47</f>
        <v>U12_1</v>
      </c>
      <c r="B46" s="111">
        <f>Heimspiele!D47</f>
        <v>0</v>
      </c>
      <c r="C46" s="111"/>
      <c r="D46">
        <f>Heimspiele!F47</f>
        <v>0</v>
      </c>
      <c r="E46">
        <f>Heimspiele!G47</f>
        <v>0</v>
      </c>
      <c r="F46" t="s">
        <v>140</v>
      </c>
      <c r="G46" t="str">
        <f t="shared" si="5"/>
        <v>Großfeld</v>
      </c>
      <c r="H46" t="str">
        <f t="shared" si="3"/>
        <v>7,32x2,44</v>
      </c>
      <c r="I46" t="str">
        <f t="shared" si="4"/>
        <v>5</v>
      </c>
      <c r="J46" t="str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>FEHLER</v>
      </c>
      <c r="K46" t="str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>FEHLER</v>
      </c>
    </row>
    <row r="47" spans="1:11" ht="15.6" customHeight="1" x14ac:dyDescent="0.3">
      <c r="A47" s="61" t="str">
        <f>Heimspiele!C41</f>
        <v>KM</v>
      </c>
      <c r="B47" s="112">
        <f>Heimspiele!D41</f>
        <v>0</v>
      </c>
      <c r="C47" s="113">
        <f>Heimspiele!E41</f>
        <v>0</v>
      </c>
      <c r="D47" s="61">
        <f>Heimspiele!F41</f>
        <v>0</v>
      </c>
      <c r="E47" s="61">
        <f>Heimspiele!G41</f>
        <v>0</v>
      </c>
      <c r="F47" s="61" t="s">
        <v>140</v>
      </c>
      <c r="G47" s="61" t="str">
        <f t="shared" si="5"/>
        <v>Großfeld</v>
      </c>
      <c r="H47" s="61" t="str">
        <f t="shared" si="3"/>
        <v>7,32x2,44</v>
      </c>
      <c r="I47" s="61" t="str">
        <f t="shared" si="4"/>
        <v>5</v>
      </c>
      <c r="J47" s="61" t="str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>FEHLER</v>
      </c>
      <c r="K47" s="61" t="str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>FEHLER</v>
      </c>
    </row>
    <row r="48" spans="1:11" hidden="1" x14ac:dyDescent="0.3">
      <c r="A48" t="str">
        <f>Heimspiele!C49</f>
        <v>U12_1</v>
      </c>
      <c r="B48" s="111">
        <f>Heimspiele!D49</f>
        <v>0</v>
      </c>
      <c r="C48" s="111"/>
      <c r="D48">
        <f>Heimspiele!F49</f>
        <v>0</v>
      </c>
      <c r="E48">
        <f>Heimspiele!G49</f>
        <v>0</v>
      </c>
      <c r="F48" t="s">
        <v>140</v>
      </c>
      <c r="G48" t="str">
        <f t="shared" si="5"/>
        <v>Großfeld</v>
      </c>
      <c r="H48" t="str">
        <f t="shared" si="3"/>
        <v>7,32x2,44</v>
      </c>
      <c r="I48" t="str">
        <f t="shared" si="4"/>
        <v>5</v>
      </c>
      <c r="J48" t="str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>FEHLER</v>
      </c>
      <c r="K48" t="str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>FEHLER</v>
      </c>
    </row>
    <row r="49" spans="1:11" hidden="1" x14ac:dyDescent="0.3">
      <c r="A49" t="str">
        <f>Heimspiele!C50</f>
        <v>U12_1</v>
      </c>
      <c r="B49" s="111">
        <f>Heimspiele!D50</f>
        <v>0</v>
      </c>
      <c r="C49" s="111"/>
      <c r="D49">
        <f>Heimspiele!F50</f>
        <v>0</v>
      </c>
      <c r="E49">
        <f>Heimspiele!G50</f>
        <v>0</v>
      </c>
      <c r="F49" t="s">
        <v>140</v>
      </c>
      <c r="G49" t="str">
        <f t="shared" si="5"/>
        <v>Großfeld</v>
      </c>
      <c r="H49" t="str">
        <f t="shared" si="3"/>
        <v>7,32x2,44</v>
      </c>
      <c r="I49" t="str">
        <f t="shared" si="4"/>
        <v>5</v>
      </c>
      <c r="J49" t="str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>FEHLER</v>
      </c>
      <c r="K49" t="str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>FEHLER</v>
      </c>
    </row>
    <row r="50" spans="1:11" hidden="1" x14ac:dyDescent="0.3">
      <c r="A50" t="e">
        <f>Heimspiele!C51</f>
        <v>#REF!</v>
      </c>
      <c r="B50" s="111" t="e">
        <f>Heimspiele!D51</f>
        <v>#REF!</v>
      </c>
      <c r="C50" s="111"/>
      <c r="D50" t="e">
        <f>Heimspiele!F51</f>
        <v>#REF!</v>
      </c>
      <c r="E50" t="e">
        <f>Heimspiele!G51</f>
        <v>#REF!</v>
      </c>
      <c r="F50" t="s">
        <v>140</v>
      </c>
      <c r="G50" t="str">
        <f t="shared" si="5"/>
        <v>Großfeld</v>
      </c>
      <c r="H50" t="str">
        <f t="shared" si="3"/>
        <v>7,32x2,44</v>
      </c>
      <c r="I50" t="str">
        <f t="shared" si="4"/>
        <v>5</v>
      </c>
      <c r="J50" t="e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>#REF!</v>
      </c>
      <c r="K50" t="e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>#REF!</v>
      </c>
    </row>
    <row r="51" spans="1:11" ht="15.6" customHeight="1" x14ac:dyDescent="0.3">
      <c r="A51" s="61" t="str">
        <f>Heimspiele!C42</f>
        <v>U12_2</v>
      </c>
      <c r="B51" s="112">
        <f>Heimspiele!D42</f>
        <v>0</v>
      </c>
      <c r="C51" s="113">
        <f>Heimspiele!E42</f>
        <v>0</v>
      </c>
      <c r="D51" s="61">
        <f>Heimspiele!F42</f>
        <v>0</v>
      </c>
      <c r="E51" s="61">
        <f>Heimspiele!G42</f>
        <v>0</v>
      </c>
      <c r="F51" s="61" t="s">
        <v>147</v>
      </c>
      <c r="G51" s="61" t="str">
        <f t="shared" si="5"/>
        <v>55x40</v>
      </c>
      <c r="H51" s="61" t="str">
        <f t="shared" si="3"/>
        <v>5x2</v>
      </c>
      <c r="I51" s="61" t="str">
        <f t="shared" si="4"/>
        <v>4</v>
      </c>
      <c r="J51" s="61" t="str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>FEHLER</v>
      </c>
      <c r="K51" s="61" t="str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>FEHLER</v>
      </c>
    </row>
    <row r="52" spans="1:11" hidden="1" x14ac:dyDescent="0.3">
      <c r="A52" t="str">
        <f>Heimspiele!C53</f>
        <v>U12_1</v>
      </c>
      <c r="B52" s="111">
        <f>Heimspiele!D53</f>
        <v>0</v>
      </c>
      <c r="C52" s="111"/>
      <c r="D52">
        <f>Heimspiele!F53</f>
        <v>0</v>
      </c>
      <c r="E52">
        <f>Heimspiele!G53</f>
        <v>0</v>
      </c>
      <c r="F52" t="s">
        <v>140</v>
      </c>
      <c r="G52" t="str">
        <f t="shared" si="5"/>
        <v>Großfeld</v>
      </c>
      <c r="H52" t="str">
        <f t="shared" si="3"/>
        <v>7,32x2,44</v>
      </c>
      <c r="I52" t="str">
        <f t="shared" si="4"/>
        <v>5</v>
      </c>
      <c r="J52" t="str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>FEHLER</v>
      </c>
      <c r="K52" t="str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>FEHLER</v>
      </c>
    </row>
    <row r="53" spans="1:11" ht="15.6" customHeight="1" x14ac:dyDescent="0.3">
      <c r="A53" s="61" t="str">
        <f>Heimspiele!C45</f>
        <v>U13</v>
      </c>
      <c r="B53" s="112">
        <f>Heimspiele!D45</f>
        <v>0</v>
      </c>
      <c r="C53" s="113">
        <f>Heimspiele!E45</f>
        <v>0</v>
      </c>
      <c r="D53" s="61">
        <f>Heimspiele!F45</f>
        <v>0</v>
      </c>
      <c r="E53" s="61">
        <f>Heimspiele!G45</f>
        <v>0</v>
      </c>
      <c r="F53" s="61" t="s">
        <v>19</v>
      </c>
      <c r="G53" s="61" t="str">
        <f t="shared" si="5"/>
        <v>Großfeld</v>
      </c>
      <c r="H53" s="61" t="str">
        <f t="shared" si="3"/>
        <v>7,32x2,44</v>
      </c>
      <c r="I53" s="61" t="str">
        <f t="shared" si="4"/>
        <v>4</v>
      </c>
      <c r="J53" s="61" t="str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>FEHLER</v>
      </c>
      <c r="K53" s="61" t="str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>FEHLER</v>
      </c>
    </row>
    <row r="54" spans="1:11" hidden="1" x14ac:dyDescent="0.3">
      <c r="A54" t="str">
        <f>Heimspiele!C55</f>
        <v>U12_2</v>
      </c>
      <c r="B54" s="111">
        <f>Heimspiele!D55</f>
        <v>0</v>
      </c>
      <c r="C54" s="111"/>
      <c r="D54">
        <f>Heimspiele!F55</f>
        <v>0</v>
      </c>
      <c r="E54">
        <f>Heimspiele!G55</f>
        <v>0</v>
      </c>
      <c r="F54" t="s">
        <v>140</v>
      </c>
      <c r="G54" t="str">
        <f t="shared" si="5"/>
        <v>Großfeld</v>
      </c>
      <c r="H54" t="str">
        <f t="shared" si="3"/>
        <v>7,32x2,44</v>
      </c>
      <c r="I54" t="str">
        <f t="shared" si="4"/>
        <v>5</v>
      </c>
      <c r="J54" t="str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>FEHLER</v>
      </c>
      <c r="K54" t="str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>FEHLER</v>
      </c>
    </row>
    <row r="55" spans="1:11" ht="15.6" customHeight="1" x14ac:dyDescent="0.3">
      <c r="A55" s="61" t="str">
        <f>Heimspiele!C44</f>
        <v>U12_1</v>
      </c>
      <c r="B55" s="112">
        <f>Heimspiele!D44</f>
        <v>0</v>
      </c>
      <c r="C55" s="113">
        <f>Heimspiele!E44</f>
        <v>0</v>
      </c>
      <c r="D55" s="61">
        <f>Heimspiele!F44</f>
        <v>0</v>
      </c>
      <c r="E55" s="61">
        <f>Heimspiele!G44</f>
        <v>0</v>
      </c>
      <c r="F55" s="61" t="s">
        <v>20</v>
      </c>
      <c r="G55" s="61" t="str">
        <f t="shared" si="5"/>
        <v>75x55</v>
      </c>
      <c r="H55" s="61" t="str">
        <f t="shared" si="3"/>
        <v>5x2</v>
      </c>
      <c r="I55" s="61" t="str">
        <f t="shared" si="4"/>
        <v>4</v>
      </c>
      <c r="J55" s="61" t="str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>FEHLER</v>
      </c>
      <c r="K55" s="61" t="str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>FEHLER</v>
      </c>
    </row>
    <row r="56" spans="1:11" hidden="1" x14ac:dyDescent="0.3">
      <c r="A56" t="str">
        <f>Heimspiele!C57</f>
        <v>U12_2</v>
      </c>
      <c r="B56" s="111">
        <f>Heimspiele!D57</f>
        <v>0</v>
      </c>
      <c r="C56" s="111"/>
      <c r="D56">
        <f>Heimspiele!F57</f>
        <v>0</v>
      </c>
      <c r="E56">
        <f>Heimspiele!G57</f>
        <v>0</v>
      </c>
      <c r="F56" t="s">
        <v>140</v>
      </c>
      <c r="G56" t="str">
        <f t="shared" si="5"/>
        <v>Großfeld</v>
      </c>
      <c r="H56" t="str">
        <f t="shared" si="3"/>
        <v>7,32x2,44</v>
      </c>
      <c r="I56" t="str">
        <f t="shared" si="4"/>
        <v>5</v>
      </c>
      <c r="J56" t="str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>FEHLER</v>
      </c>
      <c r="K56" t="str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>FEHLER</v>
      </c>
    </row>
    <row r="57" spans="1:11" ht="15.6" customHeight="1" x14ac:dyDescent="0.3">
      <c r="A57" s="61" t="str">
        <f>Heimspiele!C48</f>
        <v>U16</v>
      </c>
      <c r="B57" s="112">
        <f>Heimspiele!D48</f>
        <v>0</v>
      </c>
      <c r="C57" s="113">
        <f>Heimspiele!E48</f>
        <v>0</v>
      </c>
      <c r="D57" s="61">
        <f>Heimspiele!F48</f>
        <v>0</v>
      </c>
      <c r="E57" s="61">
        <f>Heimspiele!G48</f>
        <v>0</v>
      </c>
      <c r="F57" s="61" t="s">
        <v>14</v>
      </c>
      <c r="G57" s="61" t="str">
        <f t="shared" si="5"/>
        <v>Großfeld</v>
      </c>
      <c r="H57" s="61" t="str">
        <f t="shared" si="3"/>
        <v>7,32x2,44</v>
      </c>
      <c r="I57" s="61" t="str">
        <f t="shared" si="4"/>
        <v>5</v>
      </c>
      <c r="J57" s="61" t="str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>FEHLER</v>
      </c>
      <c r="K57" s="61" t="str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>FEHLER</v>
      </c>
    </row>
    <row r="58" spans="1:11" hidden="1" x14ac:dyDescent="0.3">
      <c r="A58" t="e">
        <f>Heimspiele!C59</f>
        <v>#REF!</v>
      </c>
      <c r="B58" s="111" t="e">
        <f>Heimspiele!D59</f>
        <v>#REF!</v>
      </c>
      <c r="C58" s="111"/>
      <c r="D58" t="e">
        <f>Heimspiele!F59</f>
        <v>#REF!</v>
      </c>
      <c r="E58" t="e">
        <f>Heimspiele!G59</f>
        <v>#REF!</v>
      </c>
      <c r="F58" t="s">
        <v>140</v>
      </c>
      <c r="G58" t="str">
        <f t="shared" si="5"/>
        <v>Großfeld</v>
      </c>
      <c r="H58" t="str">
        <f t="shared" si="3"/>
        <v>7,32x2,44</v>
      </c>
      <c r="I58" t="str">
        <f t="shared" si="4"/>
        <v>5</v>
      </c>
      <c r="J58" t="e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>#REF!</v>
      </c>
      <c r="K58" t="e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>#REF!</v>
      </c>
    </row>
    <row r="59" spans="1:11" ht="15.6" customHeight="1" x14ac:dyDescent="0.3">
      <c r="A59" s="61" t="str">
        <f>Heimspiele!C52</f>
        <v>KM</v>
      </c>
      <c r="B59" s="112">
        <f>Heimspiele!D52</f>
        <v>0</v>
      </c>
      <c r="C59" s="113">
        <f>Heimspiele!E52</f>
        <v>0</v>
      </c>
      <c r="D59" s="61">
        <f>Heimspiele!F52</f>
        <v>0</v>
      </c>
      <c r="E59" s="61">
        <f>Heimspiele!G52</f>
        <v>0</v>
      </c>
      <c r="F59" s="61" t="s">
        <v>140</v>
      </c>
      <c r="G59" s="61" t="str">
        <f t="shared" si="5"/>
        <v>Großfeld</v>
      </c>
      <c r="H59" s="61" t="str">
        <f t="shared" si="3"/>
        <v>7,32x2,44</v>
      </c>
      <c r="I59" s="61" t="str">
        <f t="shared" si="4"/>
        <v>5</v>
      </c>
      <c r="J59" s="61" t="str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>FEHLER</v>
      </c>
      <c r="K59" s="61" t="str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>FEHLER</v>
      </c>
    </row>
    <row r="60" spans="1:11" hidden="1" x14ac:dyDescent="0.3">
      <c r="A60" t="str">
        <f>Heimspiele!C61</f>
        <v>U12_2</v>
      </c>
      <c r="B60" s="111">
        <f>Heimspiele!D61</f>
        <v>0</v>
      </c>
      <c r="C60" s="111"/>
      <c r="D60">
        <f>Heimspiele!F61</f>
        <v>0</v>
      </c>
      <c r="E60">
        <f>Heimspiele!G61</f>
        <v>0</v>
      </c>
      <c r="F60" t="s">
        <v>140</v>
      </c>
      <c r="G60" t="str">
        <f t="shared" si="5"/>
        <v>Großfeld</v>
      </c>
      <c r="H60" t="str">
        <f t="shared" si="3"/>
        <v>7,32x2,44</v>
      </c>
      <c r="I60" t="str">
        <f t="shared" si="4"/>
        <v>5</v>
      </c>
      <c r="J60" t="str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>FEHLER</v>
      </c>
      <c r="K60" t="str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>FEHLER</v>
      </c>
    </row>
    <row r="61" spans="1:11" ht="15.6" customHeight="1" x14ac:dyDescent="0.3">
      <c r="A61" s="61" t="str">
        <f>Heimspiele!C54</f>
        <v>U14</v>
      </c>
      <c r="B61" s="112">
        <f>Heimspiele!D54</f>
        <v>0</v>
      </c>
      <c r="C61" s="113">
        <f>Heimspiele!E54</f>
        <v>0</v>
      </c>
      <c r="D61" s="61">
        <f>Heimspiele!F54</f>
        <v>0</v>
      </c>
      <c r="E61" s="61">
        <f>Heimspiele!G54</f>
        <v>0</v>
      </c>
      <c r="F61" s="61" t="s">
        <v>17</v>
      </c>
      <c r="G61" s="61" t="str">
        <f t="shared" si="5"/>
        <v>Großfeld</v>
      </c>
      <c r="H61" s="61" t="str">
        <f t="shared" ref="H61:H85" si="6">IF(F61="Großfeld","7,32x2,44",IF(F61="U16","7,32x2,44",IF(F61="U15","7,32x2,44",IF(F61="U14","7,32x2,44",IF(F61="U13","5x2",IF(F61="U11/U12","5x2",IF(F61="U9/U10","5x2","4 Minitore")))))))</f>
        <v>7,32x2,44</v>
      </c>
      <c r="I61" s="61" t="str">
        <f t="shared" ref="I61:I87" si="7">IF(F61="Großfeld","5",IF(F61="U16","5",IF(F61="U15","5",IF(F61="U14","4",IF(F61="U13","4",IF(F61="U11/U12","4",IF(F61="U9/U10","4",IF(F61="U9","4","3"))))))))</f>
        <v>5</v>
      </c>
      <c r="J61" s="61" t="str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>FEHLER</v>
      </c>
      <c r="K61" s="61" t="str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>FEHLER</v>
      </c>
    </row>
    <row r="62" spans="1:11" hidden="1" x14ac:dyDescent="0.3">
      <c r="A62" t="str">
        <f>Heimspiele!C63</f>
        <v>U12_2</v>
      </c>
      <c r="B62" s="111">
        <f>Heimspiele!D63</f>
        <v>0</v>
      </c>
      <c r="C62" s="111"/>
      <c r="D62">
        <f>Heimspiele!F63</f>
        <v>0</v>
      </c>
      <c r="E62">
        <f>Heimspiele!G63</f>
        <v>0</v>
      </c>
      <c r="F62" t="s">
        <v>140</v>
      </c>
      <c r="G62" t="str">
        <f t="shared" si="5"/>
        <v>Großfeld</v>
      </c>
      <c r="H62" t="str">
        <f t="shared" si="6"/>
        <v>7,32x2,44</v>
      </c>
      <c r="I62" t="str">
        <f t="shared" si="7"/>
        <v>5</v>
      </c>
      <c r="J62" t="str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>FEHLER</v>
      </c>
      <c r="K62" t="str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>FEHLER</v>
      </c>
    </row>
    <row r="63" spans="1:11" hidden="1" x14ac:dyDescent="0.3">
      <c r="A63" t="e">
        <f>Heimspiele!C64</f>
        <v>#REF!</v>
      </c>
      <c r="B63" s="111" t="e">
        <f>Heimspiele!D64</f>
        <v>#REF!</v>
      </c>
      <c r="C63" s="111"/>
      <c r="D63" t="e">
        <f>Heimspiele!F64</f>
        <v>#REF!</v>
      </c>
      <c r="E63" t="e">
        <f>Heimspiele!G64</f>
        <v>#REF!</v>
      </c>
      <c r="F63" t="s">
        <v>140</v>
      </c>
      <c r="G63" t="str">
        <f t="shared" si="5"/>
        <v>Großfeld</v>
      </c>
      <c r="H63" t="str">
        <f t="shared" si="6"/>
        <v>7,32x2,44</v>
      </c>
      <c r="I63" t="str">
        <f t="shared" si="7"/>
        <v>5</v>
      </c>
      <c r="J63" t="e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>#REF!</v>
      </c>
      <c r="K63" t="e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>#REF!</v>
      </c>
    </row>
    <row r="64" spans="1:11" ht="15.6" customHeight="1" x14ac:dyDescent="0.3">
      <c r="A64" s="61" t="str">
        <f>Heimspiele!C56</f>
        <v>U12_2</v>
      </c>
      <c r="B64" s="112">
        <f>Heimspiele!D56</f>
        <v>0</v>
      </c>
      <c r="C64" s="113">
        <f>Heimspiele!E56</f>
        <v>0</v>
      </c>
      <c r="D64" s="61">
        <f>Heimspiele!F56</f>
        <v>0</v>
      </c>
      <c r="E64" s="61">
        <f>Heimspiele!G56</f>
        <v>0</v>
      </c>
      <c r="F64" s="61" t="s">
        <v>147</v>
      </c>
      <c r="G64" s="61" t="str">
        <f t="shared" si="5"/>
        <v>55x40</v>
      </c>
      <c r="H64" s="61" t="str">
        <f t="shared" si="6"/>
        <v>5x2</v>
      </c>
      <c r="I64" s="61" t="str">
        <f t="shared" si="7"/>
        <v>4</v>
      </c>
      <c r="J64" s="61" t="str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>FEHLER</v>
      </c>
      <c r="K64" s="61" t="str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>FEHLER</v>
      </c>
    </row>
    <row r="65" spans="1:11" hidden="1" x14ac:dyDescent="0.3">
      <c r="A65" t="str">
        <f>Heimspiele!C66</f>
        <v>U11</v>
      </c>
      <c r="B65" s="111">
        <f>Heimspiele!D66</f>
        <v>0</v>
      </c>
      <c r="C65" s="111"/>
      <c r="D65">
        <f>Heimspiele!F66</f>
        <v>0</v>
      </c>
      <c r="E65">
        <f>Heimspiele!G66</f>
        <v>0</v>
      </c>
      <c r="F65" t="s">
        <v>140</v>
      </c>
      <c r="G65" t="str">
        <f t="shared" si="5"/>
        <v>Großfeld</v>
      </c>
      <c r="H65" t="str">
        <f t="shared" si="6"/>
        <v>7,32x2,44</v>
      </c>
      <c r="I65" t="str">
        <f t="shared" si="7"/>
        <v>5</v>
      </c>
      <c r="J65" t="str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>FEHLER</v>
      </c>
      <c r="K65" t="str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>FEHLER</v>
      </c>
    </row>
    <row r="66" spans="1:11" hidden="1" x14ac:dyDescent="0.3">
      <c r="A66" t="str">
        <f>Heimspiele!C67</f>
        <v>U11</v>
      </c>
      <c r="B66" s="111">
        <f>Heimspiele!D67</f>
        <v>0</v>
      </c>
      <c r="C66" s="111"/>
      <c r="D66">
        <f>Heimspiele!F67</f>
        <v>0</v>
      </c>
      <c r="E66">
        <f>Heimspiele!G67</f>
        <v>0</v>
      </c>
      <c r="F66" t="s">
        <v>140</v>
      </c>
      <c r="G66" t="str">
        <f t="shared" ref="G66:G97" si="8">IF(F66="Großfeld","Großfeld",IF(F66="U16","Großfeld",IF(F66="U15","Großfeld",IF(F66="U14","Großfeld",IF(F66="U13","75x55",IF(F66="U11/U12","55x40",IF(F66="U9/U10","40x25",IF(F66="U8","29x22","25x20"))))))))</f>
        <v>Großfeld</v>
      </c>
      <c r="H66" t="str">
        <f t="shared" si="6"/>
        <v>7,32x2,44</v>
      </c>
      <c r="I66" t="str">
        <f t="shared" si="7"/>
        <v>5</v>
      </c>
      <c r="J66" t="str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>FEHLER</v>
      </c>
      <c r="K66" t="str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>FEHLER</v>
      </c>
    </row>
    <row r="67" spans="1:11" hidden="1" x14ac:dyDescent="0.3">
      <c r="A67" t="str">
        <f>Heimspiele!C68</f>
        <v>U11</v>
      </c>
      <c r="B67" s="111">
        <f>Heimspiele!D68</f>
        <v>0</v>
      </c>
      <c r="C67" s="111"/>
      <c r="D67">
        <f>Heimspiele!F68</f>
        <v>0</v>
      </c>
      <c r="E67">
        <f>Heimspiele!G68</f>
        <v>0</v>
      </c>
      <c r="F67" t="s">
        <v>140</v>
      </c>
      <c r="G67" t="str">
        <f t="shared" si="8"/>
        <v>Großfeld</v>
      </c>
      <c r="H67" t="str">
        <f t="shared" si="6"/>
        <v>7,32x2,44</v>
      </c>
      <c r="I67" t="str">
        <f t="shared" si="7"/>
        <v>5</v>
      </c>
      <c r="J67" t="str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>FEHLER</v>
      </c>
      <c r="K67" t="str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>FEHLER</v>
      </c>
    </row>
    <row r="68" spans="1:11" hidden="1" x14ac:dyDescent="0.3">
      <c r="A68" t="str">
        <f>Heimspiele!C69</f>
        <v>U11</v>
      </c>
      <c r="B68" s="111">
        <f>Heimspiele!D69</f>
        <v>0</v>
      </c>
      <c r="C68" s="111"/>
      <c r="D68">
        <f>Heimspiele!F69</f>
        <v>0</v>
      </c>
      <c r="E68">
        <f>Heimspiele!G69</f>
        <v>0</v>
      </c>
      <c r="F68" t="s">
        <v>140</v>
      </c>
      <c r="G68" t="str">
        <f t="shared" si="8"/>
        <v>Großfeld</v>
      </c>
      <c r="H68" t="str">
        <f t="shared" si="6"/>
        <v>7,32x2,44</v>
      </c>
      <c r="I68" t="str">
        <f t="shared" si="7"/>
        <v>5</v>
      </c>
      <c r="J68" t="str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>FEHLER</v>
      </c>
      <c r="K68" t="str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>FEHLER</v>
      </c>
    </row>
    <row r="69" spans="1:11" ht="15.6" customHeight="1" x14ac:dyDescent="0.3">
      <c r="A69" s="61" t="str">
        <f>Heimspiele!C58</f>
        <v>KM</v>
      </c>
      <c r="B69" s="112">
        <f>Heimspiele!D58</f>
        <v>0</v>
      </c>
      <c r="C69" s="113">
        <f>Heimspiele!E58</f>
        <v>0</v>
      </c>
      <c r="D69" s="61">
        <f>Heimspiele!F58</f>
        <v>0</v>
      </c>
      <c r="E69" s="61">
        <f>Heimspiele!G58</f>
        <v>0</v>
      </c>
      <c r="F69" s="61" t="s">
        <v>140</v>
      </c>
      <c r="G69" s="61" t="str">
        <f t="shared" si="8"/>
        <v>Großfeld</v>
      </c>
      <c r="H69" s="61" t="str">
        <f t="shared" si="6"/>
        <v>7,32x2,44</v>
      </c>
      <c r="I69" s="61" t="str">
        <f t="shared" si="7"/>
        <v>5</v>
      </c>
      <c r="J69" s="61" t="str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>FEHLER</v>
      </c>
      <c r="K69" s="61" t="str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>FEHLER</v>
      </c>
    </row>
    <row r="70" spans="1:11" hidden="1" x14ac:dyDescent="0.3">
      <c r="A70" t="str">
        <f>Heimspiele!C71</f>
        <v>U10</v>
      </c>
      <c r="B70" s="111">
        <f>Heimspiele!D71</f>
        <v>0</v>
      </c>
      <c r="C70" s="111"/>
      <c r="D70">
        <f>Heimspiele!F71</f>
        <v>0</v>
      </c>
      <c r="E70">
        <f>Heimspiele!G71</f>
        <v>0</v>
      </c>
      <c r="F70" t="s">
        <v>140</v>
      </c>
      <c r="G70" t="str">
        <f t="shared" si="8"/>
        <v>Großfeld</v>
      </c>
      <c r="H70" t="str">
        <f t="shared" si="6"/>
        <v>7,32x2,44</v>
      </c>
      <c r="I70" t="str">
        <f t="shared" si="7"/>
        <v>5</v>
      </c>
      <c r="J70" t="str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>FEHLER</v>
      </c>
      <c r="K70" t="str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>FEHLER</v>
      </c>
    </row>
    <row r="71" spans="1:11" hidden="1" x14ac:dyDescent="0.3">
      <c r="A71" t="str">
        <f>Heimspiele!C72</f>
        <v>U10</v>
      </c>
      <c r="B71" s="111">
        <f>Heimspiele!D72</f>
        <v>0</v>
      </c>
      <c r="C71" s="111"/>
      <c r="D71">
        <f>Heimspiele!F72</f>
        <v>0</v>
      </c>
      <c r="E71">
        <f>Heimspiele!G72</f>
        <v>0</v>
      </c>
      <c r="F71" t="s">
        <v>140</v>
      </c>
      <c r="G71" t="str">
        <f t="shared" si="8"/>
        <v>Großfeld</v>
      </c>
      <c r="H71" t="str">
        <f t="shared" si="6"/>
        <v>7,32x2,44</v>
      </c>
      <c r="I71" t="str">
        <f t="shared" si="7"/>
        <v>5</v>
      </c>
      <c r="J71" t="str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>FEHLER</v>
      </c>
      <c r="K71" t="str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>FEHLER</v>
      </c>
    </row>
    <row r="72" spans="1:11" hidden="1" x14ac:dyDescent="0.3">
      <c r="A72" t="str">
        <f>Heimspiele!C73</f>
        <v>U10</v>
      </c>
      <c r="B72" s="111">
        <f>Heimspiele!D73</f>
        <v>0</v>
      </c>
      <c r="C72" s="111"/>
      <c r="D72">
        <f>Heimspiele!F73</f>
        <v>0</v>
      </c>
      <c r="E72">
        <f>Heimspiele!G73</f>
        <v>0</v>
      </c>
      <c r="F72" t="s">
        <v>140</v>
      </c>
      <c r="G72" t="str">
        <f t="shared" si="8"/>
        <v>Großfeld</v>
      </c>
      <c r="H72" t="str">
        <f t="shared" si="6"/>
        <v>7,32x2,44</v>
      </c>
      <c r="I72" t="str">
        <f t="shared" si="7"/>
        <v>5</v>
      </c>
      <c r="J72" t="str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>FEHLER</v>
      </c>
      <c r="K72" t="str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>FEHLER</v>
      </c>
    </row>
    <row r="73" spans="1:11" hidden="1" x14ac:dyDescent="0.3">
      <c r="A73" t="str">
        <f>Heimspiele!C74</f>
        <v>U10</v>
      </c>
      <c r="B73" s="111">
        <f>Heimspiele!D74</f>
        <v>0</v>
      </c>
      <c r="C73" s="111"/>
      <c r="D73">
        <f>Heimspiele!F74</f>
        <v>0</v>
      </c>
      <c r="E73">
        <f>Heimspiele!G74</f>
        <v>0</v>
      </c>
      <c r="F73" t="s">
        <v>140</v>
      </c>
      <c r="G73" t="str">
        <f t="shared" si="8"/>
        <v>Großfeld</v>
      </c>
      <c r="H73" t="str">
        <f t="shared" si="6"/>
        <v>7,32x2,44</v>
      </c>
      <c r="I73" t="str">
        <f t="shared" si="7"/>
        <v>5</v>
      </c>
      <c r="J73" t="str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>FEHLER</v>
      </c>
      <c r="K73" t="str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>FEHLER</v>
      </c>
    </row>
    <row r="74" spans="1:11" ht="15.6" customHeight="1" x14ac:dyDescent="0.3">
      <c r="A74" s="61" t="str">
        <f>Heimspiele!C60</f>
        <v>U13</v>
      </c>
      <c r="B74" s="112">
        <f>Heimspiele!D60</f>
        <v>0</v>
      </c>
      <c r="C74" s="113">
        <f>Heimspiele!E60</f>
        <v>0</v>
      </c>
      <c r="D74" s="61">
        <f>Heimspiele!F60</f>
        <v>0</v>
      </c>
      <c r="E74" s="61">
        <f>Heimspiele!G60</f>
        <v>0</v>
      </c>
      <c r="F74" s="61" t="s">
        <v>19</v>
      </c>
      <c r="G74" s="61" t="str">
        <f t="shared" si="8"/>
        <v>Großfeld</v>
      </c>
      <c r="H74" s="61" t="str">
        <f t="shared" si="6"/>
        <v>7,32x2,44</v>
      </c>
      <c r="I74" s="61" t="str">
        <f t="shared" si="7"/>
        <v>4</v>
      </c>
      <c r="J74" s="61" t="str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>FEHLER</v>
      </c>
      <c r="K74" s="61" t="str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>FEHLER</v>
      </c>
    </row>
    <row r="75" spans="1:11" hidden="1" x14ac:dyDescent="0.3">
      <c r="A75" t="str">
        <f>Heimspiele!C76</f>
        <v>U9</v>
      </c>
      <c r="B75" s="111">
        <f>Heimspiele!D76</f>
        <v>0</v>
      </c>
      <c r="C75" s="111"/>
      <c r="D75">
        <f>Heimspiele!F76</f>
        <v>0</v>
      </c>
      <c r="E75">
        <f>Heimspiele!G76</f>
        <v>0</v>
      </c>
      <c r="F75" t="s">
        <v>140</v>
      </c>
      <c r="G75" t="str">
        <f t="shared" si="8"/>
        <v>Großfeld</v>
      </c>
      <c r="H75" t="str">
        <f t="shared" si="6"/>
        <v>7,32x2,44</v>
      </c>
      <c r="I75" t="str">
        <f t="shared" si="7"/>
        <v>5</v>
      </c>
      <c r="J75" t="str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>Thomas Brandl&amp;Daniel Hofbauer</v>
      </c>
      <c r="K75" t="str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>+43 676 377 16 30 &amp;  +43 399 197 871 81</v>
      </c>
    </row>
    <row r="76" spans="1:11" hidden="1" x14ac:dyDescent="0.3">
      <c r="A76" t="str">
        <f>Heimspiele!C77</f>
        <v>U9</v>
      </c>
      <c r="B76" s="111">
        <f>Heimspiele!D77</f>
        <v>0</v>
      </c>
      <c r="C76" s="111"/>
      <c r="D76">
        <f>Heimspiele!F77</f>
        <v>0</v>
      </c>
      <c r="E76">
        <f>Heimspiele!G77</f>
        <v>0</v>
      </c>
      <c r="F76" t="s">
        <v>140</v>
      </c>
      <c r="G76" t="str">
        <f t="shared" si="8"/>
        <v>Großfeld</v>
      </c>
      <c r="H76" t="str">
        <f t="shared" si="6"/>
        <v>7,32x2,44</v>
      </c>
      <c r="I76" t="str">
        <f t="shared" si="7"/>
        <v>5</v>
      </c>
      <c r="J76" t="str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>Thomas Brandl&amp;Daniel Hofbauer</v>
      </c>
      <c r="K76" t="str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>+43 676 377 16 30 &amp;  +43 399 197 871 81</v>
      </c>
    </row>
    <row r="77" spans="1:11" hidden="1" x14ac:dyDescent="0.3">
      <c r="A77" t="str">
        <f>Heimspiele!C78</f>
        <v>U9</v>
      </c>
      <c r="B77" s="111">
        <f>Heimspiele!D78</f>
        <v>0</v>
      </c>
      <c r="C77" s="111"/>
      <c r="D77">
        <f>Heimspiele!F78</f>
        <v>0</v>
      </c>
      <c r="E77">
        <f>Heimspiele!G78</f>
        <v>0</v>
      </c>
      <c r="F77" t="s">
        <v>140</v>
      </c>
      <c r="G77" t="str">
        <f t="shared" si="8"/>
        <v>Großfeld</v>
      </c>
      <c r="H77" t="str">
        <f t="shared" si="6"/>
        <v>7,32x2,44</v>
      </c>
      <c r="I77" t="str">
        <f t="shared" si="7"/>
        <v>5</v>
      </c>
      <c r="J77" t="str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>Thomas Brandl&amp;Daniel Hofbauer</v>
      </c>
      <c r="K77" t="str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>+43 676 377 16 30 &amp;  +43 399 197 871 81</v>
      </c>
    </row>
    <row r="78" spans="1:11" hidden="1" x14ac:dyDescent="0.3">
      <c r="A78" t="str">
        <f>Heimspiele!C79</f>
        <v>U9</v>
      </c>
      <c r="B78" s="111">
        <f>Heimspiele!D79</f>
        <v>0</v>
      </c>
      <c r="C78" s="111"/>
      <c r="D78">
        <f>Heimspiele!F79</f>
        <v>0</v>
      </c>
      <c r="E78">
        <f>Heimspiele!G79</f>
        <v>0</v>
      </c>
      <c r="F78" t="s">
        <v>140</v>
      </c>
      <c r="G78" t="str">
        <f t="shared" si="8"/>
        <v>Großfeld</v>
      </c>
      <c r="H78" t="str">
        <f t="shared" si="6"/>
        <v>7,32x2,44</v>
      </c>
      <c r="I78" t="str">
        <f t="shared" si="7"/>
        <v>5</v>
      </c>
      <c r="J78" t="str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>Thomas Brandl&amp;Daniel Hofbauer</v>
      </c>
      <c r="K78" t="str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>+43 676 377 16 30 &amp;  +43 399 197 871 81</v>
      </c>
    </row>
    <row r="79" spans="1:11" ht="15.6" customHeight="1" x14ac:dyDescent="0.3">
      <c r="A79" s="61" t="str">
        <f>Heimspiele!C62</f>
        <v>U13</v>
      </c>
      <c r="B79" s="112">
        <f>Heimspiele!D62</f>
        <v>0</v>
      </c>
      <c r="C79" s="113">
        <f>Heimspiele!E62</f>
        <v>0</v>
      </c>
      <c r="D79" s="61">
        <f>Heimspiele!F62</f>
        <v>0</v>
      </c>
      <c r="E79" s="61">
        <f>Heimspiele!G62</f>
        <v>0</v>
      </c>
      <c r="F79" s="61" t="s">
        <v>19</v>
      </c>
      <c r="G79" s="61" t="str">
        <f t="shared" si="8"/>
        <v>Großfeld</v>
      </c>
      <c r="H79" s="61" t="str">
        <f t="shared" si="6"/>
        <v>7,32x2,44</v>
      </c>
      <c r="I79" s="61" t="str">
        <f t="shared" si="7"/>
        <v>4</v>
      </c>
      <c r="J79" s="61" t="str">
        <f t="shared" ref="J79:J87" si="9"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>FEHLER</v>
      </c>
      <c r="K79" s="61" t="str">
        <f t="shared" ref="K79:K87" si="10"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>FEHLER</v>
      </c>
    </row>
    <row r="80" spans="1:11" ht="15.6" customHeight="1" x14ac:dyDescent="0.3">
      <c r="A80" s="61" t="str">
        <f>Heimspiele!C65</f>
        <v>U12_2</v>
      </c>
      <c r="B80" s="112">
        <f>Heimspiele!D65</f>
        <v>46164</v>
      </c>
      <c r="C80" s="113">
        <f>Heimspiele!E65</f>
        <v>0.70833333333333337</v>
      </c>
      <c r="D80" s="61">
        <f>Heimspiele!F65</f>
        <v>0</v>
      </c>
      <c r="E80" s="61">
        <f>Heimspiele!G65</f>
        <v>0</v>
      </c>
      <c r="F80" s="61" t="s">
        <v>147</v>
      </c>
      <c r="G80" s="61" t="str">
        <f t="shared" si="8"/>
        <v>55x40</v>
      </c>
      <c r="H80" s="61" t="str">
        <f t="shared" si="6"/>
        <v>5x2</v>
      </c>
      <c r="I80" s="61" t="str">
        <f t="shared" si="7"/>
        <v>4</v>
      </c>
      <c r="J80" s="61" t="str">
        <f t="shared" si="9"/>
        <v>FEHLER</v>
      </c>
      <c r="K80" s="61" t="str">
        <f t="shared" si="10"/>
        <v>FEHLER</v>
      </c>
    </row>
    <row r="81" spans="1:11" ht="15.6" customHeight="1" x14ac:dyDescent="0.3">
      <c r="A81" s="61" t="str">
        <f>Heimspiele!C70</f>
        <v>U12_1</v>
      </c>
      <c r="B81" s="112">
        <f>Heimspiele!D70</f>
        <v>0</v>
      </c>
      <c r="C81" s="113">
        <f>Heimspiele!E70</f>
        <v>0</v>
      </c>
      <c r="D81" s="61">
        <f>Heimspiele!F70</f>
        <v>0</v>
      </c>
      <c r="E81" s="61">
        <f>Heimspiele!G70</f>
        <v>0</v>
      </c>
      <c r="F81" s="61" t="s">
        <v>20</v>
      </c>
      <c r="G81" s="61" t="str">
        <f t="shared" si="8"/>
        <v>75x55</v>
      </c>
      <c r="H81" s="61" t="str">
        <f t="shared" si="6"/>
        <v>5x2</v>
      </c>
      <c r="I81" s="61" t="str">
        <f t="shared" si="7"/>
        <v>4</v>
      </c>
      <c r="J81" s="61" t="str">
        <f t="shared" si="9"/>
        <v>FEHLER</v>
      </c>
      <c r="K81" s="61" t="str">
        <f t="shared" si="10"/>
        <v>FEHLER</v>
      </c>
    </row>
    <row r="82" spans="1:11" ht="15.6" customHeight="1" x14ac:dyDescent="0.3">
      <c r="A82" s="61" t="str">
        <f>Heimspiele!C75</f>
        <v>KM</v>
      </c>
      <c r="B82" s="112">
        <f>Heimspiele!D75</f>
        <v>0</v>
      </c>
      <c r="C82" s="113">
        <f>Heimspiele!E75</f>
        <v>0</v>
      </c>
      <c r="D82" s="61">
        <f>Heimspiele!F75</f>
        <v>0</v>
      </c>
      <c r="E82" s="61">
        <f>Heimspiele!G75</f>
        <v>0</v>
      </c>
      <c r="F82" s="61" t="s">
        <v>140</v>
      </c>
      <c r="G82" s="61" t="str">
        <f t="shared" si="8"/>
        <v>Großfeld</v>
      </c>
      <c r="H82" s="61" t="str">
        <f t="shared" si="6"/>
        <v>7,32x2,44</v>
      </c>
      <c r="I82" s="61" t="str">
        <f t="shared" si="7"/>
        <v>5</v>
      </c>
      <c r="J82" s="61" t="str">
        <f t="shared" si="9"/>
        <v>FEHLER</v>
      </c>
      <c r="K82" s="61" t="str">
        <f t="shared" si="10"/>
        <v>FEHLER</v>
      </c>
    </row>
    <row r="83" spans="1:11" ht="15.6" customHeight="1" x14ac:dyDescent="0.3">
      <c r="A83" s="61" t="str">
        <f>Heimspiele!C80</f>
        <v>U12_1</v>
      </c>
      <c r="B83" s="112">
        <f>Heimspiele!D80</f>
        <v>0</v>
      </c>
      <c r="C83" s="113">
        <f>Heimspiele!E80</f>
        <v>0</v>
      </c>
      <c r="D83" s="61">
        <f>Heimspiele!F80</f>
        <v>0</v>
      </c>
      <c r="E83" s="61">
        <f>Heimspiele!G80</f>
        <v>0</v>
      </c>
      <c r="F83" s="61" t="s">
        <v>20</v>
      </c>
      <c r="G83" s="61" t="str">
        <f t="shared" si="8"/>
        <v>75x55</v>
      </c>
      <c r="H83" s="61" t="str">
        <f t="shared" si="6"/>
        <v>5x2</v>
      </c>
      <c r="I83" s="61" t="str">
        <f t="shared" si="7"/>
        <v>4</v>
      </c>
      <c r="J83" s="61" t="str">
        <f t="shared" si="9"/>
        <v>FEHLER</v>
      </c>
      <c r="K83" s="61" t="str">
        <f t="shared" si="10"/>
        <v>FEHLER</v>
      </c>
    </row>
    <row r="84" spans="1:11" ht="15.6" customHeight="1" x14ac:dyDescent="0.3">
      <c r="A84" s="61" t="e">
        <f>Heimspiele!C81</f>
        <v>#REF!</v>
      </c>
      <c r="B84" s="112" t="e">
        <f>Heimspiele!D81</f>
        <v>#REF!</v>
      </c>
      <c r="C84" s="113" t="e">
        <f>Heimspiele!E81</f>
        <v>#REF!</v>
      </c>
      <c r="D84" s="61" t="e">
        <f>Heimspiele!F81</f>
        <v>#REF!</v>
      </c>
      <c r="E84" s="61" t="e">
        <f>Heimspiele!G81</f>
        <v>#REF!</v>
      </c>
      <c r="F84" s="61" t="s">
        <v>19</v>
      </c>
      <c r="G84" s="61" t="str">
        <f t="shared" si="8"/>
        <v>Großfeld</v>
      </c>
      <c r="H84" s="61" t="str">
        <f t="shared" si="6"/>
        <v>7,32x2,44</v>
      </c>
      <c r="I84" s="61" t="str">
        <f t="shared" si="7"/>
        <v>4</v>
      </c>
      <c r="J84" s="61" t="e">
        <f t="shared" si="9"/>
        <v>#REF!</v>
      </c>
      <c r="K84" s="61" t="e">
        <f t="shared" si="10"/>
        <v>#REF!</v>
      </c>
    </row>
    <row r="85" spans="1:11" ht="15.6" customHeight="1" x14ac:dyDescent="0.3">
      <c r="A85" s="61" t="str">
        <f>Heimspiele!C82</f>
        <v>U16</v>
      </c>
      <c r="B85" s="112">
        <f>Heimspiele!D82</f>
        <v>0</v>
      </c>
      <c r="C85" s="113">
        <f>Heimspiele!E82</f>
        <v>0</v>
      </c>
      <c r="D85" s="61">
        <f>Heimspiele!F82</f>
        <v>0</v>
      </c>
      <c r="E85" s="61">
        <f>Heimspiele!G82</f>
        <v>0</v>
      </c>
      <c r="F85" s="61" t="s">
        <v>14</v>
      </c>
      <c r="G85" s="61" t="str">
        <f t="shared" si="8"/>
        <v>Großfeld</v>
      </c>
      <c r="H85" s="61" t="str">
        <f t="shared" si="6"/>
        <v>7,32x2,44</v>
      </c>
      <c r="I85" s="61" t="str">
        <f t="shared" si="7"/>
        <v>5</v>
      </c>
      <c r="J85" s="61" t="str">
        <f t="shared" si="9"/>
        <v>FEHLER</v>
      </c>
      <c r="K85" s="61" t="str">
        <f t="shared" si="10"/>
        <v>FEHLER</v>
      </c>
    </row>
    <row r="86" spans="1:11" ht="15.6" customHeight="1" x14ac:dyDescent="0.3">
      <c r="A86" s="60" t="e">
        <f>Heimspiele!C83</f>
        <v>#REF!</v>
      </c>
      <c r="B86" s="109" t="e">
        <f>Heimspiele!D83</f>
        <v>#REF!</v>
      </c>
      <c r="C86" s="110" t="e">
        <f>Heimspiele!E83</f>
        <v>#REF!</v>
      </c>
      <c r="D86" s="60" t="e">
        <f>Heimspiele!F83</f>
        <v>#REF!</v>
      </c>
      <c r="E86" s="60" t="e">
        <f>Heimspiele!G83</f>
        <v>#REF!</v>
      </c>
      <c r="F86" s="60" t="s">
        <v>50</v>
      </c>
      <c r="G86" s="60" t="str">
        <f t="shared" si="8"/>
        <v>25x20</v>
      </c>
      <c r="H86" s="60" t="str">
        <f>IF(F86="Großfeld","7,32x2,44",IF(F86="U16","7,32x2,44",IF(F86="U15","7,32x2,44",IF(F86="U14","7,32x2,44",IF(F86="U13","5x2",IF(F86="U11/U12","5x2",IF(F86="U9/U10","5x2",IF(F86="Turnier","5x2","4 Minitore"))))))))</f>
        <v>5x2</v>
      </c>
      <c r="I86" s="60" t="str">
        <f t="shared" si="7"/>
        <v>3</v>
      </c>
      <c r="J86" s="60" t="e">
        <f t="shared" si="9"/>
        <v>#REF!</v>
      </c>
      <c r="K86" s="60" t="e">
        <f t="shared" si="10"/>
        <v>#REF!</v>
      </c>
    </row>
    <row r="87" spans="1:11" ht="15.6" customHeight="1" x14ac:dyDescent="0.3">
      <c r="A87" s="60" t="str">
        <f>Heimspiele!C84</f>
        <v>GGG</v>
      </c>
      <c r="B87" s="109">
        <f>Heimspiele!D84</f>
        <v>46256</v>
      </c>
      <c r="C87" s="110">
        <f>Heimspiele!E84</f>
        <v>0.375</v>
      </c>
      <c r="D87" s="60" t="str">
        <f>Heimspiele!F84</f>
        <v>Neufeld</v>
      </c>
      <c r="E87" s="60" t="str">
        <f>Heimspiele!G84</f>
        <v>viele Gegner</v>
      </c>
      <c r="F87" s="60" t="s">
        <v>50</v>
      </c>
      <c r="G87" s="60" t="str">
        <f t="shared" si="8"/>
        <v>25x20</v>
      </c>
      <c r="H87" s="60" t="str">
        <f>IF(F87="Großfeld","7,32x2,44",IF(F87="U16","7,32x2,44",IF(F87="U15","7,32x2,44",IF(F87="U14","7,32x2,44",IF(F87="U13","5x2",IF(F87="U11/U12","5x2",IF(F87="U9/U10","5x2",IF(F86="Turnier","5x2","4 Minitore"))))))))</f>
        <v>5x2</v>
      </c>
      <c r="I87" s="60" t="str">
        <f t="shared" si="7"/>
        <v>3</v>
      </c>
      <c r="J87" s="60" t="str">
        <f t="shared" si="9"/>
        <v>FEHLER</v>
      </c>
      <c r="K87" s="60" t="str">
        <f t="shared" si="10"/>
        <v>FEHLER</v>
      </c>
    </row>
  </sheetData>
  <autoFilter ref="A1:K83" xr:uid="{00000000-0009-0000-0000-000006000000}">
    <filterColumn colId="3">
      <filters>
        <filter val="Neufeld"/>
      </filters>
    </filterColumn>
    <sortState xmlns:xlrd2="http://schemas.microsoft.com/office/spreadsheetml/2017/richdata2" ref="A2:K87">
      <sortCondition ref="B1:B83"/>
    </sortState>
  </autoFilter>
  <pageMargins left="3.937007874015748E-2" right="3.937007874015748E-2" top="1.338582677165354" bottom="0.74803149606299213" header="0.31496062992125978" footer="0.31496062992125978"/>
  <pageSetup paperSize="8" scale="7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A654" sqref="A1:B654"/>
    </sheetView>
  </sheetViews>
  <sheetFormatPr baseColWidth="10" defaultRowHeight="14.4" x14ac:dyDescent="0.3"/>
  <sheetData/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Nach Mannschaften sortiert</vt:lpstr>
      <vt:lpstr>ICS2</vt:lpstr>
      <vt:lpstr>Kalendernamen</vt:lpstr>
      <vt:lpstr>Trainingsplan</vt:lpstr>
      <vt:lpstr>Heimspiele</vt:lpstr>
      <vt:lpstr>Tabelle1</vt:lpstr>
      <vt:lpstr>Stefans Liste 2026</vt:lpstr>
      <vt:lpstr>Tabelle2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2026-06-25T10:53:08Z</dcterms:modified>
</cp:coreProperties>
</file>
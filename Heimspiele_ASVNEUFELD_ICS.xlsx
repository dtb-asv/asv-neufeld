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1136F38E-B070-4012-BF83-41048D1D6F9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20" l="1"/>
  <c r="A18" i="20"/>
  <c r="A31" i="20"/>
  <c r="A32" i="20"/>
  <c r="A30" i="20"/>
  <c r="A27" i="20"/>
  <c r="A28" i="20"/>
  <c r="A29" i="20"/>
  <c r="A26" i="20"/>
  <c r="A25" i="20"/>
  <c r="A24" i="20"/>
  <c r="A22" i="20"/>
  <c r="A21" i="20"/>
  <c r="A20" i="20"/>
  <c r="A19" i="20"/>
  <c r="A17" i="20"/>
  <c r="A16" i="20"/>
  <c r="A15" i="20"/>
  <c r="A14" i="20"/>
  <c r="A3" i="20"/>
  <c r="A4" i="20"/>
  <c r="A5" i="20"/>
  <c r="A6" i="20"/>
  <c r="A7" i="20"/>
  <c r="A8" i="20"/>
  <c r="A9" i="20"/>
  <c r="A10" i="20"/>
  <c r="A11" i="20"/>
  <c r="A12" i="20"/>
  <c r="A13" i="20"/>
  <c r="A2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3" i="20"/>
  <c r="A34" i="20"/>
  <c r="A35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<sst xmlns="http://schemas.openxmlformats.org/spreadsheetml/2006/main" count="202" uniqueCount="78">
  <si>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</si>
  <si>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</si>
  <si>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</si>
  <si>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</si>
  <si>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</si>
  <si>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</si>
  <si>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</si>
  <si>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</si>
  <si>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</si>
  <si>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</si>
  <si>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</si>
  <si>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</si>
  <si>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</si>
  <si>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</si>
  <si>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</si>
  <si>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</si>
  <si>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</si>
  <si>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</si>
  <si>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</si>
  <si>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</si>
  <si>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</si>
  <si>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</si>
  <si>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</si>
  <si>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</si>
  <si>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</si>
  <si>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</si>
  <si>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</si>
  <si>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</si>
  <si>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</si>
  <si>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</si>
  <si>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</si>
  <si>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</si>
  <si>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</si>
  <si>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</si>
  <si>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</si>
  <si>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</si>
  <si>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</si>
  <si>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</si>
  <si>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</si>
  <si>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</si>
  <si>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</si>
  <si>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</si>
  <si>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</si>
  <si>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</si>
  <si>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</si>
  <si>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</si>
  <si>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</si>
  <si>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</si>
  <si>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</si>
  <si>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</si>
  <si>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</si>
  <si>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</si>
  <si>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</si>
  <si>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</si>
  <si>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</si>
  <si>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</si>
  <si>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</si>
  <si>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</si>
  <si>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</si>
  <si>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</si>
  <si>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</si>
  <si>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</si>
  <si>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</si>
  <si>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</si>
  <si>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</si>
  <si>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</si>
  <si>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</si>
  <si>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</si>
  <si>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</si>
  <si>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</si>
  <si>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</si>
  <si>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</si>
  <si>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</si>
  <si>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</si>
  <si>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</si>
  <si>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</si>
  <si>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</si>
  <si>
    <t>verschiedene Gegner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</si>
</sst>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  <xf numFmtId="0" fontId="0" fillId="0" borderId="0" xfId="0" applyNumberFormat="1"/>
    <xf numFmtId="0" fontId="0" fillId="5" borderId="3" xfId="0" applyFill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I37" sqref="I3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s="51" t="s">
        <v>77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s="51" t="s">
        <v>77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s="51" t="s">
        <v>77</v>
      </c>
    </row>
    <row r="38" spans="1:9" x14ac:dyDescent="0.3">
      <c r="A38" s="37">
        <v>79</v>
      </c>
      <c r="B38" s="37">
        <v>1</v>
      </c>
      <c r="C38" s="37" t="s">
        <v>55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55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55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57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56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topLeftCell="A9" workbookViewId="0">
      <selection activeCell="A24" sqref="A24"/>
    </sheetView>
  </sheetViews>
  <sheetFormatPr baseColWidth="10" defaultRowHeight="14.4" x14ac:dyDescent="0.3"/>
  <cols>
    <col min="1" max="1" width="50.33203125" style="50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50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50" t="str">
        <f>F2 &amp; " ASV -" &amp; 'Nach Mannschaften sortiert'!I2</f>
        <v>KM ASV -TADTEN</v>
      </c>
      <c r="B2" s="46">
        <f>'Nach Mannschaften sortiert'!D2</f>
        <v>46102</v>
      </c>
      <c r="C2" s="36">
        <v>0.66666666666666663</v>
      </c>
      <c r="D2" s="36">
        <f>C2+"1:45"</f>
        <v>0.73958333333333326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50" t="str">
        <f>F3 &amp; " ASV -" &amp; 'Nach Mannschaften sortiert'!I3</f>
        <v>KM ASV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50" t="str">
        <f>F4 &amp; " ASV -" &amp; 'Nach Mannschaften sortiert'!I4</f>
        <v>KM ASV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50" t="str">
        <f>F5 &amp; " ASV -" &amp; 'Nach Mannschaften sortiert'!I5</f>
        <v>KM ASV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50" t="str">
        <f>F6 &amp; " ASV -" &amp; 'Nach Mannschaften sortiert'!I6</f>
        <v>KM ASV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50" t="str">
        <f>F7 &amp; " ASV -" &amp; 'Nach Mannschaften sortiert'!I7</f>
        <v>KM ASV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50" t="str">
        <f>F8 &amp; " ASV -" &amp; 'Nach Mannschaften sortiert'!I8</f>
        <v>RESERVE ASV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50" t="str">
        <f>F9 &amp; " ASV -" &amp; 'Nach Mannschaften sortiert'!I9</f>
        <v>RESERVE ASV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50" t="str">
        <f>F10 &amp; " ASV -" &amp; 'Nach Mannschaften sortiert'!I10</f>
        <v>RESERVE ASV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50" t="str">
        <f>F11 &amp; " ASV -" &amp; 'Nach Mannschaften sortiert'!I11</f>
        <v>RESERVE ASV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50" t="str">
        <f>F12 &amp; " ASV -" &amp; 'Nach Mannschaften sortiert'!I12</f>
        <v>RESERVE ASV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50" t="str">
        <f>F13 &amp; " ASV -" &amp; 'Nach Mannschaften sortiert'!I13</f>
        <v>RESERVE ASV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50" t="str">
        <f>F14 &amp;  " ASV -" &amp; 'Nach Mannschaften sortiert'!I15</f>
        <v>U16 ASV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50" t="str">
        <f>F15 &amp; " ASV -" &amp; 'Nach Mannschaften sortiert'!I18</f>
        <v>U16 ASV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50" t="str">
        <f>F16 &amp; " ASV -" &amp; 'Nach Mannschaften sortiert'!I19</f>
        <v>U15 ASV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50" t="str">
        <f>F17 &amp; " ASV -" &amp; 'Nach Mannschaften sortiert'!I21</f>
        <v>U15 ASV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50" t="str">
        <f>"AGESAGT!!!!"&amp;F18 &amp; " ASV -" &amp; 'Nach Mannschaften sortiert'!I23</f>
        <v>AGESAGT!!!!U14 ASV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50" t="str">
        <f>F19 &amp; " ASV -" &amp; 'Nach Mannschaften sortiert'!I24</f>
        <v>U14 ASV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50" t="str">
        <f>F20 &amp; " ASV -" &amp; 'Nach Mannschaften sortiert'!I25</f>
        <v>U14 ASV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50" t="str">
        <f>F21 &amp; " ASV -" &amp; 'Nach Mannschaften sortiert'!I26</f>
        <v>U14 ASV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50" t="str">
        <f>F22 &amp; " ASV -" &amp; 'Nach Mannschaften sortiert'!I27</f>
        <v>U13 ASV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50" t="str">
        <f>"AGESAGT!!!!"&amp;F23 &amp; " ASV -" &amp; 'Nach Mannschaften sortiert'!I28</f>
        <v>AGESAGT!!!!U13 ASV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50" t="str">
        <f>F24 &amp; " ASV -" &amp; 'Nach Mannschaften sortiert'!I29</f>
        <v>U13 ASV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50" t="str">
        <f>F25 &amp; " ASV -" &amp; 'Nach Mannschaften sortiert'!I30</f>
        <v>U13 ASV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50" t="str">
        <f>F26 &amp; " ASV -" &amp; 'Nach Mannschaften sortiert'!I31</f>
        <v>U11 ASV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50" t="str">
        <f>F27 &amp; " ASV -" &amp; 'Nach Mannschaften sortiert'!I32</f>
        <v>U11 ASV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50" t="str">
        <f>F28 &amp; " ASV -" &amp; 'Nach Mannschaften sortiert'!I33</f>
        <v>U11 ASV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50" t="str">
        <f>F29 &amp; " ASV -" &amp; 'Nach Mannschaften sortiert'!I34</f>
        <v>U11 ASV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50" t="str">
        <f>F30 &amp; " ASV -" &amp; 'Nach Mannschaften sortiert'!I35</f>
        <v>U9 ASV -verschiedene Gegner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50" t="str">
        <f>F31 &amp; " ASV -" &amp; 'Nach Mannschaften sortiert'!I36</f>
        <v>U8 ASV -verschiedene Gegner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50" t="str">
        <f>F32 &amp; " ASV -" &amp; 'Nach Mannschaften sortiert'!I37</f>
        <v>U7 ASV -verschiedene Gegner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50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50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50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50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50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58</v>
      </c>
    </row>
    <row r="2" spans="1:1" x14ac:dyDescent="0.3">
      <c r="A2" t="s">
        <v>59</v>
      </c>
    </row>
    <row r="3" spans="1:1" x14ac:dyDescent="0.3">
      <c r="A3" t="s">
        <v>60</v>
      </c>
    </row>
    <row r="5" spans="1:1" x14ac:dyDescent="0.3">
      <c r="A5" t="s">
        <v>61</v>
      </c>
    </row>
    <row r="6" spans="1:1" x14ac:dyDescent="0.3">
      <c r="A6" t="s">
        <v>76</v>
      </c>
    </row>
    <row r="8" spans="1:1" x14ac:dyDescent="0.3">
      <c r="A8" t="s">
        <v>62</v>
      </c>
    </row>
    <row r="10" spans="1:1" x14ac:dyDescent="0.3">
      <c r="A10" t="s">
        <v>63</v>
      </c>
    </row>
    <row r="11" spans="1:1" x14ac:dyDescent="0.3">
      <c r="A11" t="s">
        <v>64</v>
      </c>
    </row>
    <row r="12" spans="1:1" x14ac:dyDescent="0.3">
      <c r="A12" t="s">
        <v>65</v>
      </c>
    </row>
    <row r="13" spans="1:1" x14ac:dyDescent="0.3">
      <c r="A13" t="s">
        <v>66</v>
      </c>
    </row>
    <row r="14" spans="1:1" x14ac:dyDescent="0.3">
      <c r="A14" t="s">
        <v>67</v>
      </c>
    </row>
    <row r="15" spans="1:1" x14ac:dyDescent="0.3">
      <c r="A15" t="s">
        <v>68</v>
      </c>
    </row>
    <row r="16" spans="1:1" x14ac:dyDescent="0.3">
      <c r="A16" t="s">
        <v>66</v>
      </c>
    </row>
    <row r="17" spans="1:1" x14ac:dyDescent="0.3">
      <c r="A17" t="s">
        <v>69</v>
      </c>
    </row>
    <row r="18" spans="1:1" x14ac:dyDescent="0.3">
      <c r="A18" t="s">
        <v>70</v>
      </c>
    </row>
    <row r="19" spans="1:1" x14ac:dyDescent="0.3">
      <c r="A19" t="s">
        <v>71</v>
      </c>
    </row>
    <row r="20" spans="1:1" x14ac:dyDescent="0.3">
      <c r="A20" t="s">
        <v>72</v>
      </c>
    </row>
    <row r="21" spans="1:1" x14ac:dyDescent="0.3">
      <c r="A21" t="s">
        <v>66</v>
      </c>
    </row>
    <row r="22" spans="1:1" x14ac:dyDescent="0.3">
      <c r="A22" t="s">
        <v>73</v>
      </c>
    </row>
    <row r="24" spans="1:1" x14ac:dyDescent="0.3">
      <c r="A24" t="s">
        <v>74</v>
      </c>
    </row>
    <row r="25" spans="1:1" x14ac:dyDescent="0.3">
      <c r="A25" t="s">
        <v>75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2026-03-27T16:11:37Z</dcterms:modified>
</cp:coreProperties>
</file>
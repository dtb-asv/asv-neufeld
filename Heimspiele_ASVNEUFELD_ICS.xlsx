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"/>
    </mc:Choice>
  </mc:AlternateContent>
  <xr:revisionPtr revIDLastSave="0" documentId="13_ncr:1_{BB5E4BA1-74F1-4193-8E4E-EF8D3299879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" sheetId="20" r:id="rId2"/>
    <sheet name="Tabelle1" sheetId="18" r:id="rId3"/>
  </sheets>
  <definedNames>
    <definedName name="_xlnm._FilterDatabase" localSheetId="0" hidden="1">'Nach Mannschaften sortiert'!$A$1:$H$42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0" l="1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2" i="20"/>
  <c r="D20" i="20"/>
  <c r="D21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2" i="20"/>
  <c r="C3" i="20"/>
  <c r="D3" i="20" s="1"/>
  <c r="C4" i="20"/>
  <c r="D4" i="20" s="1"/>
  <c r="C5" i="20"/>
  <c r="D5" i="20" s="1"/>
  <c r="C6" i="20"/>
  <c r="D6" i="20" s="1"/>
  <c r="C7" i="20"/>
  <c r="D7" i="20" s="1"/>
  <c r="C8" i="20"/>
  <c r="D8" i="20" s="1"/>
  <c r="C9" i="20"/>
  <c r="D9" i="20" s="1"/>
  <c r="C10" i="20"/>
  <c r="D10" i="20" s="1"/>
  <c r="C11" i="20"/>
  <c r="D11" i="20" s="1"/>
  <c r="C12" i="20"/>
  <c r="D12" i="20" s="1"/>
  <c r="C13" i="20"/>
  <c r="D13" i="20" s="1"/>
  <c r="C14" i="20"/>
  <c r="D14" i="20" s="1"/>
  <c r="C15" i="20"/>
  <c r="D15" i="20" s="1"/>
  <c r="C16" i="20"/>
  <c r="D16" i="20" s="1"/>
  <c r="C17" i="20"/>
  <c r="D17" i="20" s="1"/>
  <c r="C18" i="20"/>
  <c r="D18" i="20" s="1"/>
  <c r="C19" i="20"/>
  <c r="D19" i="20" s="1"/>
  <c r="C20" i="20"/>
  <c r="C21" i="20"/>
  <c r="C22" i="20"/>
  <c r="D22" i="20" s="1"/>
  <c r="C23" i="20"/>
  <c r="D23" i="20" s="1"/>
  <c r="C24" i="20"/>
  <c r="D24" i="20" s="1"/>
  <c r="C25" i="20"/>
  <c r="D25" i="20" s="1"/>
  <c r="C26" i="20"/>
  <c r="D26" i="20" s="1"/>
  <c r="C27" i="20"/>
  <c r="D27" i="20" s="1"/>
  <c r="C28" i="20"/>
  <c r="D28" i="20" s="1"/>
  <c r="C29" i="20"/>
  <c r="D29" i="20" s="1"/>
  <c r="C30" i="20"/>
  <c r="C31" i="20"/>
  <c r="C32" i="20"/>
  <c r="C33" i="20"/>
  <c r="C34" i="20"/>
  <c r="C35" i="20"/>
  <c r="C36" i="20"/>
  <c r="C37" i="20"/>
  <c r="D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2" i="20"/>
  <c r="A36" i="20"/>
  <c r="A37" i="20"/>
  <c r="A32" i="20"/>
  <c r="A33" i="20"/>
  <c r="A34" i="20"/>
  <c r="A35" i="20"/>
  <c r="A25" i="20"/>
  <c r="A26" i="20"/>
  <c r="A27" i="20"/>
  <c r="A28" i="20"/>
  <c r="A29" i="20"/>
  <c r="A30" i="20"/>
  <c r="A31" i="20"/>
  <c r="A20" i="20"/>
  <c r="A21" i="20"/>
  <c r="A22" i="20"/>
  <c r="A23" i="20"/>
  <c r="A24" i="20"/>
  <c r="A17" i="20"/>
  <c r="A18" i="20"/>
  <c r="A19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2" i="20"/>
  <c r="I13" i="1"/>
  <c r="I12" i="1"/>
  <c r="I11" i="1"/>
  <c r="I10" i="1"/>
  <c r="I9" i="1"/>
  <c r="I8" i="1"/>
  <c r="I3" i="1"/>
  <c r="I4" i="1"/>
  <c r="I5" i="1"/>
  <c r="I6" i="1"/>
  <c r="I7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8" i="1"/>
  <c r="I39" i="1"/>
  <c r="I40" i="1"/>
  <c r="I41" i="1"/>
  <c r="I42" i="1"/>
  <c r="I2" i="1"/>
</calcChain>
</file>

<file path=xl/sharedStrings.xml><?xml version="1.0" encoding="utf-8"?>
<sst xmlns="http://schemas.openxmlformats.org/spreadsheetml/2006/main" count="202" uniqueCount="78">
  <si>
    <t>Mannschaft</t>
  </si>
  <si>
    <t>Ort</t>
  </si>
  <si>
    <t>Neufeld</t>
  </si>
  <si>
    <t>Hornstein</t>
  </si>
  <si>
    <t>Auswärt/Heim</t>
  </si>
  <si>
    <t>Gegner</t>
  </si>
  <si>
    <t>Runde</t>
  </si>
  <si>
    <t>fixierter Termin</t>
  </si>
  <si>
    <t>fixierte Uhrzeit</t>
  </si>
  <si>
    <t>fortlaufende Nummer</t>
  </si>
  <si>
    <t>Heim</t>
  </si>
  <si>
    <t>Wimpassing</t>
  </si>
  <si>
    <t>St. Georgen/Eisenstadt</t>
  </si>
  <si>
    <t>U13</t>
  </si>
  <si>
    <t>Turnierform</t>
  </si>
  <si>
    <t>U8</t>
  </si>
  <si>
    <t>Kittsee</t>
  </si>
  <si>
    <t>Steinbrunn</t>
  </si>
  <si>
    <t>U15</t>
  </si>
  <si>
    <t>U14</t>
  </si>
  <si>
    <t>U9</t>
  </si>
  <si>
    <t>KM</t>
  </si>
  <si>
    <t>Pama</t>
  </si>
  <si>
    <t>SPG Leitha/Stotzing</t>
  </si>
  <si>
    <t>SPG Klimpuh</t>
  </si>
  <si>
    <t>Teco 7 Camp</t>
  </si>
  <si>
    <t>U11</t>
  </si>
  <si>
    <t>U16</t>
  </si>
  <si>
    <t>GGG - Qualifikation</t>
  </si>
  <si>
    <t>9. GGG</t>
  </si>
  <si>
    <t>U7</t>
  </si>
  <si>
    <t>SV Leithaprodersdorf</t>
  </si>
  <si>
    <t>SV BB1 Wolfau</t>
  </si>
  <si>
    <t>SC/ESV Parndorf 1919</t>
  </si>
  <si>
    <t>FC Großhöflein</t>
  </si>
  <si>
    <t>SC Neusiedl am See 1919</t>
  </si>
  <si>
    <t>SPG Rosalia/Marz</t>
  </si>
  <si>
    <t>SV Wulkaprodersdorf</t>
  </si>
  <si>
    <t>SK Pama</t>
  </si>
  <si>
    <t>SC Kittsee</t>
  </si>
  <si>
    <t>SC Eisenstadt/Rust</t>
  </si>
  <si>
    <t>SPG Waha St. Margarethen</t>
  </si>
  <si>
    <t>Stotzing</t>
  </si>
  <si>
    <t>SPG Breitenbrunn/Purbach/Winden</t>
  </si>
  <si>
    <t>SPG DER CLUB/Kirchschlag</t>
  </si>
  <si>
    <t>SPG SVO-Edelserpentin</t>
  </si>
  <si>
    <t>TITEL</t>
  </si>
  <si>
    <t>DATUM</t>
  </si>
  <si>
    <t>Startzeit</t>
  </si>
  <si>
    <t>Endzeit</t>
  </si>
  <si>
    <t>Beschreibung</t>
  </si>
  <si>
    <t>TADTEN</t>
  </si>
  <si>
    <t>ILLMITZ</t>
  </si>
  <si>
    <t>STEINBRUNN</t>
  </si>
  <si>
    <t>RESERVE</t>
  </si>
  <si>
    <t>VIELE</t>
  </si>
  <si>
    <t>Nachwuchscamp</t>
  </si>
  <si>
    <t>U10-Turnier</t>
  </si>
  <si>
    <t>U9-Turnier</t>
  </si>
  <si>
    <t>import pandas as pd</t>
  </si>
  <si>
    <t>from datetime import datetime</t>
  </si>
  <si>
    <t>from ics import Calendar, Event</t>
  </si>
  <si>
    <t># Excel laden</t>
  </si>
  <si>
    <t>cal = Calendar()</t>
  </si>
  <si>
    <t>for index, row in df.iterrows():</t>
  </si>
  <si>
    <t xml:space="preserve">    e = Event()</t>
  </si>
  <si>
    <t xml:space="preserve">    e.name = row["Titel"]</t>
  </si>
  <si>
    <t xml:space="preserve">    </t>
  </si>
  <si>
    <t xml:space="preserve">    start = datetime.strptime(f"{row['Datum']} {row['Startzeit']}", "%Y-%m-%d %H:%M")</t>
  </si>
  <si>
    <t xml:space="preserve">    end = datetime.strptime(f"{row['Datum']} {row['Endzeit']}", "%Y-%m-%d %H:%M")</t>
  </si>
  <si>
    <t xml:space="preserve">    e.begin = start</t>
  </si>
  <si>
    <t xml:space="preserve">    e.end = end</t>
  </si>
  <si>
    <t xml:space="preserve">    e.location = row["Ort"]</t>
  </si>
  <si>
    <t xml:space="preserve">    e.description = row["Beschreibung"]</t>
  </si>
  <si>
    <t xml:space="preserve">    cal.events.add(e)</t>
  </si>
  <si>
    <t>with open("spiele.ics", "w", encoding="utf-8") as f:</t>
  </si>
  <si>
    <t xml:space="preserve">    f.writelines(cal)</t>
  </si>
  <si>
    <t>df = pd.read_excel("Terminefussball_2026_Frühjahr_TestICS.xlsx", sheet_name="ICS")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</si>
</sst>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hh:mm;@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0" xfId="0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164" fontId="0" fillId="8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ont="1" applyFill="1" applyBorder="1" applyAlignment="1">
      <alignment horizontal="center"/>
    </xf>
    <xf numFmtId="164" fontId="0" fillId="5" borderId="1" xfId="0" applyNumberFormat="1" applyFont="1" applyFill="1" applyBorder="1" applyAlignment="1">
      <alignment horizontal="center"/>
    </xf>
    <xf numFmtId="165" fontId="0" fillId="0" borderId="0" xfId="0" applyNumberFormat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20" fontId="0" fillId="13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166" fontId="0" fillId="0" borderId="0" xfId="0" applyNumberFormat="1"/>
    <xf numFmtId="20" fontId="0" fillId="11" borderId="1" xfId="0" applyNumberFormat="1" applyFill="1" applyBorder="1"/>
    <xf numFmtId="20" fontId="0" fillId="12" borderId="1" xfId="0" applyNumberFormat="1" applyFill="1" applyBorder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FF"/>
      <color rgb="FFF397CE"/>
      <color rgb="FFFF00FF"/>
      <color rgb="FFEC0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zoomScaleNormal="100" workbookViewId="0">
      <selection activeCell="C7" sqref="C7"/>
    </sheetView>
  </sheetViews>
  <sheetFormatPr baseColWidth="10" defaultColWidth="10.6640625" defaultRowHeight="14.4" x14ac:dyDescent="0.3"/>
  <cols>
    <col min="1" max="1" width="21.109375" style="2" bestFit="1" customWidth="1"/>
    <col min="2" max="2" width="8.33203125" style="2" bestFit="1" customWidth="1"/>
    <col min="3" max="3" width="15.88671875" style="2" bestFit="1" customWidth="1"/>
    <col min="4" max="4" width="29.88671875" style="16" bestFit="1" customWidth="1"/>
    <col min="5" max="5" width="17.5546875" style="1" bestFit="1" customWidth="1"/>
    <col min="6" max="6" width="21.88671875" style="2" bestFit="1" customWidth="1"/>
    <col min="7" max="7" width="33" style="2" bestFit="1" customWidth="1"/>
    <col min="8" max="8" width="17.109375" style="2" bestFit="1" customWidth="1"/>
    <col min="9" max="9" width="37" bestFit="1" customWidth="1"/>
  </cols>
  <sheetData>
    <row r="1" spans="1:9" x14ac:dyDescent="0.3">
      <c r="A1" s="2" t="s">
        <v>9</v>
      </c>
      <c r="B1" s="4" t="s">
        <v>6</v>
      </c>
      <c r="C1" s="7" t="s">
        <v>0</v>
      </c>
      <c r="D1" s="13" t="s">
        <v>7</v>
      </c>
      <c r="E1" s="3" t="s">
        <v>8</v>
      </c>
      <c r="F1" s="4" t="s">
        <v>1</v>
      </c>
      <c r="G1" s="4" t="s">
        <v>5</v>
      </c>
      <c r="H1" s="4" t="s">
        <v>4</v>
      </c>
    </row>
    <row r="2" spans="1:9" x14ac:dyDescent="0.3">
      <c r="A2" s="6">
        <v>2</v>
      </c>
      <c r="B2" s="6">
        <v>2</v>
      </c>
      <c r="C2" s="6" t="s">
        <v>21</v>
      </c>
      <c r="D2" s="14">
        <v>46102</v>
      </c>
      <c r="E2" s="5">
        <v>0.66666666666666663</v>
      </c>
      <c r="F2" s="6" t="s">
        <v>2</v>
      </c>
      <c r="G2" s="6" t="s">
        <v>51</v>
      </c>
      <c r="H2" s="6" t="s">
        <v>10</v>
      </c>
      <c r="I2" t="str">
        <f>UPPER(G2)</f>
        <v>TADTEN</v>
      </c>
    </row>
    <row r="3" spans="1:9" x14ac:dyDescent="0.3">
      <c r="A3" s="6">
        <v>4</v>
      </c>
      <c r="B3" s="6">
        <v>4</v>
      </c>
      <c r="C3" s="6" t="s">
        <v>21</v>
      </c>
      <c r="D3" s="14">
        <v>46116</v>
      </c>
      <c r="E3" s="5">
        <v>0.70833333333333337</v>
      </c>
      <c r="F3" s="6" t="s">
        <v>2</v>
      </c>
      <c r="G3" s="6" t="s">
        <v>52</v>
      </c>
      <c r="H3" s="6" t="s">
        <v>10</v>
      </c>
      <c r="I3" t="str">
        <f t="shared" ref="I3:I42" si="0">UPPER(G3)</f>
        <v>ILLMITZ</v>
      </c>
    </row>
    <row r="4" spans="1:9" x14ac:dyDescent="0.3">
      <c r="A4" s="6">
        <v>6</v>
      </c>
      <c r="B4" s="6">
        <v>6</v>
      </c>
      <c r="C4" s="6" t="s">
        <v>21</v>
      </c>
      <c r="D4" s="14">
        <v>46130</v>
      </c>
      <c r="E4" s="5">
        <v>0.72916666666666663</v>
      </c>
      <c r="F4" s="6" t="s">
        <v>2</v>
      </c>
      <c r="G4" s="6" t="s">
        <v>53</v>
      </c>
      <c r="H4" s="6" t="s">
        <v>10</v>
      </c>
      <c r="I4" t="str">
        <f t="shared" si="0"/>
        <v>STEINBRUNN</v>
      </c>
    </row>
    <row r="5" spans="1:9" x14ac:dyDescent="0.3">
      <c r="A5" s="6">
        <v>8</v>
      </c>
      <c r="B5" s="6">
        <v>8</v>
      </c>
      <c r="C5" s="6" t="s">
        <v>21</v>
      </c>
      <c r="D5" s="14">
        <v>46144</v>
      </c>
      <c r="E5" s="5">
        <v>0.75</v>
      </c>
      <c r="F5" s="6" t="s">
        <v>2</v>
      </c>
      <c r="G5" s="6" t="s">
        <v>3</v>
      </c>
      <c r="H5" s="6" t="s">
        <v>10</v>
      </c>
      <c r="I5" t="str">
        <f t="shared" si="0"/>
        <v>HORNSTEIN</v>
      </c>
    </row>
    <row r="6" spans="1:9" x14ac:dyDescent="0.3">
      <c r="A6" s="6">
        <v>10</v>
      </c>
      <c r="B6" s="6">
        <v>10</v>
      </c>
      <c r="C6" s="6" t="s">
        <v>21</v>
      </c>
      <c r="D6" s="14">
        <v>46157</v>
      </c>
      <c r="E6" s="5">
        <v>0.83333333333333337</v>
      </c>
      <c r="F6" s="6" t="s">
        <v>2</v>
      </c>
      <c r="G6" s="6" t="s">
        <v>22</v>
      </c>
      <c r="H6" s="6" t="s">
        <v>10</v>
      </c>
      <c r="I6" t="str">
        <f t="shared" si="0"/>
        <v>PAMA</v>
      </c>
    </row>
    <row r="7" spans="1:9" x14ac:dyDescent="0.3">
      <c r="A7" s="6">
        <v>13</v>
      </c>
      <c r="B7" s="6">
        <v>13</v>
      </c>
      <c r="C7" s="6" t="s">
        <v>21</v>
      </c>
      <c r="D7" s="14">
        <v>46179</v>
      </c>
      <c r="E7" s="5">
        <v>0.75</v>
      </c>
      <c r="F7" s="6" t="s">
        <v>2</v>
      </c>
      <c r="G7" s="6" t="s">
        <v>16</v>
      </c>
      <c r="H7" s="6" t="s">
        <v>10</v>
      </c>
      <c r="I7" t="str">
        <f t="shared" si="0"/>
        <v>KITTSEE</v>
      </c>
    </row>
    <row r="8" spans="1:9" x14ac:dyDescent="0.3">
      <c r="A8" s="6">
        <v>2</v>
      </c>
      <c r="B8" s="6">
        <v>2</v>
      </c>
      <c r="C8" s="6" t="s">
        <v>54</v>
      </c>
      <c r="D8" s="14">
        <v>46102</v>
      </c>
      <c r="E8" s="5">
        <v>0.58333333333333337</v>
      </c>
      <c r="F8" s="6" t="s">
        <v>2</v>
      </c>
      <c r="G8" s="6" t="s">
        <v>51</v>
      </c>
      <c r="H8" s="6" t="s">
        <v>10</v>
      </c>
      <c r="I8" t="str">
        <f>UPPER(G8)</f>
        <v>TADTEN</v>
      </c>
    </row>
    <row r="9" spans="1:9" x14ac:dyDescent="0.3">
      <c r="A9" s="6">
        <v>4</v>
      </c>
      <c r="B9" s="6">
        <v>4</v>
      </c>
      <c r="C9" s="6" t="s">
        <v>54</v>
      </c>
      <c r="D9" s="14">
        <v>46116</v>
      </c>
      <c r="E9" s="5">
        <v>0.625</v>
      </c>
      <c r="F9" s="6" t="s">
        <v>2</v>
      </c>
      <c r="G9" s="6" t="s">
        <v>52</v>
      </c>
      <c r="H9" s="6" t="s">
        <v>10</v>
      </c>
      <c r="I9" t="str">
        <f t="shared" ref="I9:I13" si="1">UPPER(G9)</f>
        <v>ILLMITZ</v>
      </c>
    </row>
    <row r="10" spans="1:9" x14ac:dyDescent="0.3">
      <c r="A10" s="6">
        <v>6</v>
      </c>
      <c r="B10" s="6">
        <v>6</v>
      </c>
      <c r="C10" s="6" t="s">
        <v>54</v>
      </c>
      <c r="D10" s="14">
        <v>46130</v>
      </c>
      <c r="E10" s="5">
        <v>0.64583333333333337</v>
      </c>
      <c r="F10" s="6" t="s">
        <v>2</v>
      </c>
      <c r="G10" s="6" t="s">
        <v>53</v>
      </c>
      <c r="H10" s="6" t="s">
        <v>10</v>
      </c>
      <c r="I10" t="str">
        <f t="shared" si="1"/>
        <v>STEINBRUNN</v>
      </c>
    </row>
    <row r="11" spans="1:9" x14ac:dyDescent="0.3">
      <c r="A11" s="6">
        <v>8</v>
      </c>
      <c r="B11" s="6">
        <v>8</v>
      </c>
      <c r="C11" s="6" t="s">
        <v>54</v>
      </c>
      <c r="D11" s="14">
        <v>46144</v>
      </c>
      <c r="E11" s="5">
        <v>0.66666666666666663</v>
      </c>
      <c r="F11" s="6" t="s">
        <v>2</v>
      </c>
      <c r="G11" s="6" t="s">
        <v>3</v>
      </c>
      <c r="H11" s="6" t="s">
        <v>10</v>
      </c>
      <c r="I11" t="str">
        <f t="shared" si="1"/>
        <v>HORNSTEIN</v>
      </c>
    </row>
    <row r="12" spans="1:9" x14ac:dyDescent="0.3">
      <c r="A12" s="6">
        <v>10</v>
      </c>
      <c r="B12" s="6">
        <v>10</v>
      </c>
      <c r="C12" s="6" t="s">
        <v>54</v>
      </c>
      <c r="D12" s="14">
        <v>46157</v>
      </c>
      <c r="E12" s="5">
        <v>0.75</v>
      </c>
      <c r="F12" s="6" t="s">
        <v>2</v>
      </c>
      <c r="G12" s="6" t="s">
        <v>22</v>
      </c>
      <c r="H12" s="6" t="s">
        <v>10</v>
      </c>
      <c r="I12" t="str">
        <f t="shared" si="1"/>
        <v>PAMA</v>
      </c>
    </row>
    <row r="13" spans="1:9" x14ac:dyDescent="0.3">
      <c r="A13" s="6">
        <v>13</v>
      </c>
      <c r="B13" s="6">
        <v>13</v>
      </c>
      <c r="C13" s="6" t="s">
        <v>54</v>
      </c>
      <c r="D13" s="14">
        <v>46179</v>
      </c>
      <c r="E13" s="5">
        <v>0.66666666666666663</v>
      </c>
      <c r="F13" s="6" t="s">
        <v>2</v>
      </c>
      <c r="G13" s="6" t="s">
        <v>16</v>
      </c>
      <c r="H13" s="6" t="s">
        <v>10</v>
      </c>
      <c r="I13" t="str">
        <f t="shared" si="1"/>
        <v>KITTSEE</v>
      </c>
    </row>
    <row r="14" spans="1:9" x14ac:dyDescent="0.3">
      <c r="A14" s="27">
        <v>15</v>
      </c>
      <c r="B14" s="27">
        <v>2</v>
      </c>
      <c r="C14" s="27" t="s">
        <v>27</v>
      </c>
      <c r="D14" s="34">
        <v>46124</v>
      </c>
      <c r="E14" s="28">
        <v>0.625</v>
      </c>
      <c r="F14" s="27" t="s">
        <v>11</v>
      </c>
      <c r="G14" s="27" t="s">
        <v>45</v>
      </c>
      <c r="H14" s="27" t="s">
        <v>10</v>
      </c>
      <c r="I14" t="str">
        <f t="shared" si="0"/>
        <v>SPG SVO-EDELSERPENTIN</v>
      </c>
    </row>
    <row r="15" spans="1:9" x14ac:dyDescent="0.3">
      <c r="A15" s="27">
        <v>17</v>
      </c>
      <c r="B15" s="27">
        <v>4</v>
      </c>
      <c r="C15" s="27" t="s">
        <v>27</v>
      </c>
      <c r="D15" s="34">
        <v>46138</v>
      </c>
      <c r="E15" s="28">
        <v>0.60416666666666663</v>
      </c>
      <c r="F15" s="27" t="s">
        <v>2</v>
      </c>
      <c r="G15" s="27" t="s">
        <v>44</v>
      </c>
      <c r="H15" s="27" t="s">
        <v>10</v>
      </c>
      <c r="I15" t="str">
        <f t="shared" si="0"/>
        <v>SPG DER CLUB/KIRCHSCHLAG</v>
      </c>
    </row>
    <row r="16" spans="1:9" x14ac:dyDescent="0.3">
      <c r="A16" s="27">
        <v>19</v>
      </c>
      <c r="B16" s="27">
        <v>6</v>
      </c>
      <c r="C16" s="27" t="s">
        <v>27</v>
      </c>
      <c r="D16" s="34">
        <v>46151</v>
      </c>
      <c r="E16" s="28">
        <v>0.70833333333333337</v>
      </c>
      <c r="F16" s="27" t="s">
        <v>11</v>
      </c>
      <c r="G16" s="27" t="s">
        <v>31</v>
      </c>
      <c r="H16" s="27" t="s">
        <v>10</v>
      </c>
      <c r="I16" t="str">
        <f t="shared" si="0"/>
        <v>SV LEITHAPRODERSDORF</v>
      </c>
    </row>
    <row r="17" spans="1:10" x14ac:dyDescent="0.3">
      <c r="A17" s="27">
        <v>21</v>
      </c>
      <c r="B17" s="27">
        <v>8</v>
      </c>
      <c r="C17" s="27" t="s">
        <v>27</v>
      </c>
      <c r="D17" s="34">
        <v>46102</v>
      </c>
      <c r="E17" s="28">
        <v>0.5625</v>
      </c>
      <c r="F17" s="27" t="s">
        <v>11</v>
      </c>
      <c r="G17" s="27" t="s">
        <v>32</v>
      </c>
      <c r="H17" s="27" t="s">
        <v>10</v>
      </c>
      <c r="I17" t="str">
        <f t="shared" si="0"/>
        <v>SV BB1 WOLFAU</v>
      </c>
    </row>
    <row r="18" spans="1:10" x14ac:dyDescent="0.3">
      <c r="A18" s="27">
        <v>23</v>
      </c>
      <c r="B18" s="27">
        <v>10</v>
      </c>
      <c r="C18" s="27" t="s">
        <v>27</v>
      </c>
      <c r="D18" s="34">
        <v>46180</v>
      </c>
      <c r="E18" s="28">
        <v>0.70833333333333337</v>
      </c>
      <c r="F18" s="27" t="s">
        <v>2</v>
      </c>
      <c r="G18" s="27" t="s">
        <v>12</v>
      </c>
      <c r="H18" s="27" t="s">
        <v>10</v>
      </c>
      <c r="I18" t="str">
        <f t="shared" si="0"/>
        <v>ST. GEORGEN/EISENSTADT</v>
      </c>
    </row>
    <row r="19" spans="1:10" x14ac:dyDescent="0.3">
      <c r="A19" s="8">
        <v>25</v>
      </c>
      <c r="B19" s="8">
        <v>2</v>
      </c>
      <c r="C19" s="8" t="s">
        <v>18</v>
      </c>
      <c r="D19" s="15">
        <v>46124</v>
      </c>
      <c r="E19" s="9">
        <v>0.54166666666666663</v>
      </c>
      <c r="F19" s="8" t="s">
        <v>2</v>
      </c>
      <c r="G19" s="8" t="s">
        <v>33</v>
      </c>
      <c r="H19" s="8" t="s">
        <v>10</v>
      </c>
      <c r="I19" t="str">
        <f t="shared" si="0"/>
        <v>SC/ESV PARNDORF 1919</v>
      </c>
    </row>
    <row r="20" spans="1:10" x14ac:dyDescent="0.3">
      <c r="A20" s="8">
        <v>26</v>
      </c>
      <c r="B20" s="8">
        <v>3</v>
      </c>
      <c r="C20" s="8" t="s">
        <v>18</v>
      </c>
      <c r="D20" s="15">
        <v>46128</v>
      </c>
      <c r="E20" s="9">
        <v>0.77083333333333337</v>
      </c>
      <c r="F20" s="8" t="s">
        <v>11</v>
      </c>
      <c r="G20" s="8" t="s">
        <v>34</v>
      </c>
      <c r="H20" s="8" t="s">
        <v>10</v>
      </c>
      <c r="I20" t="str">
        <f t="shared" si="0"/>
        <v>FC GROßHÖFLEIN</v>
      </c>
    </row>
    <row r="21" spans="1:10" x14ac:dyDescent="0.3">
      <c r="A21" s="8">
        <v>28</v>
      </c>
      <c r="B21" s="8">
        <v>5</v>
      </c>
      <c r="C21" s="8" t="s">
        <v>18</v>
      </c>
      <c r="D21" s="15">
        <v>46145</v>
      </c>
      <c r="E21" s="9">
        <v>0.4375</v>
      </c>
      <c r="F21" s="8" t="s">
        <v>2</v>
      </c>
      <c r="G21" s="8" t="s">
        <v>36</v>
      </c>
      <c r="H21" s="8" t="s">
        <v>10</v>
      </c>
      <c r="I21" t="str">
        <f t="shared" si="0"/>
        <v>SPG ROSALIA/MARZ</v>
      </c>
    </row>
    <row r="22" spans="1:10" x14ac:dyDescent="0.3">
      <c r="A22" s="8">
        <v>32</v>
      </c>
      <c r="B22" s="8">
        <v>9</v>
      </c>
      <c r="C22" s="8" t="s">
        <v>18</v>
      </c>
      <c r="D22" s="15">
        <v>46173</v>
      </c>
      <c r="E22" s="9">
        <v>0.4375</v>
      </c>
      <c r="F22" s="8" t="s">
        <v>11</v>
      </c>
      <c r="G22" s="8" t="s">
        <v>35</v>
      </c>
      <c r="H22" s="8" t="s">
        <v>10</v>
      </c>
      <c r="I22" t="str">
        <f t="shared" si="0"/>
        <v>SC NEUSIEDL AM SEE 1919</v>
      </c>
    </row>
    <row r="23" spans="1:10" s="17" customFormat="1" ht="14.25" customHeight="1" x14ac:dyDescent="0.3">
      <c r="A23" s="24">
        <v>34</v>
      </c>
      <c r="B23" s="20">
        <v>1</v>
      </c>
      <c r="C23" s="20" t="s">
        <v>19</v>
      </c>
      <c r="D23" s="21">
        <v>46109</v>
      </c>
      <c r="E23" s="22">
        <v>0.66666666666666663</v>
      </c>
      <c r="F23" s="20" t="s">
        <v>2</v>
      </c>
      <c r="G23" s="20" t="s">
        <v>37</v>
      </c>
      <c r="H23" s="20" t="s">
        <v>10</v>
      </c>
      <c r="I23" t="str">
        <f t="shared" si="0"/>
        <v>SV WULKAPRODERSDORF</v>
      </c>
    </row>
    <row r="24" spans="1:10" x14ac:dyDescent="0.3">
      <c r="A24" s="24">
        <v>37</v>
      </c>
      <c r="B24" s="20">
        <v>4</v>
      </c>
      <c r="C24" s="20" t="s">
        <v>19</v>
      </c>
      <c r="D24" s="21">
        <v>46137</v>
      </c>
      <c r="E24" s="22">
        <v>0.45833333333333331</v>
      </c>
      <c r="F24" s="20" t="s">
        <v>2</v>
      </c>
      <c r="G24" s="20" t="s">
        <v>23</v>
      </c>
      <c r="H24" s="20" t="s">
        <v>10</v>
      </c>
      <c r="I24" t="str">
        <f t="shared" si="0"/>
        <v>SPG LEITHA/STOTZING</v>
      </c>
      <c r="J24" s="23"/>
    </row>
    <row r="25" spans="1:10" x14ac:dyDescent="0.3">
      <c r="A25" s="24">
        <v>40</v>
      </c>
      <c r="B25" s="20">
        <v>7</v>
      </c>
      <c r="C25" s="20" t="s">
        <v>19</v>
      </c>
      <c r="D25" s="21">
        <v>46158</v>
      </c>
      <c r="E25" s="22">
        <v>0.625</v>
      </c>
      <c r="F25" s="20" t="s">
        <v>2</v>
      </c>
      <c r="G25" s="20" t="s">
        <v>38</v>
      </c>
      <c r="H25" s="20" t="s">
        <v>10</v>
      </c>
      <c r="I25" t="str">
        <f t="shared" si="0"/>
        <v>SK PAMA</v>
      </c>
      <c r="J25" s="23"/>
    </row>
    <row r="26" spans="1:10" x14ac:dyDescent="0.3">
      <c r="A26" s="24">
        <v>41</v>
      </c>
      <c r="B26" s="20">
        <v>8</v>
      </c>
      <c r="C26" s="20" t="s">
        <v>19</v>
      </c>
      <c r="D26" s="21">
        <v>46163</v>
      </c>
      <c r="E26" s="22">
        <v>0.79166666666666663</v>
      </c>
      <c r="F26" s="20" t="s">
        <v>2</v>
      </c>
      <c r="G26" s="20" t="s">
        <v>39</v>
      </c>
      <c r="H26" s="20" t="s">
        <v>10</v>
      </c>
      <c r="I26" t="str">
        <f t="shared" si="0"/>
        <v>SC KITTSEE</v>
      </c>
      <c r="J26" s="23"/>
    </row>
    <row r="27" spans="1:10" s="18" customFormat="1" x14ac:dyDescent="0.3">
      <c r="A27" s="10">
        <v>44</v>
      </c>
      <c r="B27" s="10">
        <v>1</v>
      </c>
      <c r="C27" s="10" t="s">
        <v>13</v>
      </c>
      <c r="D27" s="29">
        <v>46110</v>
      </c>
      <c r="E27" s="11">
        <v>0.45833333333333331</v>
      </c>
      <c r="F27" s="10" t="s">
        <v>2</v>
      </c>
      <c r="G27" s="10" t="s">
        <v>39</v>
      </c>
      <c r="H27" s="10" t="s">
        <v>10</v>
      </c>
      <c r="I27" t="str">
        <f t="shared" si="0"/>
        <v>SC KITTSEE</v>
      </c>
    </row>
    <row r="28" spans="1:10" x14ac:dyDescent="0.3">
      <c r="A28" s="10">
        <v>47</v>
      </c>
      <c r="B28" s="10">
        <v>4</v>
      </c>
      <c r="C28" s="10" t="s">
        <v>13</v>
      </c>
      <c r="D28" s="29">
        <v>46138</v>
      </c>
      <c r="E28" s="11">
        <v>0.45833333333333331</v>
      </c>
      <c r="F28" s="10" t="s">
        <v>2</v>
      </c>
      <c r="G28" s="10" t="s">
        <v>43</v>
      </c>
      <c r="H28" s="10" t="s">
        <v>10</v>
      </c>
      <c r="I28" t="str">
        <f t="shared" si="0"/>
        <v>SPG BREITENBRUNN/PURBACH/WINDEN</v>
      </c>
    </row>
    <row r="29" spans="1:10" x14ac:dyDescent="0.3">
      <c r="A29" s="10">
        <v>51</v>
      </c>
      <c r="B29" s="10">
        <v>8</v>
      </c>
      <c r="C29" s="10" t="s">
        <v>13</v>
      </c>
      <c r="D29" s="29">
        <v>46167</v>
      </c>
      <c r="E29" s="11">
        <v>0.66666666666666663</v>
      </c>
      <c r="F29" s="10" t="s">
        <v>2</v>
      </c>
      <c r="G29" s="10" t="s">
        <v>40</v>
      </c>
      <c r="H29" s="10" t="s">
        <v>10</v>
      </c>
      <c r="I29" t="str">
        <f t="shared" si="0"/>
        <v>SC EISENSTADT/RUST</v>
      </c>
    </row>
    <row r="30" spans="1:10" x14ac:dyDescent="0.3">
      <c r="A30" s="10">
        <v>53</v>
      </c>
      <c r="B30" s="10">
        <v>10</v>
      </c>
      <c r="C30" s="10" t="s">
        <v>13</v>
      </c>
      <c r="D30" s="29">
        <v>46180</v>
      </c>
      <c r="E30" s="11">
        <v>0.45833333333333331</v>
      </c>
      <c r="F30" s="10" t="s">
        <v>2</v>
      </c>
      <c r="G30" s="10" t="s">
        <v>23</v>
      </c>
      <c r="H30" s="10" t="s">
        <v>10</v>
      </c>
      <c r="I30" t="str">
        <f t="shared" si="0"/>
        <v>SPG LEITHA/STOTZING</v>
      </c>
    </row>
    <row r="31" spans="1:10" x14ac:dyDescent="0.3">
      <c r="A31" s="25">
        <v>55</v>
      </c>
      <c r="B31" s="25">
        <v>2</v>
      </c>
      <c r="C31" s="25" t="s">
        <v>26</v>
      </c>
      <c r="D31" s="30">
        <v>46123</v>
      </c>
      <c r="E31" s="26">
        <v>0.54166666666666663</v>
      </c>
      <c r="F31" s="25" t="s">
        <v>2</v>
      </c>
      <c r="G31" s="25" t="s">
        <v>41</v>
      </c>
      <c r="H31" s="25" t="s">
        <v>10</v>
      </c>
      <c r="I31" t="str">
        <f t="shared" si="0"/>
        <v>SPG WAHA ST. MARGARETHEN</v>
      </c>
    </row>
    <row r="32" spans="1:10" x14ac:dyDescent="0.3">
      <c r="A32" s="25">
        <v>57</v>
      </c>
      <c r="B32" s="25">
        <v>4</v>
      </c>
      <c r="C32" s="25" t="s">
        <v>26</v>
      </c>
      <c r="D32" s="30">
        <v>46135</v>
      </c>
      <c r="E32" s="26">
        <v>0.70833333333333337</v>
      </c>
      <c r="F32" s="25" t="s">
        <v>2</v>
      </c>
      <c r="G32" s="25" t="s">
        <v>42</v>
      </c>
      <c r="H32" s="25" t="s">
        <v>10</v>
      </c>
      <c r="I32" t="str">
        <f t="shared" si="0"/>
        <v>STOTZING</v>
      </c>
    </row>
    <row r="33" spans="1:9" x14ac:dyDescent="0.3">
      <c r="A33" s="25">
        <v>59</v>
      </c>
      <c r="B33" s="25">
        <v>6</v>
      </c>
      <c r="C33" s="25" t="s">
        <v>26</v>
      </c>
      <c r="D33" s="30">
        <v>46151</v>
      </c>
      <c r="E33" s="26">
        <v>0.41666666666666669</v>
      </c>
      <c r="F33" s="25" t="s">
        <v>2</v>
      </c>
      <c r="G33" s="25" t="s">
        <v>17</v>
      </c>
      <c r="H33" s="25" t="s">
        <v>10</v>
      </c>
      <c r="I33" t="str">
        <f t="shared" si="0"/>
        <v>STEINBRUNN</v>
      </c>
    </row>
    <row r="34" spans="1:9" x14ac:dyDescent="0.3">
      <c r="A34" s="25">
        <v>61</v>
      </c>
      <c r="B34" s="25">
        <v>8</v>
      </c>
      <c r="C34" s="25" t="s">
        <v>26</v>
      </c>
      <c r="D34" s="30">
        <v>46164</v>
      </c>
      <c r="E34" s="26">
        <v>0.70833333333333337</v>
      </c>
      <c r="F34" s="25" t="s">
        <v>2</v>
      </c>
      <c r="G34" s="25" t="s">
        <v>24</v>
      </c>
      <c r="H34" s="25" t="s">
        <v>10</v>
      </c>
      <c r="I34" t="str">
        <f t="shared" si="0"/>
        <v>SPG KLIMPUH</v>
      </c>
    </row>
    <row r="35" spans="1:9" x14ac:dyDescent="0.3">
      <c r="A35" s="12">
        <v>64</v>
      </c>
      <c r="B35" s="12">
        <v>1</v>
      </c>
      <c r="C35" s="12" t="s">
        <v>20</v>
      </c>
      <c r="D35" s="35">
        <v>46123</v>
      </c>
      <c r="E35" s="19">
        <v>0.39583333333333331</v>
      </c>
      <c r="F35" s="12" t="s">
        <v>2</v>
      </c>
      <c r="G35" s="12" t="s">
        <v>14</v>
      </c>
      <c r="H35" s="12" t="s">
        <v>10</v>
      </c>
      <c r="I35" t="s">
        <v>55</v>
      </c>
    </row>
    <row r="36" spans="1:9" x14ac:dyDescent="0.3">
      <c r="A36" s="31">
        <v>69</v>
      </c>
      <c r="B36" s="31">
        <v>1</v>
      </c>
      <c r="C36" s="31" t="s">
        <v>15</v>
      </c>
      <c r="D36" s="32">
        <v>46123</v>
      </c>
      <c r="E36" s="33">
        <v>0.39583333333333331</v>
      </c>
      <c r="F36" s="31" t="s">
        <v>2</v>
      </c>
      <c r="G36" s="31" t="s">
        <v>14</v>
      </c>
      <c r="H36" s="31" t="s">
        <v>10</v>
      </c>
      <c r="I36" t="s">
        <v>55</v>
      </c>
    </row>
    <row r="37" spans="1:9" x14ac:dyDescent="0.3">
      <c r="A37" s="41">
        <v>74</v>
      </c>
      <c r="B37" s="41">
        <v>1</v>
      </c>
      <c r="C37" s="41" t="s">
        <v>30</v>
      </c>
      <c r="D37" s="42">
        <v>46123</v>
      </c>
      <c r="E37" s="43">
        <v>0.39583333333333331</v>
      </c>
      <c r="F37" s="41" t="s">
        <v>2</v>
      </c>
      <c r="G37" s="41" t="s">
        <v>14</v>
      </c>
      <c r="H37" s="41" t="s">
        <v>10</v>
      </c>
      <c r="I37" t="s">
        <v>55</v>
      </c>
    </row>
    <row r="38" spans="1:9" x14ac:dyDescent="0.3">
      <c r="A38" s="37">
        <v>79</v>
      </c>
      <c r="B38" s="37">
        <v>1</v>
      </c>
      <c r="C38" s="37" t="s">
        <v>56</v>
      </c>
      <c r="D38" s="44">
        <v>46111</v>
      </c>
      <c r="E38" s="47">
        <v>0.375</v>
      </c>
      <c r="F38" s="38" t="s">
        <v>2</v>
      </c>
      <c r="G38" s="38" t="s">
        <v>25</v>
      </c>
      <c r="H38" s="38" t="s">
        <v>10</v>
      </c>
      <c r="I38" t="str">
        <f t="shared" si="0"/>
        <v>TECO 7 CAMP</v>
      </c>
    </row>
    <row r="39" spans="1:9" x14ac:dyDescent="0.3">
      <c r="A39" s="37">
        <v>80</v>
      </c>
      <c r="B39" s="37">
        <v>2</v>
      </c>
      <c r="C39" s="37" t="s">
        <v>56</v>
      </c>
      <c r="D39" s="44">
        <v>46112</v>
      </c>
      <c r="E39" s="47">
        <v>0.375</v>
      </c>
      <c r="F39" s="38" t="s">
        <v>2</v>
      </c>
      <c r="G39" s="38" t="s">
        <v>25</v>
      </c>
      <c r="H39" s="38" t="s">
        <v>10</v>
      </c>
      <c r="I39" t="str">
        <f t="shared" si="0"/>
        <v>TECO 7 CAMP</v>
      </c>
    </row>
    <row r="40" spans="1:9" x14ac:dyDescent="0.3">
      <c r="A40" s="37">
        <v>81</v>
      </c>
      <c r="B40" s="37">
        <v>3</v>
      </c>
      <c r="C40" s="37" t="s">
        <v>56</v>
      </c>
      <c r="D40" s="44">
        <v>46113</v>
      </c>
      <c r="E40" s="47">
        <v>0.375</v>
      </c>
      <c r="F40" s="38" t="s">
        <v>2</v>
      </c>
      <c r="G40" s="38" t="s">
        <v>25</v>
      </c>
      <c r="H40" s="38" t="s">
        <v>10</v>
      </c>
      <c r="I40" t="str">
        <f t="shared" si="0"/>
        <v>TECO 7 CAMP</v>
      </c>
    </row>
    <row r="41" spans="1:9" x14ac:dyDescent="0.3">
      <c r="A41" s="39">
        <v>82</v>
      </c>
      <c r="B41" s="39">
        <v>1</v>
      </c>
      <c r="C41" s="39" t="s">
        <v>58</v>
      </c>
      <c r="D41" s="45">
        <v>46186</v>
      </c>
      <c r="E41" s="48">
        <v>0.41666666666666669</v>
      </c>
      <c r="F41" s="40" t="s">
        <v>2</v>
      </c>
      <c r="G41" s="40" t="s">
        <v>28</v>
      </c>
      <c r="H41" s="40" t="s">
        <v>10</v>
      </c>
      <c r="I41" t="str">
        <f t="shared" si="0"/>
        <v>GGG - QUALIFIKATION</v>
      </c>
    </row>
    <row r="42" spans="1:9" x14ac:dyDescent="0.3">
      <c r="A42" s="39">
        <v>83</v>
      </c>
      <c r="B42" s="39">
        <v>2</v>
      </c>
      <c r="C42" s="39" t="s">
        <v>57</v>
      </c>
      <c r="D42" s="45">
        <v>46256</v>
      </c>
      <c r="E42" s="48">
        <v>0.375</v>
      </c>
      <c r="F42" s="40" t="s">
        <v>2</v>
      </c>
      <c r="G42" s="40" t="s">
        <v>29</v>
      </c>
      <c r="H42" s="40" t="s">
        <v>10</v>
      </c>
      <c r="I42" t="str">
        <f t="shared" si="0"/>
        <v>9. GGG</v>
      </c>
    </row>
  </sheetData>
  <autoFilter ref="A1:H42" xr:uid="{00000000-0009-0000-0000-000000000000}">
    <sortState xmlns:xlrd2="http://schemas.microsoft.com/office/spreadsheetml/2017/richdata2" ref="A2:H36">
      <sortCondition ref="A1:A36"/>
    </sortState>
  </autoFilter>
  <phoneticPr fontId="2" type="noConversion"/>
  <pageMargins left="0.25" right="0.25" top="0.75" bottom="0.75" header="0.3" footer="0.3"/>
  <pageSetup paperSize="9" scale="42" orientation="landscape" r:id="rId1"/>
  <rowBreaks count="2" manualBreakCount="2">
    <brk id="22" max="16383" man="1"/>
    <brk id="2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EA26-3DBC-4E60-A609-E8FEDD19B7F6}">
  <dimension ref="A1:F37"/>
  <sheetViews>
    <sheetView tabSelected="1" workbookViewId="0">
      <selection activeCell="C3" sqref="C3"/>
    </sheetView>
  </sheetViews>
  <sheetFormatPr baseColWidth="10" defaultRowHeight="14.4" x14ac:dyDescent="0.3"/>
  <cols>
    <col min="1" max="1" width="50.33203125" style="49" bestFit="1" customWidth="1"/>
    <col min="2" max="2" width="11.44140625" style="46"/>
    <col min="3" max="4" width="11.44140625" style="36"/>
    <col min="5" max="6" width="11.44140625" style="49"/>
  </cols>
  <sheetData>
    <row r="1" spans="1:6" x14ac:dyDescent="0.3">
      <c r="A1" s="49" t="s">
        <v>46</v>
      </c>
      <c r="B1" s="46" t="s">
        <v>47</v>
      </c>
      <c r="C1" s="36" t="s">
        <v>48</v>
      </c>
      <c r="D1" s="36" t="s">
        <v>49</v>
      </c>
      <c r="E1" s="49" t="s">
        <v>1</v>
      </c>
      <c r="F1" s="49" t="s">
        <v>50</v>
      </c>
    </row>
    <row r="2" spans="1:6" x14ac:dyDescent="0.3">
      <c r="A2" s="49" t="str">
        <f>"ASV NEUFELD -" &amp; 'Nach Mannschaften sortiert'!I2</f>
        <v>ASV NEUFELD -TADTEN</v>
      </c>
      <c r="B2" s="46">
        <f>'Nach Mannschaften sortiert'!D2</f>
        <v>46102</v>
      </c>
      <c r="C2" s="36">
        <v>0.66666666666666663</v>
      </c>
      <c r="D2" s="36">
        <f>C2+"1:45"</f>
        <v>0.73958333333333326</v>
      </c>
      <c r="E2" s="49" t="str">
        <f>'Nach Mannschaften sortiert'!F2</f>
        <v>Neufeld</v>
      </c>
      <c r="F2" s="49" t="str">
        <f>'Nach Mannschaften sortiert'!C2</f>
        <v>KM</v>
      </c>
    </row>
    <row r="3" spans="1:6" x14ac:dyDescent="0.3">
      <c r="A3" s="49" t="str">
        <f>"ASV NEUFELD -" &amp; 'Nach Mannschaften sortiert'!I3</f>
        <v>ASV NEUFELD -ILLMITZ</v>
      </c>
      <c r="B3" s="46">
        <f>'Nach Mannschaften sortiert'!D3</f>
        <v>46116</v>
      </c>
      <c r="C3" s="36">
        <f>'Nach Mannschaften sortiert'!E3</f>
        <v>0.70833333333333337</v>
      </c>
      <c r="D3" s="36">
        <f t="shared" ref="D3:D13" si="0">C3+"1:45"</f>
        <v>0.78125</v>
      </c>
      <c r="E3" s="49" t="str">
        <f>'Nach Mannschaften sortiert'!F3</f>
        <v>Neufeld</v>
      </c>
      <c r="F3" s="49" t="str">
        <f>'Nach Mannschaften sortiert'!C3</f>
        <v>KM</v>
      </c>
    </row>
    <row r="4" spans="1:6" x14ac:dyDescent="0.3">
      <c r="A4" s="49" t="str">
        <f>"ASV NEUFELD -" &amp; 'Nach Mannschaften sortiert'!I4</f>
        <v>ASV NEUFELD -STEINBRUNN</v>
      </c>
      <c r="B4" s="46">
        <f>'Nach Mannschaften sortiert'!D4</f>
        <v>46130</v>
      </c>
      <c r="C4" s="36">
        <f>'Nach Mannschaften sortiert'!E4</f>
        <v>0.72916666666666663</v>
      </c>
      <c r="D4" s="36">
        <f t="shared" si="0"/>
        <v>0.80208333333333326</v>
      </c>
      <c r="E4" s="49" t="str">
        <f>'Nach Mannschaften sortiert'!F4</f>
        <v>Neufeld</v>
      </c>
      <c r="F4" s="49" t="str">
        <f>'Nach Mannschaften sortiert'!C4</f>
        <v>KM</v>
      </c>
    </row>
    <row r="5" spans="1:6" x14ac:dyDescent="0.3">
      <c r="A5" s="49" t="str">
        <f>"ASV NEUFELD -" &amp; 'Nach Mannschaften sortiert'!I5</f>
        <v>ASV NEUFELD -HORNSTEIN</v>
      </c>
      <c r="B5" s="46">
        <f>'Nach Mannschaften sortiert'!D5</f>
        <v>46144</v>
      </c>
      <c r="C5" s="36">
        <f>'Nach Mannschaften sortiert'!E5</f>
        <v>0.75</v>
      </c>
      <c r="D5" s="36">
        <f t="shared" si="0"/>
        <v>0.82291666666666663</v>
      </c>
      <c r="E5" s="49" t="str">
        <f>'Nach Mannschaften sortiert'!F5</f>
        <v>Neufeld</v>
      </c>
      <c r="F5" s="49" t="str">
        <f>'Nach Mannschaften sortiert'!C5</f>
        <v>KM</v>
      </c>
    </row>
    <row r="6" spans="1:6" x14ac:dyDescent="0.3">
      <c r="A6" s="49" t="str">
        <f>"ASV NEUFELD -" &amp; 'Nach Mannschaften sortiert'!I6</f>
        <v>ASV NEUFELD -PAMA</v>
      </c>
      <c r="B6" s="46">
        <f>'Nach Mannschaften sortiert'!D6</f>
        <v>46157</v>
      </c>
      <c r="C6" s="36">
        <f>'Nach Mannschaften sortiert'!E6</f>
        <v>0.83333333333333337</v>
      </c>
      <c r="D6" s="36">
        <f t="shared" si="0"/>
        <v>0.90625</v>
      </c>
      <c r="E6" s="49" t="str">
        <f>'Nach Mannschaften sortiert'!F6</f>
        <v>Neufeld</v>
      </c>
      <c r="F6" s="49" t="str">
        <f>'Nach Mannschaften sortiert'!C6</f>
        <v>KM</v>
      </c>
    </row>
    <row r="7" spans="1:6" x14ac:dyDescent="0.3">
      <c r="A7" s="49" t="str">
        <f>"ASV NEUFELD -" &amp; 'Nach Mannschaften sortiert'!I7</f>
        <v>ASV NEUFELD -KITTSEE</v>
      </c>
      <c r="B7" s="46">
        <f>'Nach Mannschaften sortiert'!D7</f>
        <v>46179</v>
      </c>
      <c r="C7" s="36">
        <f>'Nach Mannschaften sortiert'!E7</f>
        <v>0.75</v>
      </c>
      <c r="D7" s="36">
        <f t="shared" si="0"/>
        <v>0.82291666666666663</v>
      </c>
      <c r="E7" s="49" t="str">
        <f>'Nach Mannschaften sortiert'!F7</f>
        <v>Neufeld</v>
      </c>
      <c r="F7" s="49" t="str">
        <f>'Nach Mannschaften sortiert'!C7</f>
        <v>KM</v>
      </c>
    </row>
    <row r="8" spans="1:6" x14ac:dyDescent="0.3">
      <c r="A8" s="49" t="str">
        <f>"ASV NEUFELD -" &amp; 'Nach Mannschaften sortiert'!I8</f>
        <v>ASV NEUFELD -TADTEN</v>
      </c>
      <c r="B8" s="46">
        <f>'Nach Mannschaften sortiert'!D8</f>
        <v>46102</v>
      </c>
      <c r="C8" s="36">
        <f>'Nach Mannschaften sortiert'!E8</f>
        <v>0.58333333333333337</v>
      </c>
      <c r="D8" s="36">
        <f t="shared" si="0"/>
        <v>0.65625</v>
      </c>
      <c r="E8" s="49" t="str">
        <f>'Nach Mannschaften sortiert'!F8</f>
        <v>Neufeld</v>
      </c>
      <c r="F8" s="49" t="str">
        <f>'Nach Mannschaften sortiert'!C8</f>
        <v>RESERVE</v>
      </c>
    </row>
    <row r="9" spans="1:6" x14ac:dyDescent="0.3">
      <c r="A9" s="49" t="str">
        <f>"ASV NEUFELD -" &amp; 'Nach Mannschaften sortiert'!I9</f>
        <v>ASV NEUFELD -ILLMITZ</v>
      </c>
      <c r="B9" s="46">
        <f>'Nach Mannschaften sortiert'!D9</f>
        <v>46116</v>
      </c>
      <c r="C9" s="36">
        <f>'Nach Mannschaften sortiert'!E9</f>
        <v>0.625</v>
      </c>
      <c r="D9" s="36">
        <f t="shared" si="0"/>
        <v>0.69791666666666663</v>
      </c>
      <c r="E9" s="49" t="str">
        <f>'Nach Mannschaften sortiert'!F9</f>
        <v>Neufeld</v>
      </c>
      <c r="F9" s="49" t="str">
        <f>'Nach Mannschaften sortiert'!C9</f>
        <v>RESERVE</v>
      </c>
    </row>
    <row r="10" spans="1:6" x14ac:dyDescent="0.3">
      <c r="A10" s="49" t="str">
        <f>"ASV NEUFELD -" &amp; 'Nach Mannschaften sortiert'!I10</f>
        <v>ASV NEUFELD -STEINBRUNN</v>
      </c>
      <c r="B10" s="46">
        <f>'Nach Mannschaften sortiert'!D10</f>
        <v>46130</v>
      </c>
      <c r="C10" s="36">
        <f>'Nach Mannschaften sortiert'!E10</f>
        <v>0.64583333333333337</v>
      </c>
      <c r="D10" s="36">
        <f t="shared" si="0"/>
        <v>0.71875</v>
      </c>
      <c r="E10" s="49" t="str">
        <f>'Nach Mannschaften sortiert'!F10</f>
        <v>Neufeld</v>
      </c>
      <c r="F10" s="49" t="str">
        <f>'Nach Mannschaften sortiert'!C10</f>
        <v>RESERVE</v>
      </c>
    </row>
    <row r="11" spans="1:6" x14ac:dyDescent="0.3">
      <c r="A11" s="49" t="str">
        <f>"ASV NEUFELD -" &amp; 'Nach Mannschaften sortiert'!I11</f>
        <v>ASV NEUFELD -HORNSTEIN</v>
      </c>
      <c r="B11" s="46">
        <f>'Nach Mannschaften sortiert'!D11</f>
        <v>46144</v>
      </c>
      <c r="C11" s="36">
        <f>'Nach Mannschaften sortiert'!E11</f>
        <v>0.66666666666666663</v>
      </c>
      <c r="D11" s="36">
        <f t="shared" si="0"/>
        <v>0.73958333333333326</v>
      </c>
      <c r="E11" s="49" t="str">
        <f>'Nach Mannschaften sortiert'!F11</f>
        <v>Neufeld</v>
      </c>
      <c r="F11" s="49" t="str">
        <f>'Nach Mannschaften sortiert'!C11</f>
        <v>RESERVE</v>
      </c>
    </row>
    <row r="12" spans="1:6" x14ac:dyDescent="0.3">
      <c r="A12" s="49" t="str">
        <f>"ASV NEUFELD -" &amp; 'Nach Mannschaften sortiert'!I12</f>
        <v>ASV NEUFELD -PAMA</v>
      </c>
      <c r="B12" s="46">
        <f>'Nach Mannschaften sortiert'!D12</f>
        <v>46157</v>
      </c>
      <c r="C12" s="36">
        <f>'Nach Mannschaften sortiert'!E12</f>
        <v>0.75</v>
      </c>
      <c r="D12" s="36">
        <f t="shared" si="0"/>
        <v>0.82291666666666663</v>
      </c>
      <c r="E12" s="49" t="str">
        <f>'Nach Mannschaften sortiert'!F12</f>
        <v>Neufeld</v>
      </c>
      <c r="F12" s="49" t="str">
        <f>'Nach Mannschaften sortiert'!C12</f>
        <v>RESERVE</v>
      </c>
    </row>
    <row r="13" spans="1:6" x14ac:dyDescent="0.3">
      <c r="A13" s="49" t="str">
        <f>"ASV NEUFELD -" &amp; 'Nach Mannschaften sortiert'!I13</f>
        <v>ASV NEUFELD -KITTSEE</v>
      </c>
      <c r="B13" s="46">
        <f>'Nach Mannschaften sortiert'!D13</f>
        <v>46179</v>
      </c>
      <c r="C13" s="36">
        <f>'Nach Mannschaften sortiert'!E13</f>
        <v>0.66666666666666663</v>
      </c>
      <c r="D13" s="36">
        <f t="shared" si="0"/>
        <v>0.73958333333333326</v>
      </c>
      <c r="E13" s="49" t="str">
        <f>'Nach Mannschaften sortiert'!F13</f>
        <v>Neufeld</v>
      </c>
      <c r="F13" s="49" t="str">
        <f>'Nach Mannschaften sortiert'!C13</f>
        <v>RESERVE</v>
      </c>
    </row>
    <row r="14" spans="1:6" x14ac:dyDescent="0.3">
      <c r="A14" s="49" t="str">
        <f>"ASV NEUFELD -" &amp; 'Nach Mannschaften sortiert'!I15</f>
        <v>ASV NEUFELD -SPG DER CLUB/KIRCHSCHLAG</v>
      </c>
      <c r="B14" s="46">
        <f>'Nach Mannschaften sortiert'!D15</f>
        <v>46138</v>
      </c>
      <c r="C14" s="36">
        <f>'Nach Mannschaften sortiert'!E15</f>
        <v>0.60416666666666663</v>
      </c>
      <c r="D14" s="36">
        <f t="shared" ref="D14:D15" si="1">C14+"1:40"</f>
        <v>0.67361111111111105</v>
      </c>
      <c r="E14" s="49" t="str">
        <f>'Nach Mannschaften sortiert'!F15</f>
        <v>Neufeld</v>
      </c>
      <c r="F14" s="49" t="str">
        <f>'Nach Mannschaften sortiert'!C15</f>
        <v>U16</v>
      </c>
    </row>
    <row r="15" spans="1:6" x14ac:dyDescent="0.3">
      <c r="A15" s="49" t="str">
        <f>"ASV NEUFELD -" &amp; 'Nach Mannschaften sortiert'!I18</f>
        <v>ASV NEUFELD -ST. GEORGEN/EISENSTADT</v>
      </c>
      <c r="B15" s="46">
        <f>'Nach Mannschaften sortiert'!D18</f>
        <v>46180</v>
      </c>
      <c r="C15" s="36">
        <f>'Nach Mannschaften sortiert'!E18</f>
        <v>0.70833333333333337</v>
      </c>
      <c r="D15" s="36">
        <f t="shared" si="1"/>
        <v>0.77777777777777779</v>
      </c>
      <c r="E15" s="49" t="str">
        <f>'Nach Mannschaften sortiert'!F18</f>
        <v>Neufeld</v>
      </c>
      <c r="F15" s="49" t="str">
        <f>'Nach Mannschaften sortiert'!C18</f>
        <v>U16</v>
      </c>
    </row>
    <row r="16" spans="1:6" x14ac:dyDescent="0.3">
      <c r="A16" s="49" t="str">
        <f>"ASV NEUFELD -" &amp; 'Nach Mannschaften sortiert'!I19</f>
        <v>ASV NEUFELD -SC/ESV PARNDORF 1919</v>
      </c>
      <c r="B16" s="46">
        <f>'Nach Mannschaften sortiert'!D19</f>
        <v>46124</v>
      </c>
      <c r="C16" s="36">
        <f>'Nach Mannschaften sortiert'!E19</f>
        <v>0.54166666666666663</v>
      </c>
      <c r="D16" s="36">
        <f>C16+"1:30"</f>
        <v>0.60416666666666663</v>
      </c>
      <c r="E16" s="49" t="str">
        <f>'Nach Mannschaften sortiert'!F19</f>
        <v>Neufeld</v>
      </c>
      <c r="F16" s="49" t="str">
        <f>'Nach Mannschaften sortiert'!C19</f>
        <v>U15</v>
      </c>
    </row>
    <row r="17" spans="1:6" x14ac:dyDescent="0.3">
      <c r="A17" s="49" t="str">
        <f>"ASV NEUFELD -" &amp; 'Nach Mannschaften sortiert'!I21</f>
        <v>ASV NEUFELD -SPG ROSALIA/MARZ</v>
      </c>
      <c r="B17" s="46">
        <f>'Nach Mannschaften sortiert'!D21</f>
        <v>46145</v>
      </c>
      <c r="C17" s="36">
        <f>'Nach Mannschaften sortiert'!E21</f>
        <v>0.4375</v>
      </c>
      <c r="D17" s="36">
        <f t="shared" ref="D17:D21" si="2">C17+"1:30"</f>
        <v>0.5</v>
      </c>
      <c r="E17" s="49" t="str">
        <f>'Nach Mannschaften sortiert'!F21</f>
        <v>Neufeld</v>
      </c>
      <c r="F17" s="49" t="str">
        <f>'Nach Mannschaften sortiert'!C21</f>
        <v>U15</v>
      </c>
    </row>
    <row r="18" spans="1:6" x14ac:dyDescent="0.3">
      <c r="A18" s="49" t="str">
        <f>"ASV NEUFELD -" &amp; 'Nach Mannschaften sortiert'!I23</f>
        <v>ASV NEUFELD -SV WULKAPRODERSDORF</v>
      </c>
      <c r="B18" s="46">
        <f>'Nach Mannschaften sortiert'!D23</f>
        <v>46109</v>
      </c>
      <c r="C18" s="36">
        <f>'Nach Mannschaften sortiert'!E23</f>
        <v>0.66666666666666663</v>
      </c>
      <c r="D18" s="36">
        <f>C18+"1:30"</f>
        <v>0.72916666666666663</v>
      </c>
      <c r="E18" s="49" t="str">
        <f>'Nach Mannschaften sortiert'!F23</f>
        <v>Neufeld</v>
      </c>
      <c r="F18" s="49" t="str">
        <f>'Nach Mannschaften sortiert'!C23</f>
        <v>U14</v>
      </c>
    </row>
    <row r="19" spans="1:6" x14ac:dyDescent="0.3">
      <c r="A19" s="49" t="str">
        <f>"ASV NEUFELD -" &amp; 'Nach Mannschaften sortiert'!I24</f>
        <v>ASV NEUFELD -SPG LEITHA/STOTZING</v>
      </c>
      <c r="B19" s="46">
        <f>'Nach Mannschaften sortiert'!D24</f>
        <v>46137</v>
      </c>
      <c r="C19" s="36">
        <f>'Nach Mannschaften sortiert'!E24</f>
        <v>0.45833333333333331</v>
      </c>
      <c r="D19" s="36">
        <f t="shared" si="2"/>
        <v>0.52083333333333326</v>
      </c>
      <c r="E19" s="49" t="str">
        <f>'Nach Mannschaften sortiert'!F24</f>
        <v>Neufeld</v>
      </c>
      <c r="F19" s="49" t="str">
        <f>'Nach Mannschaften sortiert'!C24</f>
        <v>U14</v>
      </c>
    </row>
    <row r="20" spans="1:6" x14ac:dyDescent="0.3">
      <c r="A20" s="49" t="str">
        <f>"ASV NEUFELD -" &amp; 'Nach Mannschaften sortiert'!I25</f>
        <v>ASV NEUFELD -SK PAMA</v>
      </c>
      <c r="B20" s="46">
        <f>'Nach Mannschaften sortiert'!D25</f>
        <v>46158</v>
      </c>
      <c r="C20" s="36">
        <f>'Nach Mannschaften sortiert'!E25</f>
        <v>0.625</v>
      </c>
      <c r="D20" s="36">
        <f t="shared" si="2"/>
        <v>0.6875</v>
      </c>
      <c r="E20" s="49" t="str">
        <f>'Nach Mannschaften sortiert'!F25</f>
        <v>Neufeld</v>
      </c>
      <c r="F20" s="49" t="str">
        <f>'Nach Mannschaften sortiert'!C25</f>
        <v>U14</v>
      </c>
    </row>
    <row r="21" spans="1:6" x14ac:dyDescent="0.3">
      <c r="A21" s="49" t="str">
        <f>"ASV NEUFELD -" &amp; 'Nach Mannschaften sortiert'!I26</f>
        <v>ASV NEUFELD -SC KITTSEE</v>
      </c>
      <c r="B21" s="46">
        <f>'Nach Mannschaften sortiert'!D26</f>
        <v>46163</v>
      </c>
      <c r="C21" s="36">
        <f>'Nach Mannschaften sortiert'!E26</f>
        <v>0.79166666666666663</v>
      </c>
      <c r="D21" s="36">
        <f t="shared" si="2"/>
        <v>0.85416666666666663</v>
      </c>
      <c r="E21" s="49" t="str">
        <f>'Nach Mannschaften sortiert'!F26</f>
        <v>Neufeld</v>
      </c>
      <c r="F21" s="49" t="str">
        <f>'Nach Mannschaften sortiert'!C26</f>
        <v>U14</v>
      </c>
    </row>
    <row r="22" spans="1:6" x14ac:dyDescent="0.3">
      <c r="A22" s="49" t="str">
        <f>"ASV NEUFELD -" &amp; 'Nach Mannschaften sortiert'!I27</f>
        <v>ASV NEUFELD -SC KITTSEE</v>
      </c>
      <c r="B22" s="46">
        <f>'Nach Mannschaften sortiert'!D27</f>
        <v>46110</v>
      </c>
      <c r="C22" s="36">
        <f>'Nach Mannschaften sortiert'!E27</f>
        <v>0.45833333333333331</v>
      </c>
      <c r="D22" s="36">
        <f>C22+"1:35"</f>
        <v>0.52430555555555558</v>
      </c>
      <c r="E22" s="49" t="str">
        <f>'Nach Mannschaften sortiert'!F27</f>
        <v>Neufeld</v>
      </c>
      <c r="F22" s="49" t="str">
        <f>'Nach Mannschaften sortiert'!C27</f>
        <v>U13</v>
      </c>
    </row>
    <row r="23" spans="1:6" x14ac:dyDescent="0.3">
      <c r="A23" s="49" t="str">
        <f>"ASV NEUFELD -" &amp; 'Nach Mannschaften sortiert'!I28</f>
        <v>ASV NEUFELD -SPG BREITENBRUNN/PURBACH/WINDEN</v>
      </c>
      <c r="B23" s="46">
        <f>'Nach Mannschaften sortiert'!D28</f>
        <v>46138</v>
      </c>
      <c r="C23" s="36">
        <f>'Nach Mannschaften sortiert'!E28</f>
        <v>0.45833333333333331</v>
      </c>
      <c r="D23" s="36">
        <f t="shared" ref="D23:D25" si="3">C23+"1:35"</f>
        <v>0.52430555555555558</v>
      </c>
      <c r="E23" s="49" t="str">
        <f>'Nach Mannschaften sortiert'!F28</f>
        <v>Neufeld</v>
      </c>
      <c r="F23" s="49" t="str">
        <f>'Nach Mannschaften sortiert'!C28</f>
        <v>U13</v>
      </c>
    </row>
    <row r="24" spans="1:6" x14ac:dyDescent="0.3">
      <c r="A24" s="49" t="str">
        <f>"ASV NEUFELD -" &amp; 'Nach Mannschaften sortiert'!I29</f>
        <v>ASV NEUFELD -SC EISENSTADT/RUST</v>
      </c>
      <c r="B24" s="46">
        <f>'Nach Mannschaften sortiert'!D29</f>
        <v>46167</v>
      </c>
      <c r="C24" s="36">
        <f>'Nach Mannschaften sortiert'!E29</f>
        <v>0.66666666666666663</v>
      </c>
      <c r="D24" s="36">
        <f t="shared" si="3"/>
        <v>0.73263888888888884</v>
      </c>
      <c r="E24" s="49" t="str">
        <f>'Nach Mannschaften sortiert'!F29</f>
        <v>Neufeld</v>
      </c>
      <c r="F24" s="49" t="str">
        <f>'Nach Mannschaften sortiert'!C29</f>
        <v>U13</v>
      </c>
    </row>
    <row r="25" spans="1:6" x14ac:dyDescent="0.3">
      <c r="A25" s="49" t="str">
        <f>"ASV NEUFELD -" &amp; 'Nach Mannschaften sortiert'!I30</f>
        <v>ASV NEUFELD -SPG LEITHA/STOTZING</v>
      </c>
      <c r="B25" s="46">
        <f>'Nach Mannschaften sortiert'!D30</f>
        <v>46180</v>
      </c>
      <c r="C25" s="36">
        <f>'Nach Mannschaften sortiert'!E30</f>
        <v>0.45833333333333331</v>
      </c>
      <c r="D25" s="36">
        <f t="shared" si="3"/>
        <v>0.52430555555555558</v>
      </c>
      <c r="E25" s="49" t="str">
        <f>'Nach Mannschaften sortiert'!F30</f>
        <v>Neufeld</v>
      </c>
      <c r="F25" s="49" t="str">
        <f>'Nach Mannschaften sortiert'!C30</f>
        <v>U13</v>
      </c>
    </row>
    <row r="26" spans="1:6" x14ac:dyDescent="0.3">
      <c r="A26" s="49" t="str">
        <f>"ASV NEUFELD -" &amp; 'Nach Mannschaften sortiert'!I31</f>
        <v>ASV NEUFELD -SPG WAHA ST. MARGARETHEN</v>
      </c>
      <c r="B26" s="46">
        <f>'Nach Mannschaften sortiert'!D31</f>
        <v>46123</v>
      </c>
      <c r="C26" s="36">
        <f>'Nach Mannschaften sortiert'!E31</f>
        <v>0.54166666666666663</v>
      </c>
      <c r="D26" s="36">
        <f>C26+"1:10"</f>
        <v>0.59027777777777779</v>
      </c>
      <c r="E26" s="49" t="str">
        <f>'Nach Mannschaften sortiert'!F31</f>
        <v>Neufeld</v>
      </c>
      <c r="F26" s="49" t="str">
        <f>'Nach Mannschaften sortiert'!C31</f>
        <v>U11</v>
      </c>
    </row>
    <row r="27" spans="1:6" x14ac:dyDescent="0.3">
      <c r="A27" s="49" t="str">
        <f>"ASV NEUFELD -" &amp; 'Nach Mannschaften sortiert'!I32</f>
        <v>ASV NEUFELD -STOTZING</v>
      </c>
      <c r="B27" s="46">
        <f>'Nach Mannschaften sortiert'!D32</f>
        <v>46135</v>
      </c>
      <c r="C27" s="36">
        <f>'Nach Mannschaften sortiert'!E32</f>
        <v>0.70833333333333337</v>
      </c>
      <c r="D27" s="36">
        <f t="shared" ref="D27:D29" si="4">C27+"1:10"</f>
        <v>0.75694444444444453</v>
      </c>
      <c r="E27" s="49" t="str">
        <f>'Nach Mannschaften sortiert'!F32</f>
        <v>Neufeld</v>
      </c>
      <c r="F27" s="49" t="str">
        <f>'Nach Mannschaften sortiert'!C32</f>
        <v>U11</v>
      </c>
    </row>
    <row r="28" spans="1:6" x14ac:dyDescent="0.3">
      <c r="A28" s="49" t="str">
        <f>"ASV NEUFELD -" &amp; 'Nach Mannschaften sortiert'!I33</f>
        <v>ASV NEUFELD -STEINBRUNN</v>
      </c>
      <c r="B28" s="46">
        <f>'Nach Mannschaften sortiert'!D33</f>
        <v>46151</v>
      </c>
      <c r="C28" s="36">
        <f>'Nach Mannschaften sortiert'!E33</f>
        <v>0.41666666666666669</v>
      </c>
      <c r="D28" s="36">
        <f t="shared" si="4"/>
        <v>0.46527777777777779</v>
      </c>
      <c r="E28" s="49" t="str">
        <f>'Nach Mannschaften sortiert'!F33</f>
        <v>Neufeld</v>
      </c>
      <c r="F28" s="49" t="str">
        <f>'Nach Mannschaften sortiert'!C33</f>
        <v>U11</v>
      </c>
    </row>
    <row r="29" spans="1:6" x14ac:dyDescent="0.3">
      <c r="A29" s="49" t="str">
        <f>"ASV NEUFELD -" &amp; 'Nach Mannschaften sortiert'!I34</f>
        <v>ASV NEUFELD -SPG KLIMPUH</v>
      </c>
      <c r="B29" s="46">
        <f>'Nach Mannschaften sortiert'!D34</f>
        <v>46164</v>
      </c>
      <c r="C29" s="36">
        <f>'Nach Mannschaften sortiert'!E34</f>
        <v>0.70833333333333337</v>
      </c>
      <c r="D29" s="36">
        <f t="shared" si="4"/>
        <v>0.75694444444444453</v>
      </c>
      <c r="E29" s="49" t="str">
        <f>'Nach Mannschaften sortiert'!F34</f>
        <v>Neufeld</v>
      </c>
      <c r="F29" s="49" t="str">
        <f>'Nach Mannschaften sortiert'!C34</f>
        <v>U11</v>
      </c>
    </row>
    <row r="30" spans="1:6" x14ac:dyDescent="0.3">
      <c r="A30" s="49" t="str">
        <f>"ASV NEUFELD -" &amp; 'Nach Mannschaften sortiert'!I35</f>
        <v>ASV NEUFELD -VIELE</v>
      </c>
      <c r="B30" s="46">
        <f>'Nach Mannschaften sortiert'!D35</f>
        <v>46123</v>
      </c>
      <c r="C30" s="36">
        <f>'Nach Mannschaften sortiert'!E35</f>
        <v>0.39583333333333331</v>
      </c>
      <c r="D30" s="36">
        <v>0.52083333333333337</v>
      </c>
      <c r="E30" s="49" t="str">
        <f>'Nach Mannschaften sortiert'!F35</f>
        <v>Neufeld</v>
      </c>
      <c r="F30" s="49" t="str">
        <f>'Nach Mannschaften sortiert'!C35</f>
        <v>U9</v>
      </c>
    </row>
    <row r="31" spans="1:6" x14ac:dyDescent="0.3">
      <c r="A31" s="49" t="str">
        <f>"ASV NEUFELD -" &amp; 'Nach Mannschaften sortiert'!I36</f>
        <v>ASV NEUFELD -VIELE</v>
      </c>
      <c r="B31" s="46">
        <f>'Nach Mannschaften sortiert'!D36</f>
        <v>46123</v>
      </c>
      <c r="C31" s="36">
        <f>'Nach Mannschaften sortiert'!E36</f>
        <v>0.39583333333333331</v>
      </c>
      <c r="D31" s="36">
        <v>0.52083333333333337</v>
      </c>
      <c r="E31" s="49" t="str">
        <f>'Nach Mannschaften sortiert'!F36</f>
        <v>Neufeld</v>
      </c>
      <c r="F31" s="49" t="str">
        <f>'Nach Mannschaften sortiert'!C36</f>
        <v>U8</v>
      </c>
    </row>
    <row r="32" spans="1:6" x14ac:dyDescent="0.3">
      <c r="A32" s="49" t="str">
        <f>"ASV NEUFELD -" &amp; 'Nach Mannschaften sortiert'!I37</f>
        <v>ASV NEUFELD -VIELE</v>
      </c>
      <c r="B32" s="46">
        <f>'Nach Mannschaften sortiert'!D37</f>
        <v>46123</v>
      </c>
      <c r="C32" s="36">
        <f>'Nach Mannschaften sortiert'!E37</f>
        <v>0.39583333333333331</v>
      </c>
      <c r="D32" s="36">
        <v>0.52083333333333337</v>
      </c>
      <c r="E32" s="49" t="str">
        <f>'Nach Mannschaften sortiert'!F37</f>
        <v>Neufeld</v>
      </c>
      <c r="F32" s="49" t="str">
        <f>'Nach Mannschaften sortiert'!C37</f>
        <v>U7</v>
      </c>
    </row>
    <row r="33" spans="1:6" x14ac:dyDescent="0.3">
      <c r="A33" s="49" t="str">
        <f>"ASV NEUFELD -" &amp; 'Nach Mannschaften sortiert'!I38</f>
        <v>ASV NEUFELD -TECO 7 CAMP</v>
      </c>
      <c r="B33" s="46">
        <f>'Nach Mannschaften sortiert'!D38</f>
        <v>46111</v>
      </c>
      <c r="C33" s="36">
        <f>'Nach Mannschaften sortiert'!E38</f>
        <v>0.375</v>
      </c>
      <c r="D33" s="36">
        <v>0.66666666666666663</v>
      </c>
      <c r="E33" s="49" t="str">
        <f>'Nach Mannschaften sortiert'!F38</f>
        <v>Neufeld</v>
      </c>
      <c r="F33" s="49" t="str">
        <f>'Nach Mannschaften sortiert'!C38</f>
        <v>Nachwuchscamp</v>
      </c>
    </row>
    <row r="34" spans="1:6" x14ac:dyDescent="0.3">
      <c r="A34" s="49" t="str">
        <f>"ASV NEUFELD -" &amp; 'Nach Mannschaften sortiert'!I39</f>
        <v>ASV NEUFELD -TECO 7 CAMP</v>
      </c>
      <c r="B34" s="46">
        <f>'Nach Mannschaften sortiert'!D39</f>
        <v>46112</v>
      </c>
      <c r="C34" s="36">
        <f>'Nach Mannschaften sortiert'!E39</f>
        <v>0.375</v>
      </c>
      <c r="D34" s="36">
        <v>0.66666666666666663</v>
      </c>
      <c r="E34" s="49" t="str">
        <f>'Nach Mannschaften sortiert'!F39</f>
        <v>Neufeld</v>
      </c>
      <c r="F34" s="49" t="str">
        <f>'Nach Mannschaften sortiert'!C39</f>
        <v>Nachwuchscamp</v>
      </c>
    </row>
    <row r="35" spans="1:6" x14ac:dyDescent="0.3">
      <c r="A35" s="49" t="str">
        <f>"ASV NEUFELD -" &amp; 'Nach Mannschaften sortiert'!I40</f>
        <v>ASV NEUFELD -TECO 7 CAMP</v>
      </c>
      <c r="B35" s="46">
        <f>'Nach Mannschaften sortiert'!D40</f>
        <v>46113</v>
      </c>
      <c r="C35" s="36">
        <f>'Nach Mannschaften sortiert'!E40</f>
        <v>0.375</v>
      </c>
      <c r="D35" s="36">
        <v>0.66666666666666663</v>
      </c>
      <c r="E35" s="49" t="str">
        <f>'Nach Mannschaften sortiert'!F40</f>
        <v>Neufeld</v>
      </c>
      <c r="F35" s="49" t="str">
        <f>'Nach Mannschaften sortiert'!C40</f>
        <v>Nachwuchscamp</v>
      </c>
    </row>
    <row r="36" spans="1:6" x14ac:dyDescent="0.3">
      <c r="A36" s="49" t="str">
        <f>"ASV NEUFELD -" &amp; 'Nach Mannschaften sortiert'!I41</f>
        <v>ASV NEUFELD -GGG - QUALIFIKATION</v>
      </c>
      <c r="B36" s="46">
        <f>'Nach Mannschaften sortiert'!D41</f>
        <v>46186</v>
      </c>
      <c r="C36" s="36">
        <f>'Nach Mannschaften sortiert'!E41</f>
        <v>0.41666666666666669</v>
      </c>
      <c r="D36" s="36">
        <v>0.66666666666666663</v>
      </c>
      <c r="E36" s="49" t="str">
        <f>'Nach Mannschaften sortiert'!F41</f>
        <v>Neufeld</v>
      </c>
      <c r="F36" s="49" t="str">
        <f>'Nach Mannschaften sortiert'!C41</f>
        <v>U9-Turnier</v>
      </c>
    </row>
    <row r="37" spans="1:6" x14ac:dyDescent="0.3">
      <c r="A37" s="49" t="str">
        <f>"ASV NEUFELD -" &amp; 'Nach Mannschaften sortiert'!I42</f>
        <v>ASV NEUFELD -9. GGG</v>
      </c>
      <c r="B37" s="46">
        <f>'Nach Mannschaften sortiert'!D42</f>
        <v>46256</v>
      </c>
      <c r="C37" s="36">
        <f>'Nach Mannschaften sortiert'!E42</f>
        <v>0.375</v>
      </c>
      <c r="D37" s="36">
        <v>0.75</v>
      </c>
      <c r="E37" s="49" t="str">
        <f>'Nach Mannschaften sortiert'!F42</f>
        <v>Neufeld</v>
      </c>
      <c r="F37" s="49" t="str">
        <f>'Nach Mannschaften sortiert'!C42</f>
        <v>U10-Turnier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293C-A1E0-4DC6-BEBB-D0F5058BC12D}">
  <dimension ref="A1:A25"/>
  <sheetViews>
    <sheetView workbookViewId="0">
      <selection sqref="A1:A25"/>
    </sheetView>
  </sheetViews>
  <sheetFormatPr baseColWidth="10" defaultRowHeight="14.4" x14ac:dyDescent="0.3"/>
  <sheetData>
    <row r="1" spans="1:1" x14ac:dyDescent="0.3">
      <c r="A1" t="s">
        <v>59</v>
      </c>
    </row>
    <row r="2" spans="1:1" x14ac:dyDescent="0.3">
      <c r="A2" t="s">
        <v>60</v>
      </c>
    </row>
    <row r="3" spans="1:1" x14ac:dyDescent="0.3">
      <c r="A3" t="s">
        <v>61</v>
      </c>
    </row>
    <row r="5" spans="1:1" x14ac:dyDescent="0.3">
      <c r="A5" t="s">
        <v>62</v>
      </c>
    </row>
    <row r="6" spans="1:1" x14ac:dyDescent="0.3">
      <c r="A6" t="s">
        <v>77</v>
      </c>
    </row>
    <row r="8" spans="1:1" x14ac:dyDescent="0.3">
      <c r="A8" t="s">
        <v>63</v>
      </c>
    </row>
    <row r="10" spans="1:1" x14ac:dyDescent="0.3">
      <c r="A10" t="s">
        <v>64</v>
      </c>
    </row>
    <row r="11" spans="1:1" x14ac:dyDescent="0.3">
      <c r="A11" t="s">
        <v>65</v>
      </c>
    </row>
    <row r="12" spans="1:1" x14ac:dyDescent="0.3">
      <c r="A12" t="s">
        <v>66</v>
      </c>
    </row>
    <row r="13" spans="1:1" x14ac:dyDescent="0.3">
      <c r="A13" t="s">
        <v>67</v>
      </c>
    </row>
    <row r="14" spans="1:1" x14ac:dyDescent="0.3">
      <c r="A14" t="s">
        <v>68</v>
      </c>
    </row>
    <row r="15" spans="1:1" x14ac:dyDescent="0.3">
      <c r="A15" t="s">
        <v>69</v>
      </c>
    </row>
    <row r="16" spans="1:1" x14ac:dyDescent="0.3">
      <c r="A16" t="s">
        <v>67</v>
      </c>
    </row>
    <row r="17" spans="1:1" x14ac:dyDescent="0.3">
      <c r="A17" t="s">
        <v>70</v>
      </c>
    </row>
    <row r="18" spans="1:1" x14ac:dyDescent="0.3">
      <c r="A18" t="s">
        <v>71</v>
      </c>
    </row>
    <row r="19" spans="1:1" x14ac:dyDescent="0.3">
      <c r="A19" t="s">
        <v>72</v>
      </c>
    </row>
    <row r="20" spans="1:1" x14ac:dyDescent="0.3">
      <c r="A20" t="s">
        <v>73</v>
      </c>
    </row>
    <row r="21" spans="1:1" x14ac:dyDescent="0.3">
      <c r="A21" t="s">
        <v>67</v>
      </c>
    </row>
    <row r="22" spans="1:1" x14ac:dyDescent="0.3">
      <c r="A22" t="s">
        <v>74</v>
      </c>
    </row>
    <row r="24" spans="1:1" x14ac:dyDescent="0.3">
      <c r="A24" t="s">
        <v>75</v>
      </c>
    </row>
    <row r="25" spans="1:1" x14ac:dyDescent="0.3">
      <c r="A25" t="s">
        <v>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Nach Mannschaften sortiert</vt:lpstr>
      <vt:lpstr>ICS</vt:lpstr>
      <vt:lpstr>Tabelle1</vt:lpstr>
    </vt:vector>
  </TitlesOfParts>
  <Company>BRZ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2026-03-25T14:44:09Z</dcterms:modified>
</cp:coreProperties>
</file>
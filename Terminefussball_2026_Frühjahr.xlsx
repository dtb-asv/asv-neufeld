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4752F430-6655-4FC0-946F-0EDD8E6EDB1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C15" i="21"/>
  <c r="D15" i="21"/>
  <c r="E15" i="21"/>
  <c r="G15" i="21"/>
  <c r="H15" i="21"/>
  <c r="I15" i="21"/>
  <c r="B16" i="21"/>
  <c r="C16" i="21"/>
  <c r="D16" i="21"/>
  <c r="E16" i="21"/>
  <c r="G16" i="21"/>
  <c r="H16" i="21"/>
  <c r="I16" i="21"/>
  <c r="B17" i="21"/>
  <c r="C17" i="21"/>
  <c r="E17" i="21"/>
  <c r="G17" i="21"/>
  <c r="H17" i="21"/>
  <c r="I17" i="21"/>
  <c r="D17" i="21" s="1"/>
  <c r="B18" i="21"/>
  <c r="C18" i="21"/>
  <c r="D18" i="21"/>
  <c r="E18" i="21"/>
  <c r="G18" i="21"/>
  <c r="H18" i="21"/>
  <c r="I18" i="21"/>
  <c r="B19" i="21"/>
  <c r="C19" i="21"/>
  <c r="E19" i="21"/>
  <c r="G19" i="21"/>
  <c r="H19" i="21"/>
  <c r="I19" i="21"/>
  <c r="D19" i="21" s="1"/>
  <c r="B20" i="21"/>
  <c r="C20" i="21"/>
  <c r="E20" i="21"/>
  <c r="G20" i="21"/>
  <c r="H20" i="21"/>
  <c r="I20" i="21"/>
  <c r="D20" i="21" s="1"/>
  <c r="B21" i="21"/>
  <c r="C21" i="21"/>
  <c r="D21" i="21"/>
  <c r="E21" i="21"/>
  <c r="G21" i="21"/>
  <c r="H21" i="21"/>
  <c r="I21" i="21"/>
  <c r="B22" i="21"/>
  <c r="C22" i="21"/>
  <c r="D22" i="21"/>
  <c r="E22" i="21"/>
  <c r="G22" i="21"/>
  <c r="H22" i="21"/>
  <c r="I22" i="21"/>
  <c r="B23" i="21"/>
  <c r="C23" i="21"/>
  <c r="E23" i="21"/>
  <c r="G23" i="21"/>
  <c r="H23" i="21"/>
  <c r="I23" i="21"/>
  <c r="D23" i="21" s="1"/>
  <c r="B24" i="21"/>
  <c r="C24" i="21"/>
  <c r="E24" i="21"/>
  <c r="G24" i="21"/>
  <c r="H24" i="21"/>
  <c r="I24" i="21"/>
  <c r="D24" i="21" s="1"/>
  <c r="B25" i="21"/>
  <c r="C25" i="21"/>
  <c r="D25" i="21" s="1"/>
  <c r="E25" i="21"/>
  <c r="G25" i="21"/>
  <c r="H25" i="21"/>
  <c r="I25" i="21"/>
  <c r="B26" i="21"/>
  <c r="C26" i="21"/>
  <c r="E26" i="21"/>
  <c r="G26" i="21"/>
  <c r="H26" i="21"/>
  <c r="I26" i="21"/>
  <c r="D26" i="21" s="1"/>
  <c r="B27" i="21"/>
  <c r="C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<sst xmlns="http://schemas.openxmlformats.org/spreadsheetml/2006/main" count="553" uniqueCount="144">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</sst>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5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I89"/>
  <sheetViews>
    <sheetView tabSelected="1" topLeftCell="A62" workbookViewId="0">
      <selection activeCell="D89" sqref="D89"/>
    </sheetView>
  </sheetViews>
  <sheetFormatPr baseColWidth="10" defaultRowHeight="14.4" x14ac:dyDescent="0.3"/>
  <cols>
    <col min="2" max="2" width="11.44140625" style="105"/>
    <col min="3" max="3" width="11.44140625" style="39"/>
    <col min="4" max="4" width="8.33203125" style="39" bestFit="1" customWidth="1"/>
    <col min="5" max="5" width="11.44140625" style="39"/>
    <col min="6" max="6" width="14.44140625" bestFit="1" customWidth="1"/>
  </cols>
  <sheetData>
    <row r="1" spans="1:9" x14ac:dyDescent="0.3">
      <c r="A1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t="s">
        <v>141</v>
      </c>
      <c r="G1" t="s">
        <v>135</v>
      </c>
      <c r="H1" t="s">
        <v>136</v>
      </c>
      <c r="I1" t="s">
        <v>140</v>
      </c>
    </row>
    <row r="2" spans="1:9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</row>
    <row r="3" spans="1:9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</row>
    <row r="4" spans="1:9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</row>
    <row r="5" spans="1:9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</row>
    <row r="6" spans="1:9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</row>
    <row r="7" spans="1:9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</row>
    <row r="8" spans="1:9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</row>
    <row r="9" spans="1:9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</row>
    <row r="10" spans="1:9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</row>
    <row r="11" spans="1:9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</row>
    <row r="12" spans="1:9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</row>
    <row r="13" spans="1:9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</row>
    <row r="14" spans="1:9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</row>
    <row r="15" spans="1:9" x14ac:dyDescent="0.3">
      <c r="B15" s="105">
        <f>'Nach Mannschaften sortiert'!D15</f>
        <v>46096</v>
      </c>
      <c r="C15" s="39">
        <f>'Nach Mannschaften sortiert'!E15</f>
        <v>0.64583333333333337</v>
      </c>
      <c r="D15" s="39">
        <f t="shared" si="0"/>
        <v>0.71875</v>
      </c>
      <c r="E15" s="39" t="str">
        <f>UPPER('Nach Mannschaften sortiert'!F15)</f>
        <v>RUST</v>
      </c>
      <c r="G15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</row>
    <row r="16" spans="1:9" x14ac:dyDescent="0.3">
      <c r="B16" s="105">
        <f>'Nach Mannschaften sortiert'!D16</f>
        <v>46102</v>
      </c>
      <c r="C16" s="39">
        <f>'Nach Mannschaften sortiert'!E16</f>
        <v>0.66666666666666663</v>
      </c>
      <c r="D16" s="39">
        <f t="shared" si="0"/>
        <v>0.73958333333333326</v>
      </c>
      <c r="E16" s="39" t="str">
        <f>UPPER('Nach Mannschaften sortiert'!F16)</f>
        <v>NEUFELD</v>
      </c>
      <c r="G16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</row>
    <row r="17" spans="2:9" x14ac:dyDescent="0.3">
      <c r="B17" s="105">
        <f>'Nach Mannschaften sortiert'!D17</f>
        <v>46109</v>
      </c>
      <c r="C17" s="39">
        <f>'Nach Mannschaften sortiert'!E17</f>
        <v>0.64583333333333337</v>
      </c>
      <c r="D17" s="39">
        <f t="shared" si="0"/>
        <v>0.71875</v>
      </c>
      <c r="E17" s="39" t="str">
        <f>UPPER('Nach Mannschaften sortiert'!F17)</f>
        <v>GATTENDORF</v>
      </c>
      <c r="G17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</row>
    <row r="18" spans="2:9" x14ac:dyDescent="0.3">
      <c r="B18" s="105">
        <f>'Nach Mannschaften sortiert'!D18</f>
        <v>46116</v>
      </c>
      <c r="C18" s="39">
        <f>'Nach Mannschaften sortiert'!E18</f>
        <v>0.70833333333333337</v>
      </c>
      <c r="D18" s="39">
        <f t="shared" si="0"/>
        <v>0.78125</v>
      </c>
      <c r="E18" s="39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</row>
    <row r="19" spans="2:9" x14ac:dyDescent="0.3">
      <c r="B19" s="105">
        <f>'Nach Mannschaften sortiert'!D19</f>
        <v>46124</v>
      </c>
      <c r="C19" s="39">
        <f>'Nach Mannschaften sortiert'!E19</f>
        <v>0.66666666666666663</v>
      </c>
      <c r="D19" s="39">
        <f t="shared" si="0"/>
        <v>0.73958333333333326</v>
      </c>
      <c r="E19" s="39" t="str">
        <f>UPPER('Nach Mannschaften sortiert'!F19)</f>
        <v>ANDAU</v>
      </c>
      <c r="G19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</row>
    <row r="20" spans="2:9" x14ac:dyDescent="0.3">
      <c r="B20" s="105">
        <f>'Nach Mannschaften sortiert'!D20</f>
        <v>46130</v>
      </c>
      <c r="C20" s="39">
        <f>'Nach Mannschaften sortiert'!E20</f>
        <v>0.72916666666666663</v>
      </c>
      <c r="D20" s="39">
        <f t="shared" si="0"/>
        <v>0.80208333333333326</v>
      </c>
      <c r="E20" s="39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</row>
    <row r="21" spans="2:9" x14ac:dyDescent="0.3">
      <c r="B21" s="105">
        <f>'Nach Mannschaften sortiert'!D21</f>
        <v>46136</v>
      </c>
      <c r="C21" s="39">
        <f>'Nach Mannschaften sortiert'!E21</f>
        <v>0.83333333333333337</v>
      </c>
      <c r="D21" s="39">
        <f t="shared" si="0"/>
        <v>0.90625</v>
      </c>
      <c r="E21" s="39" t="str">
        <f>UPPER('Nach Mannschaften sortiert'!F21)</f>
        <v>DEUTSCH JAHRNDORF</v>
      </c>
      <c r="G21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</row>
    <row r="22" spans="2:9" x14ac:dyDescent="0.3">
      <c r="B22" s="105">
        <f>'Nach Mannschaften sortiert'!D22</f>
        <v>46144</v>
      </c>
      <c r="C22" s="39">
        <f>'Nach Mannschaften sortiert'!E22</f>
        <v>0.75</v>
      </c>
      <c r="D22" s="39">
        <f t="shared" si="0"/>
        <v>0.82291666666666663</v>
      </c>
      <c r="E22" s="39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</row>
    <row r="23" spans="2:9" x14ac:dyDescent="0.3">
      <c r="B23" s="105">
        <f>'Nach Mannschaften sortiert'!D23</f>
        <v>46151</v>
      </c>
      <c r="C23" s="39">
        <f>'Nach Mannschaften sortiert'!E23</f>
        <v>0.72916666666666663</v>
      </c>
      <c r="D23" s="39">
        <f t="shared" si="0"/>
        <v>0.80208333333333326</v>
      </c>
      <c r="E23" s="39" t="str">
        <f>UPPER('Nach Mannschaften sortiert'!F23)</f>
        <v>GOLS</v>
      </c>
      <c r="G23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</row>
    <row r="24" spans="2:9" x14ac:dyDescent="0.3">
      <c r="B24" s="105">
        <f>'Nach Mannschaften sortiert'!D24</f>
        <v>46157</v>
      </c>
      <c r="C24" s="39">
        <f>'Nach Mannschaften sortiert'!E24</f>
        <v>0.83333333333333337</v>
      </c>
      <c r="D24" s="39">
        <f t="shared" si="0"/>
        <v>0.90625</v>
      </c>
      <c r="E24" s="39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</row>
    <row r="25" spans="2:9" x14ac:dyDescent="0.3">
      <c r="B25" s="105">
        <f>'Nach Mannschaften sortiert'!D25</f>
        <v>46166</v>
      </c>
      <c r="C25" s="39">
        <f>'Nach Mannschaften sortiert'!E25</f>
        <v>0.77083333333333337</v>
      </c>
      <c r="D25" s="39">
        <f t="shared" si="0"/>
        <v>0.84375</v>
      </c>
      <c r="E25" s="39" t="str">
        <f>UPPER('Nach Mannschaften sortiert'!F25)</f>
        <v>WIMPASSING</v>
      </c>
      <c r="G25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</row>
    <row r="26" spans="2:9" x14ac:dyDescent="0.3">
      <c r="B26" s="105">
        <f>'Nach Mannschaften sortiert'!D26</f>
        <v>46172</v>
      </c>
      <c r="C26" s="39">
        <f>'Nach Mannschaften sortiert'!E26</f>
        <v>0.77083333333333337</v>
      </c>
      <c r="D26" s="39">
        <f t="shared" si="0"/>
        <v>0.84375</v>
      </c>
      <c r="E26" s="39" t="str">
        <f>UPPER('Nach Mannschaften sortiert'!F26)</f>
        <v>WINDEN</v>
      </c>
      <c r="G26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</row>
    <row r="27" spans="2:9" x14ac:dyDescent="0.3">
      <c r="B27" s="105">
        <f>'Nach Mannschaften sortiert'!D27</f>
        <v>46179</v>
      </c>
      <c r="C27" s="39">
        <f>'Nach Mannschaften sortiert'!E27</f>
        <v>0.75</v>
      </c>
      <c r="D27" s="39">
        <f t="shared" si="0"/>
        <v>0.82291666666666663</v>
      </c>
      <c r="E27" s="39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</row>
    <row r="28" spans="2:9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</row>
    <row r="29" spans="2:9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</row>
    <row r="30" spans="2:9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</row>
    <row r="31" spans="2:9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</row>
    <row r="32" spans="2:9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</row>
    <row r="33" spans="2:9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</row>
    <row r="34" spans="2:9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</row>
    <row r="35" spans="2:9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</row>
    <row r="36" spans="2:9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</row>
    <row r="37" spans="2:9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</row>
    <row r="38" spans="2:9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</row>
    <row r="39" spans="2:9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</row>
    <row r="40" spans="2:9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</row>
    <row r="41" spans="2:9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</row>
    <row r="42" spans="2:9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</row>
    <row r="43" spans="2:9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</row>
    <row r="44" spans="2:9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</row>
    <row r="45" spans="2:9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</row>
    <row r="46" spans="2:9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</row>
    <row r="47" spans="2:9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</row>
    <row r="48" spans="2:9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</row>
    <row r="49" spans="2:9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</row>
    <row r="50" spans="2:9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</row>
    <row r="51" spans="2:9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</row>
    <row r="52" spans="2:9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</row>
    <row r="53" spans="2:9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</row>
    <row r="54" spans="2:9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</row>
    <row r="55" spans="2:9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</row>
    <row r="56" spans="2:9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</row>
    <row r="57" spans="2:9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</row>
    <row r="58" spans="2:9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</row>
    <row r="59" spans="2:9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</row>
    <row r="60" spans="2:9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</row>
    <row r="61" spans="2:9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</row>
    <row r="62" spans="2:9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</row>
    <row r="63" spans="2:9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</row>
    <row r="64" spans="2:9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</row>
    <row r="65" spans="2:9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</row>
    <row r="66" spans="2:9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</row>
    <row r="67" spans="2:9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</row>
    <row r="68" spans="2:9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</row>
    <row r="69" spans="2:9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</row>
    <row r="70" spans="2:9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</row>
    <row r="71" spans="2:9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</row>
    <row r="72" spans="2:9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</row>
    <row r="73" spans="2:9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</row>
    <row r="74" spans="2:9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</row>
    <row r="75" spans="2:9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</row>
    <row r="76" spans="2:9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</row>
    <row r="77" spans="2:9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</row>
    <row r="78" spans="2:9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</row>
    <row r="79" spans="2:9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</row>
    <row r="80" spans="2:9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</row>
    <row r="81" spans="2:9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</row>
    <row r="82" spans="2:9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</row>
    <row r="83" spans="2:9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</row>
    <row r="84" spans="2:9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</row>
    <row r="85" spans="2:9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</row>
    <row r="86" spans="2:9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</row>
    <row r="87" spans="2:9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</row>
    <row r="88" spans="2:9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</row>
    <row r="89" spans="2:9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4" t="s">
        <v>51</v>
      </c>
      <c r="B1" s="115"/>
      <c r="C1" s="115"/>
      <c r="D1" s="115"/>
      <c r="E1" s="115"/>
      <c r="F1" s="115"/>
      <c r="G1" s="115"/>
      <c r="H1" s="115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1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2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2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2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2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2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2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2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2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3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6" t="s">
        <v>77</v>
      </c>
      <c r="B15" s="117"/>
      <c r="C15" s="117"/>
      <c r="D15" s="117"/>
      <c r="E15" s="117"/>
      <c r="F15" s="117"/>
      <c r="G15" s="117"/>
      <c r="H15" s="118"/>
    </row>
    <row r="16" spans="1:10" ht="16.8" thickTop="1" thickBot="1" x14ac:dyDescent="0.35">
      <c r="A16" s="119" t="s">
        <v>76</v>
      </c>
      <c r="B16" s="120"/>
      <c r="C16" s="120"/>
      <c r="D16" s="120"/>
      <c r="E16" s="120"/>
      <c r="F16" s="120"/>
      <c r="G16" s="120"/>
      <c r="H16" s="121"/>
    </row>
    <row r="17" spans="1:8" ht="16.8" thickTop="1" thickBot="1" x14ac:dyDescent="0.35">
      <c r="A17" s="122" t="s">
        <v>75</v>
      </c>
      <c r="B17" s="123"/>
      <c r="C17" s="123"/>
      <c r="D17" s="123"/>
      <c r="E17" s="123"/>
      <c r="F17" s="123"/>
      <c r="G17" s="123"/>
      <c r="H17" s="124"/>
    </row>
    <row r="18" spans="1:8" ht="16.8" thickTop="1" thickBot="1" x14ac:dyDescent="0.35">
      <c r="A18" s="108" t="s">
        <v>78</v>
      </c>
      <c r="B18" s="109"/>
      <c r="C18" s="109"/>
      <c r="D18" s="109"/>
      <c r="E18" s="109"/>
      <c r="F18" s="109"/>
      <c r="G18" s="109"/>
      <c r="H18" s="110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2026-03-28T07:13:53Z</dcterms:modified>
</cp:coreProperties>
</file>
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C768B8CF-AC45-46EE-8C7A-22D8DD2B2BC5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4" i="21" l="1"/>
  <c r="B54" i="21"/>
  <c r="C62" i="2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<sst xmlns="http://schemas.openxmlformats.org/spreadsheetml/2006/main" count="822" uniqueCount="222">
  <si>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</si>
  <si>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</si>
  <si>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</si>
  <si>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</si>
  <si>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</si>
  <si>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</si>
  <si>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</si>
  <si>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</si>
  <si>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</si>
  <si>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</si>
  <si>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</si>
  <si>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</si>
  <si>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</si>
  <si>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</si>
  <si>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</si>
  <si>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</si>
  <si>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</si>
  <si>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</si>
  <si>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</si>
  <si>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</si>
  <si>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</si>
  <si>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</si>
  <si>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</si>
  <si>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</si>
  <si>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</si>
  <si>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</si>
  <si>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</si>
  <si>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</si>
  <si>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</si>
  <si>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</si>
  <si>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</si>
  <si>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</si>
  <si>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</si>
  <si>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</si>
  <si>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</si>
  <si>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</si>
  <si>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</si>
  <si>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</si>
  <si>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</si>
  <si>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</si>
  <si>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</si>
  <si>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</si>
  <si>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</si>
  <si>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</si>
  <si>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</si>
  <si>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</si>
  <si>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</si>
  <si>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</si>
  <si>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</si>
  <si>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</si>
  <si>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</si>
  <si>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</si>
  <si>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</si>
  <si>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</si>
  <si>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</si>
  <si>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</si>
  <si>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</si>
  <si>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</si>
  <si>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</si>
  <si>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</si>
  <si>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</si>
  <si>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</si>
  <si>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</si>
  <si>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</si>
  <si>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</si>
  <si>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</si>
  <si>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</si>
  <si>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</si>
  <si>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</si>
  <si>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</si>
  <si>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</si>
  <si>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</si>
  <si>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</si>
  <si>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</si>
  <si>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</si>
  <si>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</si>
  <si>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</si>
  <si>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</si>
  <si>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</si>
  <si>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</si>
  <si>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</si>
  <si>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</si>
  <si>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</si>
  <si>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</si>
  <si>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</si>
  <si>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</si>
  <si>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</si>
  <si>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</si>
  <si>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</si>
  <si>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</si>
  <si>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</si>
  <si>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</si>
  <si>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</si>
  <si>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</si>
  <si>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</si>
  <si>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</si>
  <si>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</si>
  <si>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</si>
  <si>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</si>
  <si>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</si>
  <si>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</si>
  <si>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</si>
  <si>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</si>
  <si>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</si>
  <si>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</si>
  <si>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</si>
  <si>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</si>
  <si>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</si>
  <si>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</si>
  <si>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</si>
  <si>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</si>
  <si>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</si>
  <si>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</si>
  <si>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</si>
  <si>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</si>
  <si>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</si>
  <si>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</si>
  <si>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</si>
  <si>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</si>
  <si>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</si>
  <si>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</si>
  <si>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</si>
  <si>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</si>
  <si>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</si>
  <si>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</si>
  <si>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</si>
  <si>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</si>
  <si>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</si>
  <si>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</si>
  <si>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</si>
  <si>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</si>
  <si>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</si>
  <si>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</si>
  <si>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</si>
  <si>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</si>
  <si>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</si>
  <si>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</si>
  <si>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</si>
  <si>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</si>
  <si>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</si>
  <si>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</si>
  <si>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</si>
  <si>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</si>
  <si>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</si>
  <si>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</si>
  <si>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</si>
  <si>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</si>
  <si>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</si>
  <si>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</si>
  <si>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</si>
  <si>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</si>
  <si>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</si>
  <si>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</si>
  <si>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</si>
  <si>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</si>
  <si>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</si>
  <si>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</si>
  <si>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</si>
  <si>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</si>
  <si>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</si>
  <si>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</si>
  <si>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</si>
  <si>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</si>
  <si>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</si>
  <si>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</si>
  <si>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</si>
  <si>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</si>
  <si>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</si>
  <si>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</si>
  <si>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</si>
  <si>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</si>
  <si>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</si>
  <si>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</si>
  <si>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</si>
  <si>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</si>
  <si>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</si>
  <si>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</si>
  <si>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</si>
  <si>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</si>
  <si>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</si>
  <si>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</si>
  <si>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</si>
  <si>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</si>
  <si>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</si>
  <si>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</si>
  <si>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</si>
  <si>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</si>
  <si>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</si>
  <si>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</si>
  <si>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</si>
  <si>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</si>
  <si>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</si>
  <si>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</si>
  <si>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</si>
  <si>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</si>
  <si>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</si>
  <si>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</si>
  <si>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</si>
  <si>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</si>
  <si>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</si>
  <si>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</si>
  <si>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</si>
  <si>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</si>
  <si>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</si>
  <si>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</si>
  <si>
    <t>Endstand 3:3</t>
  </si>
  <si>
    <t>Endstand 2:2</t>
  </si>
  <si>
    <t>Endstand 5:1 für Wolfau</t>
  </si>
  <si>
    <t>Endstand 4:2 für Klingenbach</t>
  </si>
  <si>
    <t>Endstand 4:2 für Neufeld</t>
  </si>
  <si>
    <t>Endstand 3:0 für Deutsch Jahrndorf</t>
  </si>
  <si>
    <t>Endstand 6:2 für Neufeld</t>
  </si>
  <si>
    <t>Endstand 7:1 für Breitenbrunn</t>
  </si>
  <si>
    <t>Endstand 6:0 für Neufeld</t>
  </si>
  <si>
    <t>Endstand 3:0 für Hornstein</t>
  </si>
  <si>
    <t>Endstand 5:0 für Neufeld</t>
  </si>
  <si>
    <t>Endstand 5:3 für Leithaprodersdorf</t>
  </si>
  <si>
    <t>Endstand 7:3 für Kittsee</t>
  </si>
  <si>
    <t>Endstand 3:1 für Gols</t>
  </si>
  <si>
    <t>Endstand 5:3 für Wimpassing/Neufeld</t>
  </si>
  <si>
    <t>Endstand 3:0 für Neufeld</t>
  </si>
  <si>
    <t>Endstand 4:3 für Neufeld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</si>
</sst>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39" zoomScaleNormal="100" workbookViewId="0">
      <selection activeCell="E51" sqref="E51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46145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46188</v>
      </c>
      <c r="E54" s="11">
        <v>0.75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64" workbookViewId="0">
      <selection activeCell="F66" sqref="F66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157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149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158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147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158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148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158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194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158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201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158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F7" s="108" t="s">
        <v>194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158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F8" s="108" t="s">
        <v>201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158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F9" s="108" t="s">
        <v>214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158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F10" s="108" t="s">
        <v>220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158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158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158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158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158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150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158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151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158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152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158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195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158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202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158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F20" s="108" t="s">
        <v>205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158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F21" s="108" t="s">
        <v>210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158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F22" s="108" t="s">
        <v>213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158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F23" s="108" t="s">
        <v>218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158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158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158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158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158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146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158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198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158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F30" s="108" t="s">
        <v>207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158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F31" s="108" t="s">
        <v>205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158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F32" s="108" t="s">
        <v>206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158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F33" s="108" t="s">
        <v>219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158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158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153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158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158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158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199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158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204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158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F40" s="108" t="s">
        <v>206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158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F41" s="108" t="s">
        <v>206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158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158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158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158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158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F46" s="108" t="s">
        <v>215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158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196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158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F48" s="108" t="s">
        <v>205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158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F49" s="108" t="s">
        <v>211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158</v>
      </c>
    </row>
    <row r="50" spans="2:11" x14ac:dyDescent="0.3">
      <c r="B50" s="105"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F50" s="108" t="s">
        <v>215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158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158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158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158</v>
      </c>
    </row>
    <row r="54" spans="2:11" x14ac:dyDescent="0.3">
      <c r="B54" s="105">
        <f>'Nach Mannschaften sortiert'!D54</f>
        <v>46188</v>
      </c>
      <c r="C54" s="39">
        <f>'Nach Mannschaften sortiert'!E54</f>
        <v>0.75</v>
      </c>
      <c r="D54" s="39">
        <f t="shared" si="0"/>
        <v>0.81597222222222221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145</v>
      </c>
      <c r="K54" t="s">
        <v>158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F55" s="108" t="s">
        <v>206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158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F56" s="108" t="s">
        <v>212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158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F57" s="108" t="s">
        <v>216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158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F58" s="108" t="s">
        <v>217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158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158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158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158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203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158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197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158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F64" s="108" t="s">
        <v>208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158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F65" s="108" t="s">
        <v>209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158</v>
      </c>
    </row>
    <row r="66" spans="2:11" x14ac:dyDescent="0.3">
      <c r="B66" s="105">
        <v>46155</v>
      </c>
      <c r="C66" s="39">
        <v>0.72916666666666663</v>
      </c>
      <c r="D66" s="39">
        <f t="shared" si="0"/>
        <v>0.77777777777777779</v>
      </c>
      <c r="E66" s="39" t="str">
        <f>UPPER('Nach Mannschaften sortiert'!F66)</f>
        <v>NEUFELD</v>
      </c>
      <c r="F66" s="108" t="s">
        <v>221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158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158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158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158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158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158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158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158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158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158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158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158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158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158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158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158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158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158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158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154</v>
      </c>
      <c r="F90" s="108" t="s">
        <v>200</v>
      </c>
      <c r="G90" s="108" t="s">
        <v>12</v>
      </c>
      <c r="H90" t="s">
        <v>155</v>
      </c>
      <c r="I90" t="s">
        <v>18</v>
      </c>
      <c r="J90" s="108" t="s">
        <v>145</v>
      </c>
      <c r="K90" t="s">
        <v>159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154</v>
      </c>
      <c r="F91" s="108" t="s">
        <v>156</v>
      </c>
      <c r="G91" s="108" t="s">
        <v>12</v>
      </c>
      <c r="H91" t="s">
        <v>31</v>
      </c>
      <c r="I91" t="s">
        <v>27</v>
      </c>
      <c r="J91" s="108" t="s">
        <v>145</v>
      </c>
      <c r="K91" t="s">
        <v>159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177</v>
      </c>
      <c r="B1" s="110"/>
      <c r="C1" s="110" t="s">
        <v>193</v>
      </c>
    </row>
    <row r="2" spans="1:3" ht="19.95" customHeight="1" x14ac:dyDescent="0.3">
      <c r="A2" s="110" t="s">
        <v>178</v>
      </c>
      <c r="B2" s="110" t="s">
        <v>160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179</v>
      </c>
      <c r="B3" s="110" t="s">
        <v>161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180</v>
      </c>
      <c r="B4" s="110" t="s">
        <v>162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181</v>
      </c>
      <c r="B5" s="110" t="s">
        <v>163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182</v>
      </c>
      <c r="B6" s="110" t="s">
        <v>164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183</v>
      </c>
      <c r="B7" s="110" t="s">
        <v>165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188</v>
      </c>
      <c r="B8" s="110" t="s">
        <v>166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189</v>
      </c>
      <c r="B9" s="110" t="s">
        <v>167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190</v>
      </c>
      <c r="B10" s="110" t="s">
        <v>168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191</v>
      </c>
      <c r="B11" s="110" t="s">
        <v>175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192</v>
      </c>
      <c r="B12" s="110" t="s">
        <v>169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187</v>
      </c>
      <c r="B13" s="110" t="s">
        <v>176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186</v>
      </c>
      <c r="B14" s="110" t="s">
        <v>170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185</v>
      </c>
      <c r="B15" s="110" t="s">
        <v>171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184</v>
      </c>
      <c r="B16" s="110" t="s">
        <v>172</v>
      </c>
      <c r="C16" s="110" t="str">
        <f t="shared" si="0"/>
        <v>https://dtb-asv.github.io/asv-neufeld/ U7.ics</v>
      </c>
    </row>
    <row r="17" spans="2:3" x14ac:dyDescent="0.3">
      <c r="B17" t="s">
        <v>173</v>
      </c>
      <c r="C17" t="str">
        <f t="shared" si="0"/>
        <v>https://dtb-asv.github.io/asv-neufeld/ Camp.ics</v>
      </c>
    </row>
    <row r="18" spans="2:3" x14ac:dyDescent="0.3">
      <c r="B18" t="s">
        <v>174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46188</v>
      </c>
      <c r="E7" s="38">
        <f>'Nach Mannschaften sortiert'!E54</f>
        <v>0.75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46145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46188</v>
      </c>
      <c r="C17" s="82">
        <f>Heimspiele!E7</f>
        <v>0.75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46145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2026-05-14T17:56:57Z</dcterms:modified>
</cp:coreProperties>
</file>
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D59280B6-1381-432F-81BC-521341DE736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B28" i="21"/>
  <c r="C28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B62" i="21"/>
  <c r="C62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<sst xmlns="http://schemas.openxmlformats.org/spreadsheetml/2006/main" count="642" uniqueCount="147">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</sst>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9" zoomScaleNormal="100" workbookViewId="0">
      <selection activeCell="C90" sqref="C9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0.54166666666666663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0.39583333333333331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0.39583333333333331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0.39583333333333331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J89"/>
  <sheetViews>
    <sheetView tabSelected="1" topLeftCell="A33" workbookViewId="0">
      <selection activeCell="J54" sqref="J54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14" style="108" bestFit="1" customWidth="1"/>
    <col min="7" max="7" width="11.5546875" style="108"/>
    <col min="10" max="10" width="11.5546875" style="108"/>
  </cols>
  <sheetData>
    <row r="1" spans="1:10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</row>
    <row r="2" spans="1:10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</row>
    <row r="3" spans="1:10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</row>
    <row r="4" spans="1:10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</row>
    <row r="5" spans="1:10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</row>
    <row r="6" spans="1:10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</row>
    <row r="7" spans="1:10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</row>
    <row r="8" spans="1:10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</row>
    <row r="9" spans="1:10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</row>
    <row r="10" spans="1:10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</row>
    <row r="11" spans="1:10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</row>
    <row r="12" spans="1:10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</row>
    <row r="13" spans="1:10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</row>
    <row r="14" spans="1:10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</row>
    <row r="15" spans="1:10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</row>
    <row r="16" spans="1:10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</row>
    <row r="17" spans="2:10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</row>
    <row r="18" spans="2:10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</row>
    <row r="19" spans="2:10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</row>
    <row r="20" spans="2:10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</row>
    <row r="21" spans="2:10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</row>
    <row r="22" spans="2:10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</row>
    <row r="23" spans="2:10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</row>
    <row r="24" spans="2:10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</row>
    <row r="25" spans="2:10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</row>
    <row r="26" spans="2:10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</row>
    <row r="27" spans="2:10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</row>
    <row r="28" spans="2:10" x14ac:dyDescent="0.3">
      <c r="B28" s="105">
        <f>'Nach Mannschaften sortiert'!D28</f>
        <v>46110</v>
      </c>
      <c r="C28" s="39">
        <f>'Nach Mannschaften sortiert'!E28</f>
        <v>0.66666666666666663</v>
      </c>
      <c r="D28" s="39">
        <f t="shared" si="0"/>
        <v>0.73958333333333326</v>
      </c>
      <c r="E28" s="39" t="str">
        <f>UPPER('Nach Mannschaften sortiert'!F28)</f>
        <v>SV LEITHAPRODERSDORF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</row>
    <row r="29" spans="2:10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</row>
    <row r="30" spans="2:10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</row>
    <row r="31" spans="2:10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</row>
    <row r="32" spans="2:10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</row>
    <row r="33" spans="2:10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</row>
    <row r="34" spans="2:10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</row>
    <row r="35" spans="2:10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</row>
    <row r="36" spans="2:10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</row>
    <row r="37" spans="2:10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</row>
    <row r="38" spans="2:10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</row>
    <row r="39" spans="2:10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</row>
    <row r="40" spans="2:10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</row>
    <row r="41" spans="2:10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</row>
    <row r="42" spans="2:10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</row>
    <row r="43" spans="2:10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</row>
    <row r="44" spans="2:10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</row>
    <row r="45" spans="2:10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</row>
    <row r="46" spans="2:10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146</v>
      </c>
    </row>
    <row r="47" spans="2:10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</row>
    <row r="48" spans="2:10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</row>
    <row r="49" spans="2:10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</row>
    <row r="50" spans="2:10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</row>
    <row r="51" spans="2:10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</row>
    <row r="52" spans="2:10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</row>
    <row r="53" spans="2:10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</row>
    <row r="54" spans="2:10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</row>
    <row r="55" spans="2:10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</row>
    <row r="56" spans="2:10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</row>
    <row r="57" spans="2:10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</row>
    <row r="58" spans="2:10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</row>
    <row r="59" spans="2:10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</row>
    <row r="60" spans="2:10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</row>
    <row r="61" spans="2:10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</row>
    <row r="62" spans="2:10" x14ac:dyDescent="0.3">
      <c r="B62" s="105">
        <f>'Nach Mannschaften sortiert'!D62</f>
        <v>46109</v>
      </c>
      <c r="C62" s="39">
        <f>'Nach Mannschaften sortiert'!E62</f>
        <v>0.41666666666666669</v>
      </c>
      <c r="D62" s="39">
        <f t="shared" si="0"/>
        <v>0.46527777777777779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</row>
    <row r="63" spans="2:10" x14ac:dyDescent="0.3">
      <c r="B63" s="105">
        <f>'Nach Mannschaften sortiert'!D63</f>
        <v>46123</v>
      </c>
      <c r="C63" s="39">
        <f>'Nach Mannschaften sortiert'!E63</f>
        <v>0.54166666666666663</v>
      </c>
      <c r="D63" s="39">
        <f t="shared" si="0"/>
        <v>0.59027777777777779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</row>
    <row r="64" spans="2:10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</row>
    <row r="65" spans="2:10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</row>
    <row r="66" spans="2:10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</row>
    <row r="67" spans="2:10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</row>
    <row r="68" spans="2:10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</row>
    <row r="69" spans="2:10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</row>
    <row r="70" spans="2:10" x14ac:dyDescent="0.3">
      <c r="B70" s="105">
        <f>'Nach Mannschaften sortiert'!D70</f>
        <v>46123</v>
      </c>
      <c r="C70" s="39">
        <f>'Nach Mannschaften sortiert'!E70</f>
        <v>0.39583333333333331</v>
      </c>
      <c r="D70" s="39">
        <f t="shared" si="1"/>
        <v>0.52083333333333326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</row>
    <row r="71" spans="2:10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</row>
    <row r="72" spans="2:10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</row>
    <row r="73" spans="2:10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</row>
    <row r="74" spans="2:10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</row>
    <row r="75" spans="2:10" x14ac:dyDescent="0.3">
      <c r="B75" s="105">
        <f>'Nach Mannschaften sortiert'!D75</f>
        <v>46123</v>
      </c>
      <c r="C75" s="39">
        <f>'Nach Mannschaften sortiert'!E75</f>
        <v>0.39583333333333331</v>
      </c>
      <c r="D75" s="39">
        <f t="shared" si="1"/>
        <v>0.52083333333333326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</row>
    <row r="76" spans="2:10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</row>
    <row r="77" spans="2:10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</row>
    <row r="78" spans="2:10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</row>
    <row r="79" spans="2:10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</row>
    <row r="80" spans="2:10" x14ac:dyDescent="0.3">
      <c r="B80" s="105">
        <f>'Nach Mannschaften sortiert'!D80</f>
        <v>46123</v>
      </c>
      <c r="C80" s="39">
        <f>'Nach Mannschaften sortiert'!E80</f>
        <v>0.39583333333333331</v>
      </c>
      <c r="D80" s="39">
        <f t="shared" si="1"/>
        <v>0.52083333333333326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</row>
    <row r="81" spans="2:10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</row>
    <row r="82" spans="2:10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</row>
    <row r="83" spans="2:10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</row>
    <row r="84" spans="2:10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</row>
    <row r="85" spans="2:10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</row>
    <row r="86" spans="2:10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</row>
    <row r="87" spans="2:10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</row>
    <row r="88" spans="2:10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</row>
    <row r="89" spans="2:10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0.39583333333333331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0.39583333333333331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0.39583333333333331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0.54166666666666663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0.39583333333333331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0.39583333333333331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0.39583333333333331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0.54166666666666663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2026-03-29T14:13:50Z</dcterms:modified>
</cp:coreProperties>
</file>
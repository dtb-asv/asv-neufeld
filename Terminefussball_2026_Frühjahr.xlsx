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590E5541-69DA-4125-A7AF-B4D902BCF3E2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Kalendernamen" sheetId="22" r:id="rId3"/>
    <sheet name="Trainingsplan" sheetId="16" r:id="rId4"/>
    <sheet name="Heimspiele" sheetId="13" r:id="rId5"/>
    <sheet name="Tabelle1" sheetId="18" r:id="rId6"/>
    <sheet name="Stefans Liste 2026" sheetId="19" r:id="rId7"/>
    <sheet name="Tabelle2" sheetId="20" r:id="rId8"/>
  </sheets>
  <definedNames>
    <definedName name="_xlnm._FilterDatabase" localSheetId="4" hidden="1">Heimspiele!$A$1:$H$84</definedName>
    <definedName name="_xlnm._FilterDatabase" localSheetId="0" hidden="1">'Nach Mannschaften sortiert'!$A$1:$H$79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6" i="21" l="1"/>
  <c r="C46" i="21"/>
  <c r="D46" i="21"/>
  <c r="E46" i="21"/>
  <c r="G46" i="21"/>
  <c r="H46" i="21"/>
  <c r="I46" i="21"/>
  <c r="C13" i="22"/>
  <c r="C11" i="22"/>
  <c r="C3" i="22"/>
  <c r="C4" i="22"/>
  <c r="C5" i="22"/>
  <c r="C6" i="22"/>
  <c r="C7" i="22"/>
  <c r="C8" i="22"/>
  <c r="C9" i="22"/>
  <c r="C10" i="22"/>
  <c r="C12" i="22"/>
  <c r="C14" i="22"/>
  <c r="C15" i="22"/>
  <c r="C16" i="22"/>
  <c r="C17" i="22"/>
  <c r="C18" i="22"/>
  <c r="C2" i="22"/>
  <c r="D90" i="21"/>
  <c r="D84" i="21"/>
  <c r="B3" i="2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D15" i="21"/>
  <c r="E15" i="21"/>
  <c r="G15" i="21"/>
  <c r="H15" i="21"/>
  <c r="I15" i="21"/>
  <c r="B16" i="21"/>
  <c r="D16" i="21"/>
  <c r="E16" i="21"/>
  <c r="G16" i="21"/>
  <c r="H16" i="21"/>
  <c r="I16" i="21"/>
  <c r="B17" i="21"/>
  <c r="E17" i="21"/>
  <c r="G17" i="21"/>
  <c r="H17" i="21"/>
  <c r="I17" i="21"/>
  <c r="D17" i="21" s="1"/>
  <c r="B18" i="21"/>
  <c r="D18" i="21"/>
  <c r="E18" i="21"/>
  <c r="G18" i="21"/>
  <c r="H18" i="21"/>
  <c r="I18" i="21"/>
  <c r="B19" i="21"/>
  <c r="E19" i="21"/>
  <c r="G19" i="21"/>
  <c r="H19" i="21"/>
  <c r="I19" i="21"/>
  <c r="D19" i="21" s="1"/>
  <c r="B20" i="21"/>
  <c r="E20" i="21"/>
  <c r="G20" i="21"/>
  <c r="H20" i="21"/>
  <c r="I20" i="21"/>
  <c r="D20" i="21" s="1"/>
  <c r="B21" i="21"/>
  <c r="D21" i="21"/>
  <c r="E21" i="21"/>
  <c r="G21" i="21"/>
  <c r="H21" i="21"/>
  <c r="I21" i="21"/>
  <c r="B22" i="21"/>
  <c r="D22" i="21"/>
  <c r="E22" i="21"/>
  <c r="G22" i="21"/>
  <c r="H22" i="21"/>
  <c r="I22" i="21"/>
  <c r="B23" i="21"/>
  <c r="E23" i="21"/>
  <c r="G23" i="21"/>
  <c r="H23" i="21"/>
  <c r="I23" i="21"/>
  <c r="D23" i="21" s="1"/>
  <c r="B24" i="21"/>
  <c r="E24" i="21"/>
  <c r="G24" i="21"/>
  <c r="H24" i="21"/>
  <c r="I24" i="21"/>
  <c r="D24" i="21" s="1"/>
  <c r="B25" i="21"/>
  <c r="D25" i="21"/>
  <c r="E25" i="21"/>
  <c r="G25" i="21"/>
  <c r="H25" i="21"/>
  <c r="I25" i="21"/>
  <c r="B26" i="21"/>
  <c r="E26" i="21"/>
  <c r="G26" i="21"/>
  <c r="H26" i="21"/>
  <c r="I26" i="21"/>
  <c r="D26" i="21" s="1"/>
  <c r="B27" i="21"/>
  <c r="D27" i="21"/>
  <c r="E27" i="21"/>
  <c r="G27" i="21"/>
  <c r="H27" i="21"/>
  <c r="I27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E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B50" i="21"/>
  <c r="C50" i="21"/>
  <c r="E50" i="21"/>
  <c r="G50" i="21"/>
  <c r="H50" i="21"/>
  <c r="I50" i="21"/>
  <c r="D50" i="21" s="1"/>
  <c r="B51" i="21"/>
  <c r="C51" i="21"/>
  <c r="D51" i="2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B59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E62" i="21"/>
  <c r="G62" i="21"/>
  <c r="H62" i="21"/>
  <c r="I62" i="21"/>
  <c r="D62" i="21" s="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B66" i="21"/>
  <c r="C66" i="2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 s="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H88" i="21"/>
  <c r="I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E69" i="19" l="1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<sst xmlns="http://schemas.openxmlformats.org/spreadsheetml/2006/main" count="791" uniqueCount="199">
  <si>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</si>
  <si>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</si>
  <si>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</si>
  <si>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</si>
  <si>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</si>
  <si>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</si>
  <si>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</si>
  <si>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</si>
  <si>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</si>
  <si>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</si>
  <si>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</si>
  <si>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</si>
  <si>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</si>
  <si>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</si>
  <si>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</si>
  <si>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</si>
  <si>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</si>
  <si>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</si>
  <si>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</si>
  <si>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</si>
  <si>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</si>
  <si>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</si>
  <si>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</si>
  <si>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</si>
  <si>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</si>
  <si>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</si>
  <si>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</si>
  <si>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</si>
  <si>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</si>
  <si>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</si>
  <si>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</si>
  <si>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</si>
  <si>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</si>
  <si>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</si>
  <si>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</si>
  <si>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</si>
  <si>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</si>
  <si>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</si>
  <si>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</si>
  <si>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</si>
  <si>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</si>
  <si>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</si>
  <si>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</si>
  <si>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</si>
  <si>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</si>
  <si>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</si>
  <si>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</si>
  <si>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</si>
  <si>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</si>
  <si>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</si>
  <si>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</si>
  <si>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</si>
  <si>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</si>
  <si>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</si>
  <si>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</si>
  <si>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</si>
  <si>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</si>
  <si>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</si>
  <si>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</si>
  <si>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</si>
  <si>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</si>
  <si>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</si>
  <si>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</si>
  <si>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</si>
  <si>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</si>
  <si>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</si>
  <si>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</si>
  <si>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</si>
  <si>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</si>
  <si>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</si>
  <si>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</si>
  <si>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</si>
  <si>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</si>
  <si>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</si>
  <si>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</si>
  <si>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</si>
  <si>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</si>
  <si>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</si>
  <si>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</si>
  <si>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</si>
  <si>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</si>
  <si>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</si>
  <si>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</si>
  <si>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</si>
  <si>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</si>
  <si>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</si>
  <si>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</si>
  <si>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</si>
  <si>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</si>
  <si>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</si>
  <si>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</si>
  <si>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</si>
  <si>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</si>
  <si>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</si>
  <si>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</si>
  <si>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</si>
  <si>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Bernstein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</si>
  <si>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</si>
  <si>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</si>
  <si>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</si>
  <si>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</si>
  <si>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</si>
  <si>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</si>
  <si>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</si>
  <si>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</si>
  <si>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</si>
  <si>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</si>
  <si>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</si>
  <si>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</si>
  <si>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</si>
  <si>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</si>
  <si>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</si>
  <si>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</si>
  <si>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</si>
  <si>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</si>
  <si>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</si>
  <si>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</si>
  <si>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</si>
  <si>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</si>
  <si>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</si>
  <si>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</si>
  <si>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</si>
  <si>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</si>
  <si>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</si>
  <si>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</si>
  <si>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</si>
  <si>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</si>
  <si>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</si>
  <si>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</si>
  <si>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</si>
  <si>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</si>
  <si>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</si>
  <si>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</si>
  <si>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</si>
  <si>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</si>
  <si>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</si>
  <si>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</si>
  <si>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</si>
  <si>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</si>
  <si>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</si>
  <si>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</si>
  <si>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</si>
  <si>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</si>
  <si>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</si>
  <si>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</si>
  <si>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</si>
  <si>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abgesagt</t>
  </si>
  <si>
    <t>Endstand:2:2</t>
  </si>
  <si>
    <t>Endstand:1:1</t>
  </si>
  <si>
    <t>Endstand:3:3</t>
  </si>
  <si>
    <t>Endstand:5:1 für Rust</t>
  </si>
  <si>
    <t>Endstand:3:0 für Rust</t>
  </si>
  <si>
    <t>Endstand:2:1 für Neufeld</t>
  </si>
  <si>
    <t>Endstand:0:2 für Gattendorf</t>
  </si>
  <si>
    <t>Endstand:4:0 für Wimpassing/Neufeld</t>
  </si>
  <si>
    <t>NEUFELD</t>
  </si>
  <si>
    <t>Marswiese</t>
  </si>
  <si>
    <t>Freundschaftsspiel</t>
  </si>
  <si>
    <t>SPIELART</t>
  </si>
  <si>
    <t>Liga</t>
  </si>
  <si>
    <t>Freundschaft</t>
  </si>
  <si>
    <t>alle_spiele.ics</t>
  </si>
  <si>
    <t>heimspiele.ics</t>
  </si>
  <si>
    <t>auswaertsspiele.ics</t>
  </si>
  <si>
    <t>KM.ics</t>
  </si>
  <si>
    <t>U23.ics</t>
  </si>
  <si>
    <t>U16.ics</t>
  </si>
  <si>
    <t>U15.ics</t>
  </si>
  <si>
    <t>U14.ics</t>
  </si>
  <si>
    <t>U13.ics</t>
  </si>
  <si>
    <t>U11.ics</t>
  </si>
  <si>
    <t>U9.ics</t>
  </si>
  <si>
    <t xml:space="preserve"> U8.ics</t>
  </si>
  <si>
    <t xml:space="preserve"> U7.ics</t>
  </si>
  <si>
    <t xml:space="preserve"> Camp.ics</t>
  </si>
  <si>
    <t xml:space="preserve"> GGG.ics</t>
  </si>
  <si>
    <t>U12.ics</t>
  </si>
  <si>
    <t>U10.ics</t>
  </si>
  <si>
    <t>Kategorie</t>
  </si>
  <si>
    <t>Alle Spiele des ASV Neufeld</t>
  </si>
  <si>
    <t>Alle Heimspiele des ASV Neufelds</t>
  </si>
  <si>
    <t>Alle Auswärtsspiele des ASV Neufelds</t>
  </si>
  <si>
    <t>Alle Spiele der Kampfmannschaft</t>
  </si>
  <si>
    <t xml:space="preserve">Alle Spiele der U23 </t>
  </si>
  <si>
    <t>Alle Spiele der U16</t>
  </si>
  <si>
    <t>Alle Spiele der U7</t>
  </si>
  <si>
    <t>Alle Spiele der U8</t>
  </si>
  <si>
    <t>Alle Spiele der U9</t>
  </si>
  <si>
    <t>Alle Spiele der U10</t>
  </si>
  <si>
    <t>Alle Spiele der U15</t>
  </si>
  <si>
    <t>Alle Spiele der U14</t>
  </si>
  <si>
    <t>Alle Spiele der U13</t>
  </si>
  <si>
    <t>Alle Spiele der U12</t>
  </si>
  <si>
    <t>Alle Spiele der U11</t>
  </si>
  <si>
    <t>ABOLINK</t>
  </si>
  <si>
    <t>Endstand 3:1 für Neufeld</t>
  </si>
  <si>
    <t>Endstand 0:2 für Illmitz</t>
  </si>
  <si>
    <t>Endstand 3:2 für SK Pama</t>
  </si>
  <si>
    <t>Endstand 7:2 für Neufeld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</si>
</sst>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28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3" fillId="0" borderId="0" xfId="1"/>
    <xf numFmtId="0" fontId="0" fillId="0" borderId="1" xfId="0" applyBorder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65" zoomScaleNormal="100" workbookViewId="0">
      <selection activeCell="E78" sqref="E78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125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124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96</v>
      </c>
      <c r="G34" s="29" t="s">
        <v>125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123</v>
      </c>
      <c r="G36" s="29" t="s">
        <v>124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98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99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100</v>
      </c>
      <c r="G40" s="8" t="s">
        <v>101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102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103</v>
      </c>
      <c r="G42" s="8" t="s">
        <v>98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99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101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128</v>
      </c>
      <c r="G45" s="8" t="s">
        <v>102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46145</v>
      </c>
      <c r="E46" s="22">
        <v>0.58333333333333337</v>
      </c>
      <c r="F46" s="20" t="s">
        <v>2</v>
      </c>
      <c r="G46" s="20" t="s">
        <v>104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105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106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46151</v>
      </c>
      <c r="E50" s="22">
        <v>0.75</v>
      </c>
      <c r="F50" s="20" t="s">
        <v>45</v>
      </c>
      <c r="G50" s="20" t="s">
        <v>104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46158</v>
      </c>
      <c r="E51" s="22">
        <v>0.625</v>
      </c>
      <c r="F51" s="20" t="s">
        <v>2</v>
      </c>
      <c r="G51" s="20" t="s">
        <v>105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106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0.79166666666666663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46110</v>
      </c>
      <c r="E54" s="11">
        <v>0.45833333333333331</v>
      </c>
      <c r="F54" s="10" t="s">
        <v>2</v>
      </c>
      <c r="G54" s="10" t="s">
        <v>106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107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111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106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107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108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46109</v>
      </c>
      <c r="E62" s="28">
        <v>0.41666666666666669</v>
      </c>
      <c r="F62" s="27" t="s">
        <v>31</v>
      </c>
      <c r="G62" s="27" t="s">
        <v>31</v>
      </c>
      <c r="H62" s="27" t="s">
        <v>11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0.625</v>
      </c>
      <c r="F63" s="27" t="s">
        <v>2</v>
      </c>
      <c r="G63" s="27" t="s">
        <v>109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110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46159</v>
      </c>
      <c r="E67" s="28">
        <v>0.58333333333333337</v>
      </c>
      <c r="F67" s="27" t="s">
        <v>17</v>
      </c>
      <c r="G67" s="27" t="s">
        <v>109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110</v>
      </c>
      <c r="G69" s="27" t="s">
        <v>110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0.4375</v>
      </c>
      <c r="F70" s="12" t="s">
        <v>2</v>
      </c>
      <c r="G70" s="12" t="s">
        <v>142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142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112</v>
      </c>
      <c r="G72" s="12" t="s">
        <v>142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142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142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0.4375</v>
      </c>
      <c r="F75" s="33" t="s">
        <v>2</v>
      </c>
      <c r="G75" s="12" t="s">
        <v>142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112</v>
      </c>
      <c r="G76" s="12" t="s">
        <v>142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0.41666666666666669</v>
      </c>
      <c r="F77" s="33" t="s">
        <v>113</v>
      </c>
      <c r="G77" s="12" t="s">
        <v>142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142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142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0.4375</v>
      </c>
      <c r="F80" s="53" t="s">
        <v>2</v>
      </c>
      <c r="G80" s="12" t="s">
        <v>142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142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/>
      <c r="F82" s="53" t="s">
        <v>45</v>
      </c>
      <c r="G82" s="12" t="s">
        <v>142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>
        <v>0.39583333333333331</v>
      </c>
      <c r="F83" s="53" t="s">
        <v>13</v>
      </c>
      <c r="G83" s="12" t="s">
        <v>142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142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143</v>
      </c>
      <c r="D88" s="84">
        <v>46186</v>
      </c>
      <c r="E88" s="107">
        <v>0.41666666666666669</v>
      </c>
      <c r="F88" s="52" t="s">
        <v>2</v>
      </c>
      <c r="G88" s="12" t="s">
        <v>142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143</v>
      </c>
      <c r="D89" s="84">
        <v>46256</v>
      </c>
      <c r="E89" s="107">
        <v>0.375</v>
      </c>
      <c r="F89" s="52" t="s">
        <v>2</v>
      </c>
      <c r="G89" s="12" t="s">
        <v>142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K91"/>
  <sheetViews>
    <sheetView tabSelected="1" topLeftCell="A58" workbookViewId="0">
      <selection activeCell="F63" sqref="F63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32.109375" style="108" bestFit="1" customWidth="1"/>
    <col min="7" max="7" width="11.5546875" style="108"/>
    <col min="10" max="10" width="11.5546875" style="108"/>
  </cols>
  <sheetData>
    <row r="1" spans="1:11" x14ac:dyDescent="0.3">
      <c r="A1" s="108" t="s">
        <v>133</v>
      </c>
      <c r="B1" s="105" t="s">
        <v>134</v>
      </c>
      <c r="C1" s="39" t="s">
        <v>139</v>
      </c>
      <c r="D1" s="39" t="s">
        <v>138</v>
      </c>
      <c r="E1" s="39" t="s">
        <v>137</v>
      </c>
      <c r="F1" s="108" t="s">
        <v>141</v>
      </c>
      <c r="G1" s="108" t="s">
        <v>135</v>
      </c>
      <c r="H1" t="s">
        <v>136</v>
      </c>
      <c r="I1" t="s">
        <v>140</v>
      </c>
      <c r="J1" s="108" t="s">
        <v>144</v>
      </c>
      <c r="K1" s="108" t="s">
        <v>158</v>
      </c>
    </row>
    <row r="2" spans="1:11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F2" s="108" t="s">
        <v>150</v>
      </c>
      <c r="G2" s="108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  <c r="J2" s="108" t="s">
        <v>145</v>
      </c>
      <c r="K2" t="s">
        <v>159</v>
      </c>
    </row>
    <row r="3" spans="1:11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F3" s="108" t="s">
        <v>148</v>
      </c>
      <c r="G3" s="108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  <c r="J3" s="108" t="s">
        <v>145</v>
      </c>
      <c r="K3" t="s">
        <v>159</v>
      </c>
    </row>
    <row r="4" spans="1:11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F4" s="108" t="s">
        <v>149</v>
      </c>
      <c r="G4" s="108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  <c r="J4" s="108" t="s">
        <v>145</v>
      </c>
      <c r="K4" t="s">
        <v>159</v>
      </c>
    </row>
    <row r="5" spans="1:11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F5" s="108" t="s">
        <v>195</v>
      </c>
      <c r="G5" s="108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  <c r="J5" s="108" t="s">
        <v>145</v>
      </c>
      <c r="K5" t="s">
        <v>159</v>
      </c>
    </row>
    <row r="6" spans="1:11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G6" s="108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  <c r="J6" s="108" t="s">
        <v>145</v>
      </c>
      <c r="K6" t="s">
        <v>159</v>
      </c>
    </row>
    <row r="7" spans="1:11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G7" s="108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  <c r="J7" s="108" t="s">
        <v>145</v>
      </c>
      <c r="K7" t="s">
        <v>159</v>
      </c>
    </row>
    <row r="8" spans="1:11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G8" s="108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  <c r="J8" s="108" t="s">
        <v>145</v>
      </c>
      <c r="K8" t="s">
        <v>159</v>
      </c>
    </row>
    <row r="9" spans="1:11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G9" s="108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  <c r="J9" s="108" t="s">
        <v>145</v>
      </c>
      <c r="K9" t="s">
        <v>159</v>
      </c>
    </row>
    <row r="10" spans="1:11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G10" s="108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  <c r="J10" s="108" t="s">
        <v>145</v>
      </c>
      <c r="K10" t="s">
        <v>159</v>
      </c>
    </row>
    <row r="11" spans="1:11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G11" s="108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  <c r="J11" s="108" t="s">
        <v>145</v>
      </c>
      <c r="K11" t="s">
        <v>159</v>
      </c>
    </row>
    <row r="12" spans="1:11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G12" s="108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  <c r="J12" s="108" t="s">
        <v>145</v>
      </c>
      <c r="K12" t="s">
        <v>159</v>
      </c>
    </row>
    <row r="13" spans="1:11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G13" s="108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  <c r="J13" s="108" t="s">
        <v>145</v>
      </c>
      <c r="K13" t="s">
        <v>159</v>
      </c>
    </row>
    <row r="14" spans="1:11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G14" s="108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  <c r="J14" s="108" t="s">
        <v>145</v>
      </c>
      <c r="K14" t="s">
        <v>159</v>
      </c>
    </row>
    <row r="15" spans="1:11" x14ac:dyDescent="0.3">
      <c r="B15" s="105">
        <f>'Nach Mannschaften sortiert'!D15</f>
        <v>46096</v>
      </c>
      <c r="C15" s="39">
        <v>0.5625</v>
      </c>
      <c r="D15" s="39">
        <f t="shared" si="0"/>
        <v>0.63541666666666663</v>
      </c>
      <c r="E15" s="39" t="str">
        <f>UPPER('Nach Mannschaften sortiert'!F15)</f>
        <v>RUST</v>
      </c>
      <c r="F15" s="108" t="s">
        <v>151</v>
      </c>
      <c r="G15" s="108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  <c r="J15" s="108" t="s">
        <v>145</v>
      </c>
      <c r="K15" t="s">
        <v>159</v>
      </c>
    </row>
    <row r="16" spans="1:11" x14ac:dyDescent="0.3">
      <c r="B16" s="105">
        <f>'Nach Mannschaften sortiert'!D16</f>
        <v>46102</v>
      </c>
      <c r="C16" s="39">
        <v>0.58333333333333337</v>
      </c>
      <c r="D16" s="39">
        <f t="shared" si="0"/>
        <v>0.65625</v>
      </c>
      <c r="E16" s="39" t="str">
        <f>UPPER('Nach Mannschaften sortiert'!F16)</f>
        <v>NEUFELD</v>
      </c>
      <c r="F16" s="108" t="s">
        <v>152</v>
      </c>
      <c r="G16" s="108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  <c r="J16" s="108" t="s">
        <v>145</v>
      </c>
      <c r="K16" t="s">
        <v>159</v>
      </c>
    </row>
    <row r="17" spans="2:11" x14ac:dyDescent="0.3">
      <c r="B17" s="105">
        <f>'Nach Mannschaften sortiert'!D17</f>
        <v>46109</v>
      </c>
      <c r="C17" s="39">
        <v>0.5625</v>
      </c>
      <c r="D17" s="39">
        <f t="shared" si="0"/>
        <v>0.63541666666666663</v>
      </c>
      <c r="E17" s="39" t="str">
        <f>UPPER('Nach Mannschaften sortiert'!F17)</f>
        <v>GATTENDORF</v>
      </c>
      <c r="F17" s="108" t="s">
        <v>153</v>
      </c>
      <c r="G17" s="108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  <c r="J17" s="108" t="s">
        <v>145</v>
      </c>
      <c r="K17" t="s">
        <v>159</v>
      </c>
    </row>
    <row r="18" spans="2:11" x14ac:dyDescent="0.3">
      <c r="B18" s="105">
        <f>'Nach Mannschaften sortiert'!D18</f>
        <v>46116</v>
      </c>
      <c r="C18" s="39">
        <v>0.625</v>
      </c>
      <c r="D18" s="39">
        <f t="shared" si="0"/>
        <v>0.69791666666666663</v>
      </c>
      <c r="E18" s="39" t="str">
        <f>UPPER('Nach Mannschaften sortiert'!F18)</f>
        <v>NEUFELD</v>
      </c>
      <c r="F18" s="108" t="s">
        <v>196</v>
      </c>
      <c r="G18" s="108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  <c r="J18" s="108" t="s">
        <v>145</v>
      </c>
      <c r="K18" t="s">
        <v>159</v>
      </c>
    </row>
    <row r="19" spans="2:11" x14ac:dyDescent="0.3">
      <c r="B19" s="105">
        <f>'Nach Mannschaften sortiert'!D19</f>
        <v>46124</v>
      </c>
      <c r="C19" s="39">
        <v>0.58333333333333337</v>
      </c>
      <c r="D19" s="39">
        <f t="shared" si="0"/>
        <v>0.65625</v>
      </c>
      <c r="E19" s="39" t="str">
        <f>UPPER('Nach Mannschaften sortiert'!F19)</f>
        <v>ANDAU</v>
      </c>
      <c r="G19" s="108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  <c r="J19" s="108" t="s">
        <v>145</v>
      </c>
      <c r="K19" t="s">
        <v>159</v>
      </c>
    </row>
    <row r="20" spans="2:11" x14ac:dyDescent="0.3">
      <c r="B20" s="105">
        <f>'Nach Mannschaften sortiert'!D20</f>
        <v>46130</v>
      </c>
      <c r="C20" s="39">
        <v>0.64583333333333337</v>
      </c>
      <c r="D20" s="39">
        <f t="shared" si="0"/>
        <v>0.71875</v>
      </c>
      <c r="E20" s="39" t="str">
        <f>UPPER('Nach Mannschaften sortiert'!F20)</f>
        <v>NEUFELD</v>
      </c>
      <c r="G20" s="108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  <c r="J20" s="108" t="s">
        <v>145</v>
      </c>
      <c r="K20" t="s">
        <v>159</v>
      </c>
    </row>
    <row r="21" spans="2:11" x14ac:dyDescent="0.3">
      <c r="B21" s="105">
        <f>'Nach Mannschaften sortiert'!D21</f>
        <v>46136</v>
      </c>
      <c r="C21" s="39">
        <v>0.75</v>
      </c>
      <c r="D21" s="39">
        <f t="shared" si="0"/>
        <v>0.82291666666666663</v>
      </c>
      <c r="E21" s="39" t="str">
        <f>UPPER('Nach Mannschaften sortiert'!F21)</f>
        <v>DEUTSCH JAHRNDORF</v>
      </c>
      <c r="G21" s="108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  <c r="J21" s="108" t="s">
        <v>145</v>
      </c>
      <c r="K21" t="s">
        <v>159</v>
      </c>
    </row>
    <row r="22" spans="2:11" x14ac:dyDescent="0.3">
      <c r="B22" s="105">
        <f>'Nach Mannschaften sortiert'!D22</f>
        <v>46144</v>
      </c>
      <c r="C22" s="39">
        <v>0.66666666666666663</v>
      </c>
      <c r="D22" s="39">
        <f t="shared" si="0"/>
        <v>0.73958333333333326</v>
      </c>
      <c r="E22" s="39" t="str">
        <f>UPPER('Nach Mannschaften sortiert'!F22)</f>
        <v>NEUFELD</v>
      </c>
      <c r="G22" s="108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  <c r="J22" s="108" t="s">
        <v>145</v>
      </c>
      <c r="K22" t="s">
        <v>159</v>
      </c>
    </row>
    <row r="23" spans="2:11" x14ac:dyDescent="0.3">
      <c r="B23" s="105">
        <f>'Nach Mannschaften sortiert'!D23</f>
        <v>46151</v>
      </c>
      <c r="C23" s="39">
        <v>0.64583333333333337</v>
      </c>
      <c r="D23" s="39">
        <f t="shared" si="0"/>
        <v>0.71875</v>
      </c>
      <c r="E23" s="39" t="str">
        <f>UPPER('Nach Mannschaften sortiert'!F23)</f>
        <v>GOLS</v>
      </c>
      <c r="G23" s="108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  <c r="J23" s="108" t="s">
        <v>145</v>
      </c>
      <c r="K23" t="s">
        <v>159</v>
      </c>
    </row>
    <row r="24" spans="2:11" x14ac:dyDescent="0.3">
      <c r="B24" s="105">
        <f>'Nach Mannschaften sortiert'!D24</f>
        <v>46157</v>
      </c>
      <c r="C24" s="39">
        <v>0.75</v>
      </c>
      <c r="D24" s="39">
        <f t="shared" si="0"/>
        <v>0.82291666666666663</v>
      </c>
      <c r="E24" s="39" t="str">
        <f>UPPER('Nach Mannschaften sortiert'!F24)</f>
        <v>NEUFELD</v>
      </c>
      <c r="G24" s="108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  <c r="J24" s="108" t="s">
        <v>145</v>
      </c>
      <c r="K24" t="s">
        <v>159</v>
      </c>
    </row>
    <row r="25" spans="2:11" x14ac:dyDescent="0.3">
      <c r="B25" s="105">
        <f>'Nach Mannschaften sortiert'!D25</f>
        <v>46166</v>
      </c>
      <c r="C25" s="39">
        <v>0.6875</v>
      </c>
      <c r="D25" s="39">
        <f t="shared" si="0"/>
        <v>0.76041666666666663</v>
      </c>
      <c r="E25" s="39" t="str">
        <f>UPPER('Nach Mannschaften sortiert'!F25)</f>
        <v>WIMPASSING</v>
      </c>
      <c r="G25" s="108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  <c r="J25" s="108" t="s">
        <v>145</v>
      </c>
      <c r="K25" t="s">
        <v>159</v>
      </c>
    </row>
    <row r="26" spans="2:11" x14ac:dyDescent="0.3">
      <c r="B26" s="105">
        <f>'Nach Mannschaften sortiert'!D26</f>
        <v>46172</v>
      </c>
      <c r="C26" s="39">
        <v>0.6875</v>
      </c>
      <c r="D26" s="39">
        <f t="shared" si="0"/>
        <v>0.76041666666666663</v>
      </c>
      <c r="E26" s="39" t="str">
        <f>UPPER('Nach Mannschaften sortiert'!F26)</f>
        <v>WINDEN</v>
      </c>
      <c r="G26" s="108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  <c r="J26" s="108" t="s">
        <v>145</v>
      </c>
      <c r="K26" t="s">
        <v>159</v>
      </c>
    </row>
    <row r="27" spans="2:11" x14ac:dyDescent="0.3">
      <c r="B27" s="105">
        <f>'Nach Mannschaften sortiert'!D27</f>
        <v>46179</v>
      </c>
      <c r="C27" s="39">
        <v>0.66666666666666663</v>
      </c>
      <c r="D27" s="39">
        <f t="shared" si="0"/>
        <v>0.73958333333333326</v>
      </c>
      <c r="E27" s="39" t="str">
        <f>UPPER('Nach Mannschaften sortiert'!F27)</f>
        <v>NEUFELD</v>
      </c>
      <c r="G27" s="108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  <c r="J27" s="108" t="s">
        <v>145</v>
      </c>
      <c r="K27" t="s">
        <v>159</v>
      </c>
    </row>
    <row r="28" spans="2:11" x14ac:dyDescent="0.3">
      <c r="B28" s="105">
        <v>46106</v>
      </c>
      <c r="C28" s="39">
        <v>0.77083333333333337</v>
      </c>
      <c r="D28" s="39">
        <f t="shared" si="0"/>
        <v>0.84375</v>
      </c>
      <c r="E28" s="39" t="str">
        <f>UPPER('Nach Mannschaften sortiert'!F28)</f>
        <v>SV LEITHAPRODERSDORF</v>
      </c>
      <c r="F28" s="108" t="s">
        <v>147</v>
      </c>
      <c r="G28" s="108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  <c r="J28" s="108" t="s">
        <v>145</v>
      </c>
      <c r="K28" t="s">
        <v>159</v>
      </c>
    </row>
    <row r="29" spans="2:11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G29" s="108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  <c r="J29" s="108" t="s">
        <v>145</v>
      </c>
      <c r="K29" t="s">
        <v>159</v>
      </c>
    </row>
    <row r="30" spans="2:11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G30" s="108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  <c r="J30" s="108" t="s">
        <v>145</v>
      </c>
      <c r="K30" t="s">
        <v>159</v>
      </c>
    </row>
    <row r="31" spans="2:11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G31" s="108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  <c r="J31" s="108" t="s">
        <v>145</v>
      </c>
      <c r="K31" t="s">
        <v>159</v>
      </c>
    </row>
    <row r="32" spans="2:11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G32" s="108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  <c r="J32" s="108" t="s">
        <v>145</v>
      </c>
      <c r="K32" t="s">
        <v>159</v>
      </c>
    </row>
    <row r="33" spans="2:11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G33" s="108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  <c r="J33" s="108" t="s">
        <v>145</v>
      </c>
      <c r="K33" t="s">
        <v>159</v>
      </c>
    </row>
    <row r="34" spans="2:11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BERNSTEIN</v>
      </c>
      <c r="G34" s="108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  <c r="J34" s="108" t="s">
        <v>145</v>
      </c>
      <c r="K34" t="s">
        <v>159</v>
      </c>
    </row>
    <row r="35" spans="2:11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F35" s="108" t="s">
        <v>154</v>
      </c>
      <c r="G35" s="108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  <c r="J35" s="108" t="s">
        <v>145</v>
      </c>
      <c r="K35" t="s">
        <v>159</v>
      </c>
    </row>
    <row r="36" spans="2:11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G36" s="108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  <c r="J36" s="108" t="s">
        <v>145</v>
      </c>
      <c r="K36" t="s">
        <v>159</v>
      </c>
    </row>
    <row r="37" spans="2:11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G37" s="108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  <c r="J37" s="108" t="s">
        <v>145</v>
      </c>
      <c r="K37" t="s">
        <v>159</v>
      </c>
    </row>
    <row r="38" spans="2:11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G38" s="108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  <c r="J38" s="108" t="s">
        <v>145</v>
      </c>
      <c r="K38" t="s">
        <v>159</v>
      </c>
    </row>
    <row r="39" spans="2:11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G39" s="108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  <c r="J39" s="108" t="s">
        <v>145</v>
      </c>
      <c r="K39" t="s">
        <v>159</v>
      </c>
    </row>
    <row r="40" spans="2:11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G40" s="108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  <c r="J40" s="108" t="s">
        <v>145</v>
      </c>
      <c r="K40" t="s">
        <v>159</v>
      </c>
    </row>
    <row r="41" spans="2:11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G41" s="108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  <c r="J41" s="108" t="s">
        <v>145</v>
      </c>
      <c r="K41" t="s">
        <v>159</v>
      </c>
    </row>
    <row r="42" spans="2:11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G42" s="108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  <c r="J42" s="108" t="s">
        <v>145</v>
      </c>
      <c r="K42" t="s">
        <v>159</v>
      </c>
    </row>
    <row r="43" spans="2:11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G43" s="108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  <c r="J43" s="108" t="s">
        <v>145</v>
      </c>
      <c r="K43" t="s">
        <v>159</v>
      </c>
    </row>
    <row r="44" spans="2:11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G44" s="108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  <c r="J44" s="108" t="s">
        <v>145</v>
      </c>
      <c r="K44" t="s">
        <v>159</v>
      </c>
    </row>
    <row r="45" spans="2:11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G45" s="108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  <c r="J45" s="108" t="s">
        <v>145</v>
      </c>
      <c r="K45" t="s">
        <v>159</v>
      </c>
    </row>
    <row r="46" spans="2:11" x14ac:dyDescent="0.3">
      <c r="B46" s="105">
        <f>'Nach Mannschaften sortiert'!D46</f>
        <v>46145</v>
      </c>
      <c r="C46" s="39">
        <f>'Nach Mannschaften sortiert'!E46</f>
        <v>0.58333333333333337</v>
      </c>
      <c r="D46" s="39">
        <f t="shared" ref="D46" si="1">IF(I46 = "KM",C46+"1:45",IF(I46="U23",C46+"1:45",IF(I46 = "U16",C46+"1:45",IF(I46 = "U15",C46+"1:30",IF(I46 = "U14",C46+"1:30",IF(I46 = "U13",C46+"1:35",IF(I46 = "U12",C46+"1:10",IF(I46 = "U11",C46+"1:10",IF(I46 = "U10",C46+"1:03",C46+"3:00")))))))))</f>
        <v>0.64583333333333337</v>
      </c>
      <c r="E46" s="39" t="str">
        <f>UPPER('Nach Mannschaften sortiert'!F46)</f>
        <v>NEUFELD</v>
      </c>
      <c r="G46" s="108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  <c r="J46" s="108" t="s">
        <v>145</v>
      </c>
      <c r="K46" t="s">
        <v>159</v>
      </c>
    </row>
    <row r="47" spans="2:11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F47" s="108" t="s">
        <v>197</v>
      </c>
      <c r="G47" s="108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  <c r="J47" s="108" t="s">
        <v>145</v>
      </c>
      <c r="K47" t="s">
        <v>159</v>
      </c>
    </row>
    <row r="48" spans="2:11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G48" s="108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  <c r="J48" s="108" t="s">
        <v>145</v>
      </c>
      <c r="K48" t="s">
        <v>159</v>
      </c>
    </row>
    <row r="49" spans="2:11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G49" s="108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  <c r="J49" s="108" t="s">
        <v>145</v>
      </c>
      <c r="K49" t="s">
        <v>159</v>
      </c>
    </row>
    <row r="50" spans="2:11" x14ac:dyDescent="0.3">
      <c r="B50" s="105">
        <f>'Nach Mannschaften sortiert'!D50</f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G50" s="108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  <c r="J50" s="108" t="s">
        <v>145</v>
      </c>
      <c r="K50" t="s">
        <v>159</v>
      </c>
    </row>
    <row r="51" spans="2:11" x14ac:dyDescent="0.3">
      <c r="B51" s="105">
        <f>'Nach Mannschaften sortiert'!D51</f>
        <v>46158</v>
      </c>
      <c r="C51" s="39">
        <f>'Nach Mannschaften sortiert'!E51</f>
        <v>0.625</v>
      </c>
      <c r="D51" s="39">
        <f t="shared" si="0"/>
        <v>0.6875</v>
      </c>
      <c r="E51" s="39" t="str">
        <f>UPPER('Nach Mannschaften sortiert'!F51)</f>
        <v>NEUFELD</v>
      </c>
      <c r="G51" s="108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  <c r="J51" s="108" t="s">
        <v>145</v>
      </c>
      <c r="K51" t="s">
        <v>159</v>
      </c>
    </row>
    <row r="52" spans="2:11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G52" s="108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  <c r="J52" s="108" t="s">
        <v>145</v>
      </c>
      <c r="K52" t="s">
        <v>159</v>
      </c>
    </row>
    <row r="53" spans="2:11" x14ac:dyDescent="0.3">
      <c r="B53" s="105">
        <f>'Nach Mannschaften sortiert'!D53</f>
        <v>46171</v>
      </c>
      <c r="C53" s="39">
        <f>'Nach Mannschaften sortiert'!E53</f>
        <v>0.79166666666666663</v>
      </c>
      <c r="D53" s="39">
        <f t="shared" si="0"/>
        <v>0.85416666666666663</v>
      </c>
      <c r="E53" s="39" t="str">
        <f>UPPER('Nach Mannschaften sortiert'!F53)</f>
        <v>LEITHAPRODERSDORF</v>
      </c>
      <c r="G53" s="108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  <c r="J53" s="108" t="s">
        <v>145</v>
      </c>
      <c r="K53" t="s">
        <v>159</v>
      </c>
    </row>
    <row r="54" spans="2:11" x14ac:dyDescent="0.3">
      <c r="B54" s="105">
        <v>46110</v>
      </c>
      <c r="C54" s="39">
        <v>0.4375</v>
      </c>
      <c r="D54" s="39">
        <f t="shared" si="0"/>
        <v>0.50347222222222221</v>
      </c>
      <c r="E54" s="39" t="str">
        <f>UPPER('Nach Mannschaften sortiert'!F54)</f>
        <v>NEUFELD</v>
      </c>
      <c r="G54" s="108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  <c r="J54" s="108" t="s">
        <v>146</v>
      </c>
      <c r="K54" t="s">
        <v>159</v>
      </c>
    </row>
    <row r="55" spans="2:11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G55" s="108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  <c r="J55" s="108" t="s">
        <v>145</v>
      </c>
      <c r="K55" t="s">
        <v>159</v>
      </c>
    </row>
    <row r="56" spans="2:11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G56" s="108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  <c r="J56" s="108" t="s">
        <v>145</v>
      </c>
      <c r="K56" t="s">
        <v>159</v>
      </c>
    </row>
    <row r="57" spans="2:11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G57" s="108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  <c r="J57" s="108" t="s">
        <v>145</v>
      </c>
      <c r="K57" t="s">
        <v>159</v>
      </c>
    </row>
    <row r="58" spans="2:11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G58" s="108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  <c r="J58" s="108" t="s">
        <v>145</v>
      </c>
      <c r="K58" t="s">
        <v>159</v>
      </c>
    </row>
    <row r="59" spans="2:11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G59" s="108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  <c r="J59" s="108" t="s">
        <v>145</v>
      </c>
      <c r="K59" t="s">
        <v>159</v>
      </c>
    </row>
    <row r="60" spans="2:11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G60" s="108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  <c r="J60" s="108" t="s">
        <v>145</v>
      </c>
      <c r="K60" t="s">
        <v>159</v>
      </c>
    </row>
    <row r="61" spans="2:11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G61" s="108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  <c r="J61" s="108" t="s">
        <v>145</v>
      </c>
      <c r="K61" t="s">
        <v>159</v>
      </c>
    </row>
    <row r="62" spans="2:11" x14ac:dyDescent="0.3">
      <c r="B62" s="105">
        <v>46127</v>
      </c>
      <c r="C62" s="39">
        <v>0.75</v>
      </c>
      <c r="D62" s="39">
        <f t="shared" si="0"/>
        <v>0.79861111111111116</v>
      </c>
      <c r="E62" s="39" t="str">
        <f>UPPER('Nach Mannschaften sortiert'!F62)</f>
        <v>STEINBRUNN</v>
      </c>
      <c r="G62" s="108" t="str">
        <f>'Nach Mannschaften sortiert'!H62</f>
        <v>Auswärts</v>
      </c>
      <c r="H62" t="str">
        <f>'Nach Mannschaften sortiert'!G62</f>
        <v>Steinbrunn</v>
      </c>
      <c r="I62" t="str">
        <f>'Nach Mannschaften sortiert'!C62</f>
        <v>U11</v>
      </c>
      <c r="J62" s="108" t="s">
        <v>145</v>
      </c>
      <c r="K62" t="s">
        <v>159</v>
      </c>
    </row>
    <row r="63" spans="2:11" x14ac:dyDescent="0.3">
      <c r="B63" s="105">
        <f>'Nach Mannschaften sortiert'!D63</f>
        <v>46123</v>
      </c>
      <c r="C63" s="39">
        <f>'Nach Mannschaften sortiert'!E63</f>
        <v>0.625</v>
      </c>
      <c r="D63" s="39">
        <f t="shared" si="0"/>
        <v>0.67361111111111116</v>
      </c>
      <c r="E63" s="39" t="str">
        <f>UPPER('Nach Mannschaften sortiert'!F63)</f>
        <v>NEUFELD</v>
      </c>
      <c r="F63" s="108" t="s">
        <v>198</v>
      </c>
      <c r="G63" s="108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  <c r="J63" s="108" t="s">
        <v>145</v>
      </c>
      <c r="K63" t="s">
        <v>159</v>
      </c>
    </row>
    <row r="64" spans="2:11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G64" s="108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  <c r="J64" s="108" t="s">
        <v>145</v>
      </c>
      <c r="K64" t="s">
        <v>159</v>
      </c>
    </row>
    <row r="65" spans="2:11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G65" s="108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  <c r="J65" s="108" t="s">
        <v>145</v>
      </c>
      <c r="K65" t="s">
        <v>159</v>
      </c>
    </row>
    <row r="66" spans="2:11" x14ac:dyDescent="0.3">
      <c r="B66" s="105">
        <f>'Nach Mannschaften sortiert'!D66</f>
        <v>46151</v>
      </c>
      <c r="C66" s="39">
        <f>'Nach Mannschaften sortiert'!E66</f>
        <v>0.41666666666666669</v>
      </c>
      <c r="D66" s="39">
        <f t="shared" si="0"/>
        <v>0.46527777777777779</v>
      </c>
      <c r="E66" s="39" t="str">
        <f>UPPER('Nach Mannschaften sortiert'!F66)</f>
        <v>NEUFELD</v>
      </c>
      <c r="G66" s="108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  <c r="J66" s="108" t="s">
        <v>145</v>
      </c>
      <c r="K66" t="s">
        <v>159</v>
      </c>
    </row>
    <row r="67" spans="2:11" x14ac:dyDescent="0.3">
      <c r="B67" s="105">
        <f>'Nach Mannschaften sortiert'!D67</f>
        <v>46159</v>
      </c>
      <c r="C67" s="39">
        <f>'Nach Mannschaften sortiert'!E67</f>
        <v>0.58333333333333337</v>
      </c>
      <c r="D67" s="39">
        <f t="shared" ref="D67:D83" si="2">IF(I67 = "KM",C67+"1:45",IF(I67="U23",C67+"1:45",IF(I67 = "U16",C67+"1:45",IF(I67 = "U15",C67+"1:30",IF(I67 = "U14",C67+"1:30",IF(I67 = "U13",C67+"1:35",IF(I67 = "U12",C67+"1:10",IF(I67 = "U11",C67+"1:10",IF(I67 = "U10",C67+"1:03",C67+"3:00")))))))))</f>
        <v>0.63194444444444453</v>
      </c>
      <c r="E67" s="39" t="str">
        <f>UPPER('Nach Mannschaften sortiert'!F67)</f>
        <v>ST. MARGARETHEN</v>
      </c>
      <c r="G67" s="108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  <c r="J67" s="108" t="s">
        <v>145</v>
      </c>
      <c r="K67" t="s">
        <v>159</v>
      </c>
    </row>
    <row r="68" spans="2:11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2"/>
        <v>0.75694444444444453</v>
      </c>
      <c r="E68" s="39" t="str">
        <f>UPPER('Nach Mannschaften sortiert'!F68)</f>
        <v>NEUFELD</v>
      </c>
      <c r="G68" s="108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  <c r="J68" s="108" t="s">
        <v>145</v>
      </c>
      <c r="K68" t="s">
        <v>159</v>
      </c>
    </row>
    <row r="69" spans="2:11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2"/>
        <v>0.75694444444444453</v>
      </c>
      <c r="E69" s="39" t="str">
        <f>UPPER('Nach Mannschaften sortiert'!F69)</f>
        <v>STOTZING</v>
      </c>
      <c r="G69" s="108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  <c r="J69" s="108" t="s">
        <v>145</v>
      </c>
      <c r="K69" t="s">
        <v>159</v>
      </c>
    </row>
    <row r="70" spans="2:11" x14ac:dyDescent="0.3">
      <c r="B70" s="105">
        <f>'Nach Mannschaften sortiert'!D70</f>
        <v>46123</v>
      </c>
      <c r="C70" s="39">
        <f>'Nach Mannschaften sortiert'!E70</f>
        <v>0.4375</v>
      </c>
      <c r="D70" s="39">
        <f t="shared" si="2"/>
        <v>0.5625</v>
      </c>
      <c r="E70" s="39" t="str">
        <f>UPPER('Nach Mannschaften sortiert'!F70)</f>
        <v>NEUFELD</v>
      </c>
      <c r="G70" s="108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  <c r="J70" s="108" t="s">
        <v>145</v>
      </c>
      <c r="K70" t="s">
        <v>159</v>
      </c>
    </row>
    <row r="71" spans="2:11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2"/>
        <v>0.52083333333333326</v>
      </c>
      <c r="E71" s="39" t="str">
        <f>UPPER('Nach Mannschaften sortiert'!F71)</f>
        <v>STEINBRUNN</v>
      </c>
      <c r="G71" s="108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  <c r="J71" s="108" t="s">
        <v>145</v>
      </c>
      <c r="K71" t="s">
        <v>159</v>
      </c>
    </row>
    <row r="72" spans="2:11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2"/>
        <v>0.72916666666666663</v>
      </c>
      <c r="E72" s="39" t="str">
        <f>UPPER('Nach Mannschaften sortiert'!F72)</f>
        <v>SIEGENDORF</v>
      </c>
      <c r="G72" s="108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  <c r="J72" s="108" t="s">
        <v>145</v>
      </c>
      <c r="K72" t="s">
        <v>159</v>
      </c>
    </row>
    <row r="73" spans="2:11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2"/>
        <v>0.60416666666666674</v>
      </c>
      <c r="E73" s="39" t="str">
        <f>UPPER('Nach Mannschaften sortiert'!F73)</f>
        <v>LEITHAPRODERSDORF</v>
      </c>
      <c r="G73" s="108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  <c r="J73" s="108" t="s">
        <v>145</v>
      </c>
      <c r="K73" t="s">
        <v>159</v>
      </c>
    </row>
    <row r="74" spans="2:11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2"/>
        <v>0.5625</v>
      </c>
      <c r="E74" s="39" t="str">
        <f>UPPER('Nach Mannschaften sortiert'!F74)</f>
        <v>ST. GEORGEN</v>
      </c>
      <c r="G74" s="108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  <c r="J74" s="108" t="s">
        <v>145</v>
      </c>
      <c r="K74" t="s">
        <v>159</v>
      </c>
    </row>
    <row r="75" spans="2:11" x14ac:dyDescent="0.3">
      <c r="B75" s="105">
        <f>'Nach Mannschaften sortiert'!D75</f>
        <v>46123</v>
      </c>
      <c r="C75" s="39">
        <f>'Nach Mannschaften sortiert'!E75</f>
        <v>0.4375</v>
      </c>
      <c r="D75" s="39">
        <f t="shared" si="2"/>
        <v>0.5625</v>
      </c>
      <c r="E75" s="39" t="str">
        <f>UPPER('Nach Mannschaften sortiert'!F75)</f>
        <v>NEUFELD</v>
      </c>
      <c r="G75" s="108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  <c r="J75" s="108" t="s">
        <v>145</v>
      </c>
      <c r="K75" t="s">
        <v>159</v>
      </c>
    </row>
    <row r="76" spans="2:11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2"/>
        <v>0.52083333333333326</v>
      </c>
      <c r="E76" s="39" t="str">
        <f>UPPER('Nach Mannschaften sortiert'!F76)</f>
        <v>SIEGENDORF</v>
      </c>
      <c r="G76" s="108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  <c r="J76" s="108" t="s">
        <v>145</v>
      </c>
      <c r="K76" t="s">
        <v>159</v>
      </c>
    </row>
    <row r="77" spans="2:11" x14ac:dyDescent="0.3">
      <c r="B77" s="105">
        <f>'Nach Mannschaften sortiert'!D77</f>
        <v>46144</v>
      </c>
      <c r="C77" s="39">
        <f>'Nach Mannschaften sortiert'!E77</f>
        <v>0.41666666666666669</v>
      </c>
      <c r="D77" s="39">
        <f t="shared" si="2"/>
        <v>0.54166666666666674</v>
      </c>
      <c r="E77" s="39" t="str">
        <f>UPPER('Nach Mannschaften sortiert'!F77)</f>
        <v>PURBACH</v>
      </c>
      <c r="G77" s="108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  <c r="J77" s="108" t="s">
        <v>145</v>
      </c>
      <c r="K77" t="s">
        <v>159</v>
      </c>
    </row>
    <row r="78" spans="2:11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2"/>
        <v>0.52083333333333326</v>
      </c>
      <c r="E78" s="39" t="str">
        <f>UPPER('Nach Mannschaften sortiert'!F78)</f>
        <v>LEITHAPRODERSDORF</v>
      </c>
      <c r="G78" s="108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  <c r="J78" s="108" t="s">
        <v>145</v>
      </c>
      <c r="K78" t="s">
        <v>159</v>
      </c>
    </row>
    <row r="79" spans="2:11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2"/>
        <v>0.5625</v>
      </c>
      <c r="E79" s="39" t="str">
        <f>UPPER('Nach Mannschaften sortiert'!F79)</f>
        <v>ST. GEORGEN</v>
      </c>
      <c r="G79" s="108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  <c r="J79" s="108" t="s">
        <v>145</v>
      </c>
      <c r="K79" t="s">
        <v>159</v>
      </c>
    </row>
    <row r="80" spans="2:11" x14ac:dyDescent="0.3">
      <c r="B80" s="105">
        <f>'Nach Mannschaften sortiert'!D80</f>
        <v>46123</v>
      </c>
      <c r="C80" s="39">
        <f>'Nach Mannschaften sortiert'!E80</f>
        <v>0.4375</v>
      </c>
      <c r="D80" s="39">
        <f t="shared" si="2"/>
        <v>0.5625</v>
      </c>
      <c r="E80" s="39" t="str">
        <f>UPPER('Nach Mannschaften sortiert'!F80)</f>
        <v>NEUFELD</v>
      </c>
      <c r="G80" s="108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  <c r="J80" s="108" t="s">
        <v>145</v>
      </c>
      <c r="K80" t="s">
        <v>159</v>
      </c>
    </row>
    <row r="81" spans="2:11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2"/>
        <v>0.66666666666666663</v>
      </c>
      <c r="E81" s="39" t="str">
        <f>UPPER('Nach Mannschaften sortiert'!F81)</f>
        <v>EISENSTADT</v>
      </c>
      <c r="G81" s="108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  <c r="J81" s="108" t="s">
        <v>145</v>
      </c>
      <c r="K81" t="s">
        <v>159</v>
      </c>
    </row>
    <row r="82" spans="2:11" x14ac:dyDescent="0.3">
      <c r="B82" s="105">
        <f>'Nach Mannschaften sortiert'!D82</f>
        <v>46143</v>
      </c>
      <c r="C82" s="39">
        <f>'Nach Mannschaften sortiert'!E82</f>
        <v>0</v>
      </c>
      <c r="D82" s="39">
        <f t="shared" si="2"/>
        <v>0.125</v>
      </c>
      <c r="E82" s="39" t="str">
        <f>UPPER('Nach Mannschaften sortiert'!F82)</f>
        <v>WULKAPRODERSDORF</v>
      </c>
      <c r="G82" s="108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  <c r="J82" s="108" t="s">
        <v>145</v>
      </c>
      <c r="K82" t="s">
        <v>159</v>
      </c>
    </row>
    <row r="83" spans="2:11" x14ac:dyDescent="0.3">
      <c r="B83" s="105">
        <f>'Nach Mannschaften sortiert'!D83</f>
        <v>46151</v>
      </c>
      <c r="C83" s="39">
        <f>'Nach Mannschaften sortiert'!E83</f>
        <v>0.39583333333333331</v>
      </c>
      <c r="D83" s="39">
        <f t="shared" si="2"/>
        <v>0.52083333333333326</v>
      </c>
      <c r="E83" s="39" t="str">
        <f>UPPER('Nach Mannschaften sortiert'!F83)</f>
        <v>WIMPASSING</v>
      </c>
      <c r="G83" s="108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  <c r="J83" s="108" t="s">
        <v>145</v>
      </c>
      <c r="K83" t="s">
        <v>159</v>
      </c>
    </row>
    <row r="84" spans="2:11" x14ac:dyDescent="0.3">
      <c r="B84" s="105">
        <f>'Nach Mannschaften sortiert'!D84</f>
        <v>46187</v>
      </c>
      <c r="C84" s="39">
        <f>'Nach Mannschaften sortiert'!E84</f>
        <v>0.4375</v>
      </c>
      <c r="D84" s="39">
        <f>IF(I84 = "KM",C84+"1:45",IF(I84="U23",C84+"1:45",IF(I84 = "U16",C84+"1:45",IF(I84 = "U15",C84+"1:30",IF(I84 = "U14",C84+"1:30",IF(I84 = "U13",C84+"1:35",IF(I84 = "U12",C84+"1:10",IF(I84 = "U11",C84+"1:10",IF(I84 = "U10",C84+"1:03",C84+"3:00")))))))))</f>
        <v>0.5625</v>
      </c>
      <c r="E84" s="39" t="str">
        <f>UPPER('Nach Mannschaften sortiert'!F84)</f>
        <v>ST. GEORGEN</v>
      </c>
      <c r="G84" s="108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  <c r="J84" s="108" t="s">
        <v>145</v>
      </c>
      <c r="K84" t="s">
        <v>159</v>
      </c>
    </row>
    <row r="85" spans="2:11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08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  <c r="J85" s="108" t="s">
        <v>145</v>
      </c>
      <c r="K85" t="s">
        <v>49</v>
      </c>
    </row>
    <row r="86" spans="2:11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08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  <c r="J86" s="108" t="s">
        <v>145</v>
      </c>
      <c r="K86" t="s">
        <v>49</v>
      </c>
    </row>
    <row r="87" spans="2:11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08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  <c r="J87" s="108" t="s">
        <v>145</v>
      </c>
      <c r="K87" t="s">
        <v>49</v>
      </c>
    </row>
    <row r="88" spans="2:11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08" t="str">
        <f>'Nach Mannschaften sortiert'!H88</f>
        <v>Heim</v>
      </c>
      <c r="H88" t="str">
        <f>'Nach Mannschaften sortiert'!G88</f>
        <v>viele Gegner</v>
      </c>
      <c r="I88" t="str">
        <f>'Nach Mannschaften sortiert'!C88</f>
        <v>GGG</v>
      </c>
      <c r="J88" s="108" t="s">
        <v>145</v>
      </c>
      <c r="K88" t="s">
        <v>114</v>
      </c>
    </row>
    <row r="89" spans="2:11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G89" s="108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  <c r="J89" s="108" t="s">
        <v>145</v>
      </c>
      <c r="K89" t="s">
        <v>114</v>
      </c>
    </row>
    <row r="90" spans="2:11" x14ac:dyDescent="0.3">
      <c r="B90" s="105">
        <v>46124</v>
      </c>
      <c r="C90" s="39">
        <v>0.44791666666666669</v>
      </c>
      <c r="D90" s="39">
        <f>IF(I90 = "KM",C90+"1:45",IF(I90="U23",C90+"1:45",IF(I90 = "U16",C90+"1:45",IF(I90 = "U15",C90+"1:30",IF(I90 = "U14",C90+"1:30",IF(I90 = "U13",C90+"1:35",IF(I90 = "U12",C90+"1:10",IF(I90 = "U11",C90+"1:10",IF(I90 = "U10",C90+"1:03",C90+"3:00")))))))))</f>
        <v>0.51388888888888895</v>
      </c>
      <c r="E90" s="39" t="s">
        <v>155</v>
      </c>
      <c r="F90" s="108" t="s">
        <v>157</v>
      </c>
      <c r="G90" s="108" t="s">
        <v>12</v>
      </c>
      <c r="H90" t="s">
        <v>156</v>
      </c>
      <c r="I90" t="s">
        <v>18</v>
      </c>
      <c r="J90" s="108" t="s">
        <v>145</v>
      </c>
      <c r="K90" t="s">
        <v>160</v>
      </c>
    </row>
    <row r="91" spans="2:11" x14ac:dyDescent="0.3">
      <c r="B91" s="105">
        <v>46119</v>
      </c>
      <c r="C91" s="39">
        <v>0.70833333333333337</v>
      </c>
      <c r="D91" s="39">
        <v>0.75</v>
      </c>
      <c r="E91" s="39" t="s">
        <v>155</v>
      </c>
      <c r="F91" s="108" t="s">
        <v>157</v>
      </c>
      <c r="G91" s="108" t="s">
        <v>12</v>
      </c>
      <c r="H91" t="s">
        <v>31</v>
      </c>
      <c r="I91" t="s">
        <v>27</v>
      </c>
      <c r="J91" s="108" t="s">
        <v>145</v>
      </c>
      <c r="K91" t="s">
        <v>160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8BD94-8334-4C49-885A-AEABEA7C434E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77734375" hidden="1" customWidth="1"/>
    <col min="3" max="3" width="48.33203125" bestFit="1" customWidth="1"/>
  </cols>
  <sheetData>
    <row r="1" spans="1:3" ht="19.95" customHeight="1" x14ac:dyDescent="0.3">
      <c r="A1" s="110" t="s">
        <v>178</v>
      </c>
      <c r="B1" s="110"/>
      <c r="C1" s="110" t="s">
        <v>194</v>
      </c>
    </row>
    <row r="2" spans="1:3" ht="19.95" customHeight="1" x14ac:dyDescent="0.3">
      <c r="A2" s="110" t="s">
        <v>179</v>
      </c>
      <c r="B2" s="110" t="s">
        <v>161</v>
      </c>
      <c r="C2" s="110" t="str">
        <f>"https://dtb-asv.github.io/asv-neufeld/"&amp;B2</f>
        <v>https://dtb-asv.github.io/asv-neufeld/alle_spiele.ics</v>
      </c>
    </row>
    <row r="3" spans="1:3" ht="19.95" customHeight="1" x14ac:dyDescent="0.3">
      <c r="A3" s="110" t="s">
        <v>180</v>
      </c>
      <c r="B3" s="110" t="s">
        <v>162</v>
      </c>
      <c r="C3" s="110" t="str">
        <f t="shared" ref="C3:C18" si="0">"https://dtb-asv.github.io/asv-neufeld/"&amp;B3</f>
        <v>https://dtb-asv.github.io/asv-neufeld/heimspiele.ics</v>
      </c>
    </row>
    <row r="4" spans="1:3" ht="19.95" customHeight="1" x14ac:dyDescent="0.3">
      <c r="A4" s="110" t="s">
        <v>181</v>
      </c>
      <c r="B4" s="110" t="s">
        <v>163</v>
      </c>
      <c r="C4" s="110" t="str">
        <f t="shared" si="0"/>
        <v>https://dtb-asv.github.io/asv-neufeld/auswaertsspiele.ics</v>
      </c>
    </row>
    <row r="5" spans="1:3" ht="19.95" customHeight="1" x14ac:dyDescent="0.3">
      <c r="A5" s="110" t="s">
        <v>182</v>
      </c>
      <c r="B5" s="110" t="s">
        <v>164</v>
      </c>
      <c r="C5" s="110" t="str">
        <f t="shared" si="0"/>
        <v>https://dtb-asv.github.io/asv-neufeld/KM.ics</v>
      </c>
    </row>
    <row r="6" spans="1:3" ht="19.95" customHeight="1" x14ac:dyDescent="0.3">
      <c r="A6" s="110" t="s">
        <v>183</v>
      </c>
      <c r="B6" s="110" t="s">
        <v>165</v>
      </c>
      <c r="C6" s="110" t="str">
        <f t="shared" si="0"/>
        <v>https://dtb-asv.github.io/asv-neufeld/U23.ics</v>
      </c>
    </row>
    <row r="7" spans="1:3" ht="19.95" customHeight="1" x14ac:dyDescent="0.3">
      <c r="A7" s="110" t="s">
        <v>184</v>
      </c>
      <c r="B7" s="110" t="s">
        <v>166</v>
      </c>
      <c r="C7" s="110" t="str">
        <f t="shared" si="0"/>
        <v>https://dtb-asv.github.io/asv-neufeld/U16.ics</v>
      </c>
    </row>
    <row r="8" spans="1:3" ht="19.95" customHeight="1" x14ac:dyDescent="0.3">
      <c r="A8" s="110" t="s">
        <v>189</v>
      </c>
      <c r="B8" s="110" t="s">
        <v>167</v>
      </c>
      <c r="C8" s="110" t="str">
        <f t="shared" si="0"/>
        <v>https://dtb-asv.github.io/asv-neufeld/U15.ics</v>
      </c>
    </row>
    <row r="9" spans="1:3" ht="19.95" customHeight="1" x14ac:dyDescent="0.3">
      <c r="A9" s="110" t="s">
        <v>190</v>
      </c>
      <c r="B9" s="110" t="s">
        <v>168</v>
      </c>
      <c r="C9" s="110" t="str">
        <f t="shared" si="0"/>
        <v>https://dtb-asv.github.io/asv-neufeld/U14.ics</v>
      </c>
    </row>
    <row r="10" spans="1:3" ht="19.95" customHeight="1" x14ac:dyDescent="0.3">
      <c r="A10" s="110" t="s">
        <v>191</v>
      </c>
      <c r="B10" s="110" t="s">
        <v>169</v>
      </c>
      <c r="C10" s="110" t="str">
        <f t="shared" si="0"/>
        <v>https://dtb-asv.github.io/asv-neufeld/U13.ics</v>
      </c>
    </row>
    <row r="11" spans="1:3" ht="19.95" customHeight="1" x14ac:dyDescent="0.3">
      <c r="A11" s="110" t="s">
        <v>192</v>
      </c>
      <c r="B11" s="110" t="s">
        <v>176</v>
      </c>
      <c r="C11" s="110" t="str">
        <f t="shared" si="0"/>
        <v>https://dtb-asv.github.io/asv-neufeld/U12.ics</v>
      </c>
    </row>
    <row r="12" spans="1:3" ht="19.95" customHeight="1" x14ac:dyDescent="0.3">
      <c r="A12" s="110" t="s">
        <v>193</v>
      </c>
      <c r="B12" s="110" t="s">
        <v>170</v>
      </c>
      <c r="C12" s="110" t="str">
        <f t="shared" si="0"/>
        <v>https://dtb-asv.github.io/asv-neufeld/U11.ics</v>
      </c>
    </row>
    <row r="13" spans="1:3" ht="19.95" customHeight="1" x14ac:dyDescent="0.3">
      <c r="A13" s="110" t="s">
        <v>188</v>
      </c>
      <c r="B13" s="110" t="s">
        <v>177</v>
      </c>
      <c r="C13" s="110" t="str">
        <f t="shared" si="0"/>
        <v>https://dtb-asv.github.io/asv-neufeld/U10.ics</v>
      </c>
    </row>
    <row r="14" spans="1:3" ht="19.95" customHeight="1" x14ac:dyDescent="0.3">
      <c r="A14" s="110" t="s">
        <v>187</v>
      </c>
      <c r="B14" s="110" t="s">
        <v>171</v>
      </c>
      <c r="C14" s="110" t="str">
        <f t="shared" si="0"/>
        <v>https://dtb-asv.github.io/asv-neufeld/U9.ics</v>
      </c>
    </row>
    <row r="15" spans="1:3" ht="19.95" customHeight="1" x14ac:dyDescent="0.3">
      <c r="A15" s="110" t="s">
        <v>186</v>
      </c>
      <c r="B15" s="110" t="s">
        <v>172</v>
      </c>
      <c r="C15" s="110" t="str">
        <f t="shared" si="0"/>
        <v>https://dtb-asv.github.io/asv-neufeld/ U8.ics</v>
      </c>
    </row>
    <row r="16" spans="1:3" ht="19.95" customHeight="1" x14ac:dyDescent="0.3">
      <c r="A16" s="110" t="s">
        <v>185</v>
      </c>
      <c r="B16" s="110" t="s">
        <v>173</v>
      </c>
      <c r="C16" s="110" t="str">
        <f t="shared" si="0"/>
        <v>https://dtb-asv.github.io/asv-neufeld/ U7.ics</v>
      </c>
    </row>
    <row r="17" spans="2:3" x14ac:dyDescent="0.3">
      <c r="B17" t="s">
        <v>174</v>
      </c>
      <c r="C17" t="str">
        <f t="shared" si="0"/>
        <v>https://dtb-asv.github.io/asv-neufeld/ Camp.ics</v>
      </c>
    </row>
    <row r="18" spans="2:3" x14ac:dyDescent="0.3">
      <c r="B18" t="s">
        <v>175</v>
      </c>
      <c r="C18" t="str">
        <f t="shared" si="0"/>
        <v>https://dtb-asv.github.io/asv-neufeld/ GGG.ics</v>
      </c>
    </row>
    <row r="21" spans="2:3" x14ac:dyDescent="0.3">
      <c r="B21" s="109"/>
    </row>
  </sheetData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7" t="s">
        <v>51</v>
      </c>
      <c r="B1" s="118"/>
      <c r="C1" s="118"/>
      <c r="D1" s="118"/>
      <c r="E1" s="118"/>
      <c r="F1" s="118"/>
      <c r="G1" s="118"/>
      <c r="H1" s="118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4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127</v>
      </c>
      <c r="F3" s="85"/>
      <c r="G3" s="85"/>
      <c r="H3" s="87"/>
      <c r="I3" s="115"/>
      <c r="J3" s="50"/>
    </row>
    <row r="4" spans="1:10" ht="31.2" x14ac:dyDescent="0.35">
      <c r="A4" s="45" t="s">
        <v>87</v>
      </c>
      <c r="B4" s="46" t="s">
        <v>121</v>
      </c>
      <c r="C4" s="85"/>
      <c r="D4" s="88" t="s">
        <v>126</v>
      </c>
      <c r="E4" s="85"/>
      <c r="F4" s="88" t="s">
        <v>126</v>
      </c>
      <c r="G4" s="85"/>
      <c r="H4" s="87"/>
      <c r="I4" s="115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5"/>
      <c r="J5" s="50"/>
    </row>
    <row r="6" spans="1:10" ht="31.2" x14ac:dyDescent="0.35">
      <c r="A6" s="45" t="s">
        <v>36</v>
      </c>
      <c r="B6" s="46" t="s">
        <v>122</v>
      </c>
      <c r="C6" s="89"/>
      <c r="D6" s="90" t="s">
        <v>70</v>
      </c>
      <c r="E6" s="89"/>
      <c r="F6" s="90" t="s">
        <v>70</v>
      </c>
      <c r="G6" s="89"/>
      <c r="H6" s="87"/>
      <c r="I6" s="115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5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5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5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132</v>
      </c>
      <c r="E10" s="85"/>
      <c r="F10" s="90" t="s">
        <v>131</v>
      </c>
      <c r="G10" s="90" t="s">
        <v>132</v>
      </c>
      <c r="H10" s="87"/>
      <c r="I10" s="115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6"/>
      <c r="J11" s="50"/>
    </row>
    <row r="12" spans="1:10" ht="18.600000000000001" thickTop="1" x14ac:dyDescent="0.35">
      <c r="A12" s="45" t="s">
        <v>72</v>
      </c>
      <c r="B12" s="48" t="s">
        <v>129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130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9" t="s">
        <v>77</v>
      </c>
      <c r="B15" s="120"/>
      <c r="C15" s="120"/>
      <c r="D15" s="120"/>
      <c r="E15" s="120"/>
      <c r="F15" s="120"/>
      <c r="G15" s="120"/>
      <c r="H15" s="121"/>
    </row>
    <row r="16" spans="1:10" ht="16.8" thickTop="1" thickBot="1" x14ac:dyDescent="0.35">
      <c r="A16" s="122" t="s">
        <v>76</v>
      </c>
      <c r="B16" s="123"/>
      <c r="C16" s="123"/>
      <c r="D16" s="123"/>
      <c r="E16" s="123"/>
      <c r="F16" s="123"/>
      <c r="G16" s="123"/>
      <c r="H16" s="124"/>
    </row>
    <row r="17" spans="1:8" ht="16.8" thickTop="1" thickBot="1" x14ac:dyDescent="0.35">
      <c r="A17" s="125" t="s">
        <v>75</v>
      </c>
      <c r="B17" s="126"/>
      <c r="C17" s="126"/>
      <c r="D17" s="126"/>
      <c r="E17" s="126"/>
      <c r="F17" s="126"/>
      <c r="G17" s="126"/>
      <c r="H17" s="127"/>
    </row>
    <row r="18" spans="1:8" ht="16.8" thickTop="1" thickBot="1" x14ac:dyDescent="0.35">
      <c r="A18" s="111" t="s">
        <v>78</v>
      </c>
      <c r="B18" s="112"/>
      <c r="C18" s="112"/>
      <c r="D18" s="112"/>
      <c r="E18" s="112"/>
      <c r="F18" s="112"/>
      <c r="G18" s="112"/>
      <c r="H18" s="113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46145</v>
      </c>
      <c r="E5" s="38">
        <f>'Nach Mannschaften sortiert'!E46</f>
        <v>0.58333333333333337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46110</v>
      </c>
      <c r="E7" s="38">
        <f>'Nach Mannschaften sortiert'!E54</f>
        <v>0.45833333333333331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Bernstein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0.4375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0.4375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0.4375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0.625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46151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0.79166666666666663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46109</v>
      </c>
      <c r="E55" s="38">
        <f>'Nach Mannschaften sortiert'!E62</f>
        <v>0.41666666666666669</v>
      </c>
      <c r="F55" s="2" t="str">
        <f>'Nach Mannschaften sortiert'!F62</f>
        <v>Steinbrunn</v>
      </c>
      <c r="G55" s="2" t="str">
        <f>'Nach Mannschaften sortiert'!G62</f>
        <v>Steinbrunn</v>
      </c>
      <c r="H55" s="2" t="str">
        <f>'Nach Mannschaften sortiert'!H62</f>
        <v>Auswärts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46158</v>
      </c>
      <c r="E60" s="62">
        <f>'Nach Mannschaften sortiert'!E51</f>
        <v>0.625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46159</v>
      </c>
      <c r="E61" s="38">
        <f>'Nach Mannschaften sortiert'!E67</f>
        <v>0.58333333333333337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0.41666666666666669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0.39583333333333331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115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120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117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97</v>
      </c>
      <c r="B6" s="78">
        <v>46096</v>
      </c>
      <c r="C6" s="79">
        <v>0.45833333333333331</v>
      </c>
      <c r="D6" s="77" t="s">
        <v>2</v>
      </c>
      <c r="E6" s="77" t="s">
        <v>118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119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46145</v>
      </c>
      <c r="C13" s="82">
        <f>Heimspiele!E5</f>
        <v>0.58333333333333337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46110</v>
      </c>
      <c r="C17" s="82">
        <f>Heimspiele!E7</f>
        <v>0.45833333333333331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Bernstein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116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116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116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0.4375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46151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0.4375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0.4375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0.625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46109</v>
      </c>
      <c r="C54" s="72"/>
      <c r="D54" t="str">
        <f>Heimspiele!F55</f>
        <v>Steinbrunn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46159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46158</v>
      </c>
      <c r="C74" s="82">
        <f>Heimspiele!E60</f>
        <v>0.625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114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114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2026-04-12T08:43:57Z</dcterms:modified>
</cp:coreProperties>
</file>
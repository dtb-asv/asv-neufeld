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56E88674-DB8C-4C4B-8CFA-D67DD68B9E9F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Trainingsplan" sheetId="16" r:id="rId3"/>
    <sheet name="Heimspiele" sheetId="13" r:id="rId4"/>
    <sheet name="Tabelle1" sheetId="18" r:id="rId5"/>
    <sheet name="Stefans Liste 2026" sheetId="19" r:id="rId6"/>
    <sheet name="Tabelle2" sheetId="20" r:id="rId7"/>
  </sheets>
  <definedNames>
    <definedName name="_xlnm._FilterDatabase" localSheetId="3" hidden="1">Heimspiele!$A$1:$H$84</definedName>
    <definedName name="_xlnm._FilterDatabase" localSheetId="0" hidden="1">'Nach Mannschaften sortiert'!$A$1:$H$79</definedName>
    <definedName name="_xlnm._FilterDatabase" localSheetId="5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0" i="21" l="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6" i="21"/>
  <c r="C46" i="21"/>
  <c r="D46" i="21"/>
  <c r="E46" i="21"/>
  <c r="G46" i="21"/>
  <c r="H46" i="21"/>
  <c r="I46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B54" i="21"/>
  <c r="C54" i="2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D62" i="21" s="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E69" i="19" l="1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<sst xmlns="http://schemas.openxmlformats.org/spreadsheetml/2006/main" count="746" uniqueCount="161">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</sst>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126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9" zoomScaleNormal="100" workbookViewId="0">
      <selection activeCell="E64" sqref="E64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46109</v>
      </c>
      <c r="E46" s="22">
        <v>0.66666666666666663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46109</v>
      </c>
      <c r="E62" s="28">
        <v>0.41666666666666669</v>
      </c>
      <c r="F62" s="27" t="s">
        <v>31</v>
      </c>
      <c r="G62" s="27" t="s">
        <v>31</v>
      </c>
      <c r="H62" s="27" t="s">
        <v>11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0.4375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/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/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0"/>
  <sheetViews>
    <sheetView tabSelected="1" topLeftCell="A64" workbookViewId="0">
      <selection activeCell="K80" sqref="K80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14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158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159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159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159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159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159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159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159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159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159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159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159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159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159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159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159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159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159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159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159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159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159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159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159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159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159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159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159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159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159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159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159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159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159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159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159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159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159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159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159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159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159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159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159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159</v>
      </c>
    </row>
    <row r="46" spans="2:11" x14ac:dyDescent="0.3">
      <c r="B46" s="105">
        <f>'Nach Mannschaften sortiert'!D46</f>
        <v>46109</v>
      </c>
      <c r="C46" s="39">
        <f>'Nach Mannschaften sortiert'!E46</f>
        <v>0.66666666666666663</v>
      </c>
      <c r="D46" s="39">
        <f t="shared" si="0"/>
        <v>0.72916666666666663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146</v>
      </c>
      <c r="K46" t="s">
        <v>159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159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159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159</v>
      </c>
    </row>
    <row r="50" spans="2:11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159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159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159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159</v>
      </c>
    </row>
    <row r="54" spans="2:11" x14ac:dyDescent="0.3">
      <c r="B54" s="105">
        <f>'Nach Mannschaften sortiert'!D54</f>
        <v>46110</v>
      </c>
      <c r="C54" s="39">
        <f>'Nach Mannschaften sortiert'!E54</f>
        <v>0.45833333333333331</v>
      </c>
      <c r="D54" s="39">
        <f t="shared" si="0"/>
        <v>0.52430555555555558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  <c r="K54" t="s">
        <v>159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159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159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159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159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159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159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159</v>
      </c>
    </row>
    <row r="62" spans="2:11" x14ac:dyDescent="0.3">
      <c r="B62" s="105">
        <v>46127</v>
      </c>
      <c r="C62" s="39">
        <v>0.75</v>
      </c>
      <c r="D62" s="39">
        <f t="shared" si="0"/>
        <v>0.79861111111111116</v>
      </c>
      <c r="E62" s="39" t="str">
        <f>UPPER('Nach Mannschaften sortiert'!F62)</f>
        <v>STEINBRUNN</v>
      </c>
      <c r="G62" s="108" t="str">
        <f>'Nach Mannschaften sortiert'!H62</f>
        <v>Auswärts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159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159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159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159</v>
      </c>
    </row>
    <row r="66" spans="2:11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159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4" si="1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159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1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159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1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159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1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159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1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159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1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159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1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159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1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159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1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159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1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159</v>
      </c>
    </row>
    <row r="77" spans="2:11" x14ac:dyDescent="0.3">
      <c r="B77" s="105">
        <f>'Nach Mannschaften sortiert'!D77</f>
        <v>46144</v>
      </c>
      <c r="C77" s="39">
        <f>'Nach Mannschaften sortiert'!E77</f>
        <v>0.4375</v>
      </c>
      <c r="D77" s="39">
        <f t="shared" si="1"/>
        <v>0.5625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159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1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159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1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159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1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159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1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159</v>
      </c>
    </row>
    <row r="82" spans="2:11" x14ac:dyDescent="0.3">
      <c r="B82" s="105">
        <f>'Nach Mannschaften sortiert'!D82</f>
        <v>46143</v>
      </c>
      <c r="C82" s="39">
        <f>'Nach Mannschaften sortiert'!E82</f>
        <v>0</v>
      </c>
      <c r="D82" s="39">
        <f t="shared" si="1"/>
        <v>0.125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159</v>
      </c>
    </row>
    <row r="83" spans="2:11" x14ac:dyDescent="0.3">
      <c r="B83" s="105">
        <f>'Nach Mannschaften sortiert'!D83</f>
        <v>46151</v>
      </c>
      <c r="C83" s="39">
        <f>'Nach Mannschaften sortiert'!E83</f>
        <v>0</v>
      </c>
      <c r="D83" s="39">
        <f t="shared" si="1"/>
        <v>0.125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159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159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90" s="39" t="s">
        <v>155</v>
      </c>
      <c r="F90" s="108" t="s">
        <v>157</v>
      </c>
      <c r="G90" s="108" t="s">
        <v>12</v>
      </c>
      <c r="H90" t="s">
        <v>156</v>
      </c>
      <c r="I90" t="s">
        <v>18</v>
      </c>
      <c r="J90" s="108" t="s">
        <v>145</v>
      </c>
      <c r="K90" t="s">
        <v>160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5" t="s">
        <v>51</v>
      </c>
      <c r="B1" s="116"/>
      <c r="C1" s="116"/>
      <c r="D1" s="116"/>
      <c r="E1" s="116"/>
      <c r="F1" s="116"/>
      <c r="G1" s="116"/>
      <c r="H1" s="116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2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3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3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3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3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3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3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3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3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4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7" t="s">
        <v>77</v>
      </c>
      <c r="B15" s="118"/>
      <c r="C15" s="118"/>
      <c r="D15" s="118"/>
      <c r="E15" s="118"/>
      <c r="F15" s="118"/>
      <c r="G15" s="118"/>
      <c r="H15" s="119"/>
    </row>
    <row r="16" spans="1:10" ht="16.8" thickTop="1" thickBot="1" x14ac:dyDescent="0.35">
      <c r="A16" s="120" t="s">
        <v>76</v>
      </c>
      <c r="B16" s="121"/>
      <c r="C16" s="121"/>
      <c r="D16" s="121"/>
      <c r="E16" s="121"/>
      <c r="F16" s="121"/>
      <c r="G16" s="121"/>
      <c r="H16" s="122"/>
    </row>
    <row r="17" spans="1:8" ht="16.8" thickTop="1" thickBot="1" x14ac:dyDescent="0.35">
      <c r="A17" s="123" t="s">
        <v>75</v>
      </c>
      <c r="B17" s="124"/>
      <c r="C17" s="124"/>
      <c r="D17" s="124"/>
      <c r="E17" s="124"/>
      <c r="F17" s="124"/>
      <c r="G17" s="124"/>
      <c r="H17" s="125"/>
    </row>
    <row r="18" spans="1:8" ht="16.8" thickTop="1" thickBot="1" x14ac:dyDescent="0.35">
      <c r="A18" s="109" t="s">
        <v>78</v>
      </c>
      <c r="B18" s="110"/>
      <c r="C18" s="110"/>
      <c r="D18" s="110"/>
      <c r="E18" s="110"/>
      <c r="F18" s="110"/>
      <c r="G18" s="110"/>
      <c r="H18" s="111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46109</v>
      </c>
      <c r="E5" s="38">
        <f>'Nach Mannschaften sortiert'!E46</f>
        <v>0.66666666666666663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46109</v>
      </c>
      <c r="E55" s="38">
        <f>'Nach Mannschaften sortiert'!E62</f>
        <v>0.41666666666666669</v>
      </c>
      <c r="F55" s="2" t="str">
        <f>'Nach Mannschaften sortiert'!F62</f>
        <v>Steinbrunn</v>
      </c>
      <c r="G55" s="2" t="str">
        <f>'Nach Mannschaften sortiert'!G62</f>
        <v>Steinbrunn</v>
      </c>
      <c r="H55" s="2" t="str">
        <f>'Nach Mannschaften sortiert'!H62</f>
        <v>Auswärts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0.4375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46109</v>
      </c>
      <c r="C13" s="82">
        <f>Heimspiele!E5</f>
        <v>0.66666666666666663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46109</v>
      </c>
      <c r="C54" s="72"/>
      <c r="D54" t="str">
        <f>Heimspiele!F55</f>
        <v>Steinbrunn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Nach Mannschaften sortiert</vt:lpstr>
      <vt:lpstr>ICS2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2026-03-30T16:53:53Z</dcterms:modified>
</cp:coreProperties>
</file>
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FE94388F-470C-4BC0-8925-72BCACEDB30C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sortiert'!$A$1:$H$79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2" i="21" l="1"/>
  <c r="B46" i="21"/>
  <c r="C46" i="21"/>
  <c r="D46" i="21"/>
  <c r="E46" i="21"/>
  <c r="G46" i="21"/>
  <c r="H46" i="21"/>
  <c r="I46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D90" i="2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B50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 s="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D62" i="21" l="1"/>
  <c r="E69" i="19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<sst xmlns="http://schemas.openxmlformats.org/spreadsheetml/2006/main" count="800" uniqueCount="208">
  <si>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</si>
  <si>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</si>
  <si>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</si>
  <si>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</si>
  <si>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</si>
  <si>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</si>
  <si>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</si>
  <si>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</si>
  <si>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</si>
  <si>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</si>
  <si>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</si>
  <si>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</si>
  <si>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</si>
  <si>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</si>
  <si>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</si>
  <si>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</si>
  <si>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</si>
  <si>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</si>
  <si>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</si>
  <si>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</si>
  <si>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</si>
  <si>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</si>
  <si>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</si>
  <si>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</si>
  <si>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</si>
  <si>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</si>
  <si>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</si>
  <si>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</si>
  <si>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</si>
  <si>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</si>
  <si>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</si>
  <si>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</si>
  <si>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</si>
  <si>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</si>
  <si>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</si>
  <si>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</si>
  <si>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</si>
  <si>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</si>
  <si>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</si>
  <si>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</si>
  <si>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</si>
  <si>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</si>
  <si>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</si>
  <si>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</si>
  <si>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</si>
  <si>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</si>
  <si>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</si>
  <si>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</si>
  <si>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</si>
  <si>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</si>
  <si>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</si>
  <si>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</si>
  <si>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</si>
  <si>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</si>
  <si>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</si>
  <si>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</si>
  <si>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</si>
  <si>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</si>
  <si>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</si>
  <si>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</si>
  <si>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</si>
  <si>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</si>
  <si>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</si>
  <si>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</si>
  <si>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</si>
  <si>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</si>
  <si>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</si>
  <si>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</si>
  <si>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</si>
  <si>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</si>
  <si>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</si>
  <si>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</si>
  <si>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</si>
  <si>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</si>
  <si>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</si>
  <si>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</si>
  <si>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</si>
  <si>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</si>
  <si>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</si>
  <si>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</si>
  <si>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</si>
  <si>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</si>
  <si>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</si>
  <si>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</si>
  <si>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</si>
  <si>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</si>
  <si>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</si>
  <si>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</si>
  <si>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</si>
  <si>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</si>
  <si>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</si>
  <si>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</si>
  <si>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</si>
  <si>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</si>
  <si>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</si>
  <si>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</si>
  <si>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</si>
  <si>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</si>
  <si>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</si>
  <si>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</si>
  <si>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</si>
  <si>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</si>
  <si>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</si>
  <si>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</si>
  <si>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</si>
  <si>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</si>
  <si>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</si>
  <si>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</si>
  <si>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</si>
  <si>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</si>
  <si>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</si>
  <si>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</si>
  <si>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</si>
  <si>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</si>
  <si>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</si>
  <si>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</si>
  <si>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</si>
  <si>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</si>
  <si>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</si>
  <si>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</si>
  <si>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</si>
  <si>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</si>
  <si>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</si>
  <si>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</si>
  <si>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</si>
  <si>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</si>
  <si>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</si>
  <si>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</si>
  <si>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</si>
  <si>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</si>
  <si>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</si>
  <si>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</si>
  <si>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</si>
  <si>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</si>
  <si>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</si>
  <si>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</si>
  <si>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</si>
  <si>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</si>
  <si>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</si>
  <si>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</si>
  <si>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</si>
  <si>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</si>
  <si>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</si>
  <si>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</si>
  <si>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</si>
  <si>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</si>
  <si>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abgesagt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</si>
  <si>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</si>
  <si>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</si>
  <si>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</si>
  <si>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</si>
  <si>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</si>
  <si>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</si>
  <si>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</si>
  <si>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</si>
  <si>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</si>
  <si>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</si>
  <si>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</si>
  <si>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</si>
  <si>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</si>
  <si>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</si>
  <si>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</si>
  <si>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</si>
  <si>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</si>
  <si>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</si>
  <si>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</si>
  <si>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</si>
  <si>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</si>
  <si>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</si>
  <si>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</si>
  <si>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</si>
  <si>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</si>
  <si>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</si>
  <si>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</si>
  <si>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</si>
  <si>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</si>
  <si>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</si>
  <si>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</si>
  <si>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</si>
  <si>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</si>
  <si>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</si>
  <si>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</si>
  <si>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</si>
  <si>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</si>
  <si>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</si>
  <si>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</si>
  <si>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</si>
  <si>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</si>
  <si>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</si>
  <si>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</si>
  <si>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</si>
  <si>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</si>
  <si>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</si>
  <si>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</si>
  <si>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</si>
  <si>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Endstand 3:1 für Neufeld</t>
  </si>
  <si>
    <t>Endstand 0:2 für Illmitz</t>
  </si>
  <si>
    <t>Endstand 3:2 für SK Pama</t>
  </si>
  <si>
    <t>Endstand 7:2 für Neufeld</t>
  </si>
  <si>
    <t>Endstand 3:1 für Edelserpentin</t>
  </si>
  <si>
    <t>Endstand 3:2 für Parndorf</t>
  </si>
  <si>
    <t>Endstand 2:2 Freundschaftsspiel</t>
  </si>
  <si>
    <t>Endstand 1:1</t>
  </si>
  <si>
    <t>Endstand 5:0 für Andau</t>
  </si>
  <si>
    <t>Endstand 5:1 für Steinbrunn</t>
  </si>
  <si>
    <t>Endstand 1:0 für Großhöflein</t>
  </si>
  <si>
    <t>Endstand 3:3</t>
  </si>
  <si>
    <t>Endstand 2:2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</si>
</sst>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52" zoomScaleNormal="100" workbookViewId="0">
      <selection activeCell="E62" sqref="E62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46145</v>
      </c>
      <c r="E46" s="22">
        <v>0.58333333333333337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46151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46110</v>
      </c>
      <c r="E54" s="11">
        <v>0.45833333333333331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46127</v>
      </c>
      <c r="E62" s="28">
        <v>0.72916666666666663</v>
      </c>
      <c r="F62" s="27" t="s">
        <v>2</v>
      </c>
      <c r="G62" s="27" t="s">
        <v>31</v>
      </c>
      <c r="H62" s="27" t="s">
        <v>12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0.41666666666666669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>
        <v>0.4375</v>
      </c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>
        <v>0.39583333333333331</v>
      </c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1"/>
  <sheetViews>
    <sheetView tabSelected="1" topLeftCell="A39" workbookViewId="0">
      <selection activeCell="F56" sqref="F56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s="108" t="s">
        <v>141</v>
      </c>
      <c r="G1" s="108" t="s">
        <v>135</v>
      </c>
      <c r="H1" t="s">
        <v>136</v>
      </c>
      <c r="I1" t="s">
        <v>140</v>
      </c>
      <c r="J1" s="108" t="s">
        <v>144</v>
      </c>
      <c r="K1" s="108" t="s">
        <v>158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150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145</v>
      </c>
      <c r="K2" t="s">
        <v>159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148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145</v>
      </c>
      <c r="K3" t="s">
        <v>159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149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145</v>
      </c>
      <c r="K4" t="s">
        <v>159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F5" s="108" t="s">
        <v>195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145</v>
      </c>
      <c r="K5" t="s">
        <v>159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F6" s="108" t="s">
        <v>202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145</v>
      </c>
      <c r="K6" t="s">
        <v>159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F7" s="108" t="s">
        <v>195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145</v>
      </c>
      <c r="K7" t="s">
        <v>159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145</v>
      </c>
      <c r="K8" t="s">
        <v>159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145</v>
      </c>
      <c r="K9" t="s">
        <v>159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145</v>
      </c>
      <c r="K10" t="s">
        <v>159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145</v>
      </c>
      <c r="K11" t="s">
        <v>159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145</v>
      </c>
      <c r="K12" t="s">
        <v>159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145</v>
      </c>
      <c r="K13" t="s">
        <v>159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145</v>
      </c>
      <c r="K14" t="s">
        <v>159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151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145</v>
      </c>
      <c r="K15" t="s">
        <v>159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152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145</v>
      </c>
      <c r="K16" t="s">
        <v>159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153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145</v>
      </c>
      <c r="K17" t="s">
        <v>159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F18" s="108" t="s">
        <v>196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145</v>
      </c>
      <c r="K18" t="s">
        <v>159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F19" s="108" t="s">
        <v>203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145</v>
      </c>
      <c r="K19" t="s">
        <v>159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F20" s="108" t="s">
        <v>206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145</v>
      </c>
      <c r="K20" t="s">
        <v>159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145</v>
      </c>
      <c r="K21" t="s">
        <v>159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145</v>
      </c>
      <c r="K22" t="s">
        <v>159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145</v>
      </c>
      <c r="K23" t="s">
        <v>159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145</v>
      </c>
      <c r="K24" t="s">
        <v>159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145</v>
      </c>
      <c r="K25" t="s">
        <v>159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145</v>
      </c>
      <c r="K26" t="s">
        <v>159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145</v>
      </c>
      <c r="K27" t="s">
        <v>159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147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145</v>
      </c>
      <c r="K28" t="s">
        <v>159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F29" s="108" t="s">
        <v>199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145</v>
      </c>
      <c r="K29" t="s">
        <v>159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145</v>
      </c>
      <c r="K30" t="s">
        <v>159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145</v>
      </c>
      <c r="K31" t="s">
        <v>159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145</v>
      </c>
      <c r="K32" t="s">
        <v>159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145</v>
      </c>
      <c r="K33" t="s">
        <v>159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145</v>
      </c>
      <c r="K34" t="s">
        <v>159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154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145</v>
      </c>
      <c r="K35" t="s">
        <v>159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145</v>
      </c>
      <c r="K36" t="s">
        <v>159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145</v>
      </c>
      <c r="K37" t="s">
        <v>159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F38" s="108" t="s">
        <v>200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145</v>
      </c>
      <c r="K38" t="s">
        <v>159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F39" s="108" t="s">
        <v>205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145</v>
      </c>
      <c r="K39" t="s">
        <v>159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145</v>
      </c>
      <c r="K40" t="s">
        <v>159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145</v>
      </c>
      <c r="K41" t="s">
        <v>159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145</v>
      </c>
      <c r="K42" t="s">
        <v>159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145</v>
      </c>
      <c r="K43" t="s">
        <v>159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145</v>
      </c>
      <c r="K44" t="s">
        <v>159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145</v>
      </c>
      <c r="K45" t="s">
        <v>159</v>
      </c>
    </row>
    <row r="46" spans="2:11" x14ac:dyDescent="0.3">
      <c r="B46" s="105">
        <f>'Nach Mannschaften sortiert'!D46</f>
        <v>46145</v>
      </c>
      <c r="C46" s="39">
        <f>'Nach Mannschaften sortiert'!E46</f>
        <v>0.58333333333333337</v>
      </c>
      <c r="D46" s="39">
        <f t="shared" ref="D46" si="1">IF(I46 = "KM",C46+"1:45",IF(I46="U23",C46+"1:45",IF(I46 = "U16",C46+"1:45",IF(I46 = "U15",C46+"1:30",IF(I46 = "U14",C46+"1:30",IF(I46 = "U13",C46+"1:35",IF(I46 = "U12",C46+"1:10",IF(I46 = "U11",C46+"1:10",IF(I46 = "U10",C46+"1:03",C46+"3:00")))))))))</f>
        <v>0.64583333333333337</v>
      </c>
      <c r="E46" s="39" t="str">
        <f>UPPER('Nach Mannschaften sortiert'!F46)</f>
        <v>NEUFELD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145</v>
      </c>
      <c r="K46" t="s">
        <v>159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F47" s="108" t="s">
        <v>197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145</v>
      </c>
      <c r="K47" t="s">
        <v>159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145</v>
      </c>
      <c r="K48" t="s">
        <v>159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145</v>
      </c>
      <c r="K49" t="s">
        <v>159</v>
      </c>
    </row>
    <row r="50" spans="2:11" x14ac:dyDescent="0.3">
      <c r="B50" s="105">
        <f>'Nach Mannschaften sortiert'!D50</f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145</v>
      </c>
      <c r="K50" t="s">
        <v>159</v>
      </c>
    </row>
    <row r="51" spans="2:11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145</v>
      </c>
      <c r="K51" t="s">
        <v>159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145</v>
      </c>
      <c r="K52" t="s">
        <v>159</v>
      </c>
    </row>
    <row r="53" spans="2:11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145</v>
      </c>
      <c r="K53" t="s">
        <v>159</v>
      </c>
    </row>
    <row r="54" spans="2:11" x14ac:dyDescent="0.3">
      <c r="B54" s="105">
        <v>46110</v>
      </c>
      <c r="C54" s="39">
        <v>0.4375</v>
      </c>
      <c r="D54" s="39">
        <f t="shared" si="0"/>
        <v>0.50347222222222221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146</v>
      </c>
      <c r="K54" t="s">
        <v>159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F55" s="108" t="s">
        <v>207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145</v>
      </c>
      <c r="K55" t="s">
        <v>159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145</v>
      </c>
      <c r="K56" t="s">
        <v>159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145</v>
      </c>
      <c r="K57" t="s">
        <v>159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145</v>
      </c>
      <c r="K58" t="s">
        <v>159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145</v>
      </c>
      <c r="K59" t="s">
        <v>159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145</v>
      </c>
      <c r="K60" t="s">
        <v>159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145</v>
      </c>
      <c r="K61" t="s">
        <v>159</v>
      </c>
    </row>
    <row r="62" spans="2:11" x14ac:dyDescent="0.3">
      <c r="B62" s="105">
        <v>46127</v>
      </c>
      <c r="C62" s="39">
        <f>'Nach Mannschaften sortiert'!E62</f>
        <v>0.72916666666666663</v>
      </c>
      <c r="D62" s="39">
        <f t="shared" si="0"/>
        <v>0.77777777777777779</v>
      </c>
      <c r="E62" s="39" t="str">
        <f>UPPER('Nach Mannschaften sortiert'!F62)</f>
        <v>NEUFELD</v>
      </c>
      <c r="F62" s="108" t="s">
        <v>204</v>
      </c>
      <c r="G62" s="108" t="str">
        <f>'Nach Mannschaften sortiert'!H62</f>
        <v>Heim</v>
      </c>
      <c r="H62" t="str">
        <f>'Nach Mannschaften sortiert'!G62</f>
        <v>Steinbrunn</v>
      </c>
      <c r="I62" t="str">
        <f>'Nach Mannschaften sortiert'!C62</f>
        <v>U11</v>
      </c>
      <c r="J62" s="108" t="s">
        <v>145</v>
      </c>
      <c r="K62" t="s">
        <v>159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F63" s="108" t="s">
        <v>198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145</v>
      </c>
      <c r="K63" t="s">
        <v>159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145</v>
      </c>
      <c r="K64" t="s">
        <v>159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145</v>
      </c>
      <c r="K65" t="s">
        <v>159</v>
      </c>
    </row>
    <row r="66" spans="2:11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145</v>
      </c>
      <c r="K66" t="s">
        <v>159</v>
      </c>
    </row>
    <row r="67" spans="2:11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3" si="2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145</v>
      </c>
      <c r="K67" t="s">
        <v>159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2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145</v>
      </c>
      <c r="K68" t="s">
        <v>159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2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145</v>
      </c>
      <c r="K69" t="s">
        <v>159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2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145</v>
      </c>
      <c r="K70" t="s">
        <v>159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2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145</v>
      </c>
      <c r="K71" t="s">
        <v>159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2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145</v>
      </c>
      <c r="K72" t="s">
        <v>159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2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145</v>
      </c>
      <c r="K73" t="s">
        <v>159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2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145</v>
      </c>
      <c r="K74" t="s">
        <v>159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2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145</v>
      </c>
      <c r="K75" t="s">
        <v>159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2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145</v>
      </c>
      <c r="K76" t="s">
        <v>159</v>
      </c>
    </row>
    <row r="77" spans="2:11" x14ac:dyDescent="0.3">
      <c r="B77" s="105">
        <f>'Nach Mannschaften sortiert'!D77</f>
        <v>46144</v>
      </c>
      <c r="C77" s="39">
        <f>'Nach Mannschaften sortiert'!E77</f>
        <v>0.41666666666666669</v>
      </c>
      <c r="D77" s="39">
        <f t="shared" si="2"/>
        <v>0.54166666666666674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145</v>
      </c>
      <c r="K77" t="s">
        <v>159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2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145</v>
      </c>
      <c r="K78" t="s">
        <v>159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2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145</v>
      </c>
      <c r="K79" t="s">
        <v>159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2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145</v>
      </c>
      <c r="K80" t="s">
        <v>159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2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145</v>
      </c>
      <c r="K81" t="s">
        <v>159</v>
      </c>
    </row>
    <row r="82" spans="2:11" x14ac:dyDescent="0.3">
      <c r="B82" s="105">
        <f>'Nach Mannschaften sortiert'!D82</f>
        <v>46143</v>
      </c>
      <c r="C82" s="39">
        <f>'Nach Mannschaften sortiert'!E82</f>
        <v>0.4375</v>
      </c>
      <c r="D82" s="39">
        <f t="shared" si="2"/>
        <v>0.5625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145</v>
      </c>
      <c r="K82" t="s">
        <v>159</v>
      </c>
    </row>
    <row r="83" spans="2:11" x14ac:dyDescent="0.3">
      <c r="B83" s="105">
        <f>'Nach Mannschaften sortiert'!D83</f>
        <v>46151</v>
      </c>
      <c r="C83" s="39">
        <f>'Nach Mannschaften sortiert'!E83</f>
        <v>0.39583333333333331</v>
      </c>
      <c r="D83" s="39">
        <f t="shared" si="2"/>
        <v>0.52083333333333326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145</v>
      </c>
      <c r="K83" t="s">
        <v>159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145</v>
      </c>
      <c r="K84" t="s">
        <v>159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145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145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145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145</v>
      </c>
      <c r="K88" t="s">
        <v>114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145</v>
      </c>
      <c r="K89" t="s">
        <v>114</v>
      </c>
    </row>
    <row r="90" spans="2:11" x14ac:dyDescent="0.3">
      <c r="B90" s="105">
        <v>46124</v>
      </c>
      <c r="C90" s="39">
        <v>0.44791666666666669</v>
      </c>
      <c r="D90" s="39">
        <f>IF(I90 = "KM",C90+"1:45",IF(I90="U23",C90+"1:45",IF(I90 = "U16",C90+"1:45",IF(I90 = "U15",C90+"1:30",IF(I90 = "U14",C90+"1:30",IF(I90 = "U13",C90+"1:35",IF(I90 = "U12",C90+"1:10",IF(I90 = "U11",C90+"1:10",IF(I90 = "U10",C90+"1:03",C90+"3:00")))))))))</f>
        <v>0.51388888888888895</v>
      </c>
      <c r="E90" s="39" t="s">
        <v>155</v>
      </c>
      <c r="F90" s="108" t="s">
        <v>201</v>
      </c>
      <c r="G90" s="108" t="s">
        <v>12</v>
      </c>
      <c r="H90" t="s">
        <v>156</v>
      </c>
      <c r="I90" t="s">
        <v>18</v>
      </c>
      <c r="J90" s="108" t="s">
        <v>145</v>
      </c>
      <c r="K90" t="s">
        <v>160</v>
      </c>
    </row>
    <row r="91" spans="2:11" x14ac:dyDescent="0.3">
      <c r="B91" s="105">
        <v>46119</v>
      </c>
      <c r="C91" s="39">
        <v>0.70833333333333337</v>
      </c>
      <c r="D91" s="39">
        <v>0.75</v>
      </c>
      <c r="E91" s="39" t="s">
        <v>155</v>
      </c>
      <c r="F91" s="108" t="s">
        <v>157</v>
      </c>
      <c r="G91" s="108" t="s">
        <v>12</v>
      </c>
      <c r="H91" t="s">
        <v>31</v>
      </c>
      <c r="I91" t="s">
        <v>27</v>
      </c>
      <c r="J91" s="108" t="s">
        <v>145</v>
      </c>
      <c r="K91" t="s">
        <v>160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178</v>
      </c>
      <c r="B1" s="110"/>
      <c r="C1" s="110" t="s">
        <v>194</v>
      </c>
    </row>
    <row r="2" spans="1:3" ht="19.95" customHeight="1" x14ac:dyDescent="0.3">
      <c r="A2" s="110" t="s">
        <v>179</v>
      </c>
      <c r="B2" s="110" t="s">
        <v>161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180</v>
      </c>
      <c r="B3" s="110" t="s">
        <v>162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181</v>
      </c>
      <c r="B4" s="110" t="s">
        <v>163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182</v>
      </c>
      <c r="B5" s="110" t="s">
        <v>164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183</v>
      </c>
      <c r="B6" s="110" t="s">
        <v>165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184</v>
      </c>
      <c r="B7" s="110" t="s">
        <v>166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189</v>
      </c>
      <c r="B8" s="110" t="s">
        <v>167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190</v>
      </c>
      <c r="B9" s="110" t="s">
        <v>168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191</v>
      </c>
      <c r="B10" s="110" t="s">
        <v>169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192</v>
      </c>
      <c r="B11" s="110" t="s">
        <v>176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193</v>
      </c>
      <c r="B12" s="110" t="s">
        <v>170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188</v>
      </c>
      <c r="B13" s="110" t="s">
        <v>177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187</v>
      </c>
      <c r="B14" s="110" t="s">
        <v>171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186</v>
      </c>
      <c r="B15" s="110" t="s">
        <v>172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185</v>
      </c>
      <c r="B16" s="110" t="s">
        <v>173</v>
      </c>
      <c r="C16" s="110" t="str">
        <f t="shared" si="0"/>
        <v>https://dtb-asv.github.io/asv-neufeld/ U7.ics</v>
      </c>
    </row>
    <row r="17" spans="2:3" x14ac:dyDescent="0.3">
      <c r="B17" t="s">
        <v>174</v>
      </c>
      <c r="C17" t="str">
        <f t="shared" si="0"/>
        <v>https://dtb-asv.github.io/asv-neufeld/ Camp.ics</v>
      </c>
    </row>
    <row r="18" spans="2:3" x14ac:dyDescent="0.3">
      <c r="B18" t="s">
        <v>175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7" t="s">
        <v>51</v>
      </c>
      <c r="B1" s="118"/>
      <c r="C1" s="118"/>
      <c r="D1" s="118"/>
      <c r="E1" s="118"/>
      <c r="F1" s="118"/>
      <c r="G1" s="118"/>
      <c r="H1" s="118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4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5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5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5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5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5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5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5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5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6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9" t="s">
        <v>77</v>
      </c>
      <c r="B15" s="120"/>
      <c r="C15" s="120"/>
      <c r="D15" s="120"/>
      <c r="E15" s="120"/>
      <c r="F15" s="120"/>
      <c r="G15" s="120"/>
      <c r="H15" s="121"/>
    </row>
    <row r="16" spans="1:10" ht="16.8" thickTop="1" thickBot="1" x14ac:dyDescent="0.35">
      <c r="A16" s="122" t="s">
        <v>76</v>
      </c>
      <c r="B16" s="123"/>
      <c r="C16" s="123"/>
      <c r="D16" s="123"/>
      <c r="E16" s="123"/>
      <c r="F16" s="123"/>
      <c r="G16" s="123"/>
      <c r="H16" s="124"/>
    </row>
    <row r="17" spans="1:8" ht="16.8" thickTop="1" thickBot="1" x14ac:dyDescent="0.35">
      <c r="A17" s="125" t="s">
        <v>75</v>
      </c>
      <c r="B17" s="126"/>
      <c r="C17" s="126"/>
      <c r="D17" s="126"/>
      <c r="E17" s="126"/>
      <c r="F17" s="126"/>
      <c r="G17" s="126"/>
      <c r="H17" s="127"/>
    </row>
    <row r="18" spans="1:8" ht="16.8" thickTop="1" thickBot="1" x14ac:dyDescent="0.35">
      <c r="A18" s="111" t="s">
        <v>78</v>
      </c>
      <c r="B18" s="112"/>
      <c r="C18" s="112"/>
      <c r="D18" s="112"/>
      <c r="E18" s="112"/>
      <c r="F18" s="112"/>
      <c r="G18" s="112"/>
      <c r="H18" s="11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46145</v>
      </c>
      <c r="E5" s="38">
        <f>'Nach Mannschaften sortiert'!E46</f>
        <v>0.58333333333333337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46110</v>
      </c>
      <c r="E7" s="38">
        <f>'Nach Mannschaften sortiert'!E54</f>
        <v>0.45833333333333331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46151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46127</v>
      </c>
      <c r="E55" s="38">
        <f>'Nach Mannschaften sortiert'!E62</f>
        <v>0.72916666666666663</v>
      </c>
      <c r="F55" s="2" t="str">
        <f>'Nach Mannschaften sortiert'!F62</f>
        <v>Neufeld</v>
      </c>
      <c r="G55" s="2" t="str">
        <f>'Nach Mannschaften sortiert'!G62</f>
        <v>Steinbrunn</v>
      </c>
      <c r="H55" s="2" t="str">
        <f>'Nach Mannschaften sortiert'!H62</f>
        <v>Heim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0.41666666666666669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0.4375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0.39583333333333331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46145</v>
      </c>
      <c r="C13" s="82">
        <f>Heimspiele!E5</f>
        <v>0.58333333333333337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46110</v>
      </c>
      <c r="C17" s="82">
        <f>Heimspiele!E7</f>
        <v>0.45833333333333331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46151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46127</v>
      </c>
      <c r="C54" s="72"/>
      <c r="D54" t="str">
        <f>Heimspiele!F55</f>
        <v>Neufeld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2026-04-19T08:08:12Z</dcterms:modified>
</cp:coreProperties>
</file>
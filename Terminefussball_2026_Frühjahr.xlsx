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429D6FD2-AD96-45B9-96EA-D00777D0D76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9" i="21" l="1"/>
  <c r="E34" i="21"/>
  <c r="C54" i="21"/>
  <c r="B54" i="21"/>
  <c r="C62" i="2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 s="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<sst xmlns="http://schemas.openxmlformats.org/spreadsheetml/2006/main" count="850" uniqueCount="244">
  <si>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</si>
  <si>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</si>
  <si>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</si>
  <si>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</si>
  <si>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</si>
  <si>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</si>
  <si>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</si>
  <si>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</si>
  <si>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</si>
  <si>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</si>
  <si>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</si>
  <si>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</si>
  <si>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</si>
  <si>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</si>
  <si>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</si>
  <si>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</si>
  <si>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</si>
  <si>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</si>
  <si>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</si>
  <si>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</si>
  <si>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</si>
  <si>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</si>
  <si>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</si>
  <si>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</si>
  <si>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</si>
  <si>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</si>
  <si>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</si>
  <si>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</si>
  <si>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</si>
  <si>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</si>
  <si>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</si>
  <si>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</si>
  <si>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</si>
  <si>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</si>
  <si>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</si>
  <si>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</si>
  <si>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</si>
  <si>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</si>
  <si>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</si>
  <si>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</si>
  <si>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</si>
  <si>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</si>
  <si>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</si>
  <si>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</si>
  <si>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</si>
  <si>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</si>
  <si>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</si>
  <si>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</si>
  <si>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</si>
  <si>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</si>
  <si>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</si>
  <si>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</si>
  <si>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</si>
  <si>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</si>
  <si>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</si>
  <si>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</si>
  <si>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</si>
  <si>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</si>
  <si>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</si>
  <si>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</si>
  <si>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</si>
  <si>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</si>
  <si>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</si>
  <si>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</si>
  <si>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</si>
  <si>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</si>
  <si>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</si>
  <si>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</si>
  <si>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</si>
  <si>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</si>
  <si>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</si>
  <si>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</si>
  <si>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</si>
  <si>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</si>
  <si>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</si>
  <si>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</si>
  <si>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</si>
  <si>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</si>
  <si>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</si>
  <si>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</si>
  <si>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</si>
  <si>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</si>
  <si>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</si>
  <si>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</si>
  <si>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</si>
  <si>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</si>
  <si>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</si>
  <si>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</si>
  <si>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</si>
  <si>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</si>
  <si>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</si>
  <si>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</si>
  <si>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</si>
  <si>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</si>
  <si>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</si>
  <si>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</si>
  <si>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</si>
  <si>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</si>
  <si>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</si>
  <si>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</si>
  <si>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</si>
  <si>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</si>
  <si>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</si>
  <si>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</si>
  <si>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</si>
  <si>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</si>
  <si>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</si>
  <si>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</si>
  <si>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</si>
  <si>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</si>
  <si>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</si>
  <si>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</si>
  <si>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</si>
  <si>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</si>
  <si>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</si>
  <si>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</si>
  <si>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</si>
  <si>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</si>
  <si>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</si>
  <si>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</si>
  <si>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</si>
  <si>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</si>
  <si>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</si>
  <si>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</si>
  <si>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</si>
  <si>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</si>
  <si>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</si>
  <si>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</si>
  <si>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</si>
  <si>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</si>
  <si>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</si>
  <si>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</si>
  <si>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</si>
  <si>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</si>
  <si>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</si>
  <si>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</si>
  <si>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</si>
  <si>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</si>
  <si>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</si>
  <si>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</si>
  <si>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</si>
  <si>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</si>
  <si>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</si>
  <si>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</si>
  <si>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</si>
  <si>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</si>
  <si>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</si>
  <si>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</si>
  <si>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</si>
  <si>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</si>
  <si>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</si>
  <si>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</si>
  <si>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</si>
  <si>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</si>
  <si>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</si>
  <si>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</si>
  <si>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</si>
  <si>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</si>
  <si>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</si>
  <si>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</si>
  <si>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</si>
  <si>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</si>
  <si>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</si>
  <si>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</si>
  <si>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</si>
  <si>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</si>
  <si>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</si>
  <si>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</si>
  <si>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</si>
  <si>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</si>
  <si>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</si>
  <si>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</si>
  <si>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</si>
  <si>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</si>
  <si>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</si>
  <si>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</si>
  <si>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</si>
  <si>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</si>
  <si>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</si>
  <si>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</si>
  <si>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</si>
  <si>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</si>
  <si>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</si>
  <si>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</si>
  <si>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</si>
  <si>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</si>
  <si>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</si>
  <si>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</si>
  <si>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</si>
  <si>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</si>
  <si>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</si>
  <si>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</si>
  <si>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</si>
  <si>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</si>
  <si>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</si>
  <si>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</si>
  <si>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</si>
  <si>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</si>
  <si>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</si>
  <si>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</si>
  <si>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</si>
  <si>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</si>
  <si>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</si>
  <si>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</si>
  <si>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</si>
  <si>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</si>
  <si>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</si>
  <si>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</si>
  <si>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</si>
  <si>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</si>
  <si>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</si>
  <si>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</si>
  <si>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</si>
  <si>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</si>
  <si>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</si>
  <si>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</si>
  <si>
    <t>Endstand 7:3 für Kittsee</t>
  </si>
  <si>
    <t>Endstand 3:1 für Gols</t>
  </si>
  <si>
    <t>Endstand 5:3 für Wimpassing/Neufeld</t>
  </si>
  <si>
    <t>Endstand 3:0 für Neufeld</t>
  </si>
  <si>
    <t>Endstand 4:3 für Neufeld</t>
  </si>
  <si>
    <t>Endstand 4:0 für Parndorf</t>
  </si>
  <si>
    <t>Endstand 1:0 für Pama</t>
  </si>
  <si>
    <t>Endstand 4:1 für Neufeld</t>
  </si>
  <si>
    <t>Endstand 6:1 für SPG SVO</t>
  </si>
  <si>
    <t>Oberwart</t>
  </si>
  <si>
    <t>Endstand 4:0 für Kittsee</t>
  </si>
  <si>
    <t>Endstand 3:1 für Wimpassing</t>
  </si>
  <si>
    <t>Großhöflein wollte nicht verschieben - daher 3:0 für Großhöflein, wir hatten zu wenige Spieler. (Verletzungen und Turniere der U14 und U16)</t>
  </si>
  <si>
    <t>Endstand 6:2 für Margarethen</t>
  </si>
  <si>
    <t>Endstand 12:4 für Klimpuh Juniors</t>
  </si>
  <si>
    <t>Endstand 3:2 für Neufeld</t>
  </si>
  <si>
    <t>Endstand 5:0 für Eisenstadt</t>
  </si>
  <si>
    <t>Endstand 2:0 für Neusiedl</t>
  </si>
  <si>
    <t>Endstand 5:2 für SPG DER CLUB</t>
  </si>
  <si>
    <t>Endstand 2:1 für Neufeld</t>
  </si>
  <si>
    <t>Endstand 6:2 für St. Georgen</t>
  </si>
  <si>
    <t>Endstand 4:0 für Neufeld</t>
  </si>
  <si>
    <t>Endstand 2:0 für Leithaprodersdorf</t>
  </si>
  <si>
    <t>Qualifikationsturnier zum Geza Gallos Gedenturnier</t>
  </si>
  <si>
    <t>16 Mannschaften</t>
  </si>
  <si>
    <t>Sieger TWL-Elektra zweiter Wiener Sportclu Dritter SV Donau Luckylooser FC A11 Rapid Oberlaa</t>
  </si>
  <si>
    <t>abgesagz</t>
  </si>
  <si>
    <t>Spiel abgesagt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</si>
</sst>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6" zoomScaleNormal="100" workbookViewId="0">
      <selection activeCell="E68" sqref="E6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124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123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225</v>
      </c>
      <c r="G34" s="29" t="s">
        <v>124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122</v>
      </c>
      <c r="G36" s="29" t="s">
        <v>123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97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98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99</v>
      </c>
      <c r="G40" s="8" t="s">
        <v>100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101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102</v>
      </c>
      <c r="G42" s="8" t="s">
        <v>97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98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100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127</v>
      </c>
      <c r="G45" s="8" t="s">
        <v>101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103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104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105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0.75</v>
      </c>
      <c r="F50" s="20" t="s">
        <v>45</v>
      </c>
      <c r="G50" s="20" t="s">
        <v>103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46173</v>
      </c>
      <c r="E51" s="22">
        <v>0.58333333333333337</v>
      </c>
      <c r="F51" s="20" t="s">
        <v>2</v>
      </c>
      <c r="G51" s="20" t="s">
        <v>104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105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0.8125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46188</v>
      </c>
      <c r="E54" s="11">
        <v>0.75</v>
      </c>
      <c r="F54" s="10" t="s">
        <v>2</v>
      </c>
      <c r="G54" s="10" t="s">
        <v>105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106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110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105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106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107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108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109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46169</v>
      </c>
      <c r="E67" s="28">
        <v>0.75</v>
      </c>
      <c r="F67" s="27" t="s">
        <v>17</v>
      </c>
      <c r="G67" s="27" t="s">
        <v>108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109</v>
      </c>
      <c r="G69" s="27" t="s">
        <v>109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141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141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111</v>
      </c>
      <c r="G72" s="12" t="s">
        <v>141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141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141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141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111</v>
      </c>
      <c r="G76" s="12" t="s">
        <v>141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112</v>
      </c>
      <c r="G77" s="12" t="s">
        <v>141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141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141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141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141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141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141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141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142</v>
      </c>
      <c r="D88" s="84">
        <v>46186</v>
      </c>
      <c r="E88" s="107">
        <v>0.41666666666666669</v>
      </c>
      <c r="F88" s="52" t="s">
        <v>2</v>
      </c>
      <c r="G88" s="12" t="s">
        <v>141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142</v>
      </c>
      <c r="D89" s="84">
        <v>46256</v>
      </c>
      <c r="E89" s="107">
        <v>0.375</v>
      </c>
      <c r="F89" s="52" t="s">
        <v>2</v>
      </c>
      <c r="G89" s="12" t="s">
        <v>141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46" workbookViewId="0">
      <selection activeCell="F54" sqref="F54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132</v>
      </c>
      <c r="B1" s="105" t="s">
        <v>133</v>
      </c>
      <c r="C1" s="39" t="s">
        <v>138</v>
      </c>
      <c r="D1" s="39" t="s">
        <v>137</v>
      </c>
      <c r="E1" s="39" t="s">
        <v>136</v>
      </c>
      <c r="F1" s="108" t="s">
        <v>140</v>
      </c>
      <c r="G1" s="108" t="s">
        <v>134</v>
      </c>
      <c r="H1" t="s">
        <v>135</v>
      </c>
      <c r="I1" t="s">
        <v>139</v>
      </c>
      <c r="J1" s="108" t="s">
        <v>143</v>
      </c>
      <c r="K1" s="108" t="s">
        <v>156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148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144</v>
      </c>
      <c r="K2" t="s">
        <v>157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146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144</v>
      </c>
      <c r="K3" t="s">
        <v>157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147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144</v>
      </c>
      <c r="K4" t="s">
        <v>157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193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144</v>
      </c>
      <c r="K5" t="s">
        <v>157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200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144</v>
      </c>
      <c r="K6" t="s">
        <v>157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193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144</v>
      </c>
      <c r="K7" t="s">
        <v>157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200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144</v>
      </c>
      <c r="K8" t="s">
        <v>157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213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144</v>
      </c>
      <c r="K9" t="s">
        <v>157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F10" s="108" t="s">
        <v>219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144</v>
      </c>
      <c r="K10" t="s">
        <v>157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F11" s="108" t="s">
        <v>223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144</v>
      </c>
      <c r="K11" t="s">
        <v>157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F12" s="108" t="s">
        <v>200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144</v>
      </c>
      <c r="K12" t="s">
        <v>157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F13" s="108" t="s">
        <v>219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144</v>
      </c>
      <c r="K13" t="s">
        <v>157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F14" s="108" t="s">
        <v>235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144</v>
      </c>
      <c r="K14" t="s">
        <v>157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149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144</v>
      </c>
      <c r="K15" t="s">
        <v>157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150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144</v>
      </c>
      <c r="K16" t="s">
        <v>157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151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144</v>
      </c>
      <c r="K17" t="s">
        <v>157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194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144</v>
      </c>
      <c r="K18" t="s">
        <v>157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201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144</v>
      </c>
      <c r="K19" t="s">
        <v>157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204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144</v>
      </c>
      <c r="K20" t="s">
        <v>157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209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144</v>
      </c>
      <c r="K21" t="s">
        <v>157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212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144</v>
      </c>
      <c r="K22" t="s">
        <v>157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F23" s="108" t="s">
        <v>217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144</v>
      </c>
      <c r="K23" t="s">
        <v>157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F24" s="108" t="s">
        <v>222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144</v>
      </c>
      <c r="K24" t="s">
        <v>157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F25" s="108" t="s">
        <v>227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144</v>
      </c>
      <c r="K25" t="s">
        <v>157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F26" s="108" t="s">
        <v>231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144</v>
      </c>
      <c r="K26" t="s">
        <v>157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F27" s="108" t="s">
        <v>226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144</v>
      </c>
      <c r="K27" t="s">
        <v>157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145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144</v>
      </c>
      <c r="K28" t="s">
        <v>157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197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144</v>
      </c>
      <c r="K29" t="s">
        <v>157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206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144</v>
      </c>
      <c r="K30" t="s">
        <v>157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204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144</v>
      </c>
      <c r="K31" t="s">
        <v>157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205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144</v>
      </c>
      <c r="K32" t="s">
        <v>157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F33" s="108" t="s">
        <v>218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144</v>
      </c>
      <c r="K33" t="s">
        <v>157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OBERWART</v>
      </c>
      <c r="F34" s="108" t="s">
        <v>224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144</v>
      </c>
      <c r="K34" t="s">
        <v>157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152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144</v>
      </c>
      <c r="K35" t="s">
        <v>157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F36" s="108" t="s">
        <v>234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144</v>
      </c>
      <c r="K36" t="s">
        <v>157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F37" s="108" t="s">
        <v>236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144</v>
      </c>
      <c r="K37" t="s">
        <v>157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198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144</v>
      </c>
      <c r="K38" t="s">
        <v>157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203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144</v>
      </c>
      <c r="K39" t="s">
        <v>157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205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144</v>
      </c>
      <c r="K40" t="s">
        <v>157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205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144</v>
      </c>
      <c r="K41" t="s">
        <v>157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F42" s="108" t="s">
        <v>221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144</v>
      </c>
      <c r="K42" t="s">
        <v>157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F43" s="108" t="s">
        <v>228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144</v>
      </c>
      <c r="K43" t="s">
        <v>157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F44" s="108" t="s">
        <v>233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144</v>
      </c>
      <c r="K44" t="s">
        <v>157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F45" s="108" t="s">
        <v>237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144</v>
      </c>
      <c r="K45" t="s">
        <v>157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214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144</v>
      </c>
      <c r="K46" t="s">
        <v>157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195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144</v>
      </c>
      <c r="K47" t="s">
        <v>157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204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144</v>
      </c>
      <c r="K48" t="s">
        <v>157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210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144</v>
      </c>
      <c r="K49" t="s">
        <v>157</v>
      </c>
    </row>
    <row r="50" spans="2:11" x14ac:dyDescent="0.3">
      <c r="B50" s="105"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F50" s="108" t="s">
        <v>214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144</v>
      </c>
      <c r="K50" t="s">
        <v>157</v>
      </c>
    </row>
    <row r="51" spans="2:11" x14ac:dyDescent="0.3">
      <c r="B51" s="105">
        <f>'Nach Mannschaften sortiert'!D51</f>
        <v>46173</v>
      </c>
      <c r="C51" s="39">
        <f>'Nach Mannschaften sortiert'!E51</f>
        <v>0.58333333333333337</v>
      </c>
      <c r="D51" s="39">
        <f t="shared" si="0"/>
        <v>0.64583333333333337</v>
      </c>
      <c r="E51" s="39" t="str">
        <f>UPPER('Nach Mannschaften sortiert'!F51)</f>
        <v>NEUFELD</v>
      </c>
      <c r="F51" s="108" t="s">
        <v>193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144</v>
      </c>
      <c r="K51" t="s">
        <v>157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F52" s="108" t="s">
        <v>226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144</v>
      </c>
      <c r="K52" t="s">
        <v>157</v>
      </c>
    </row>
    <row r="53" spans="2:11" x14ac:dyDescent="0.3">
      <c r="B53" s="105">
        <f>'Nach Mannschaften sortiert'!D53</f>
        <v>46171</v>
      </c>
      <c r="C53" s="39">
        <f>'Nach Mannschaften sortiert'!E53</f>
        <v>0.8125</v>
      </c>
      <c r="D53" s="39">
        <f t="shared" si="0"/>
        <v>0.875</v>
      </c>
      <c r="E53" s="39" t="str">
        <f>UPPER('Nach Mannschaften sortiert'!F53)</f>
        <v>LEITHAPRODERSDORF</v>
      </c>
      <c r="F53" s="108" t="s">
        <v>204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144</v>
      </c>
      <c r="K53" t="s">
        <v>157</v>
      </c>
    </row>
    <row r="54" spans="2:11" x14ac:dyDescent="0.3">
      <c r="B54" s="105">
        <f>'Nach Mannschaften sortiert'!D54</f>
        <v>46188</v>
      </c>
      <c r="C54" s="39">
        <f>'Nach Mannschaften sortiert'!E54</f>
        <v>0.75</v>
      </c>
      <c r="D54" s="39">
        <f t="shared" si="0"/>
        <v>0.81597222222222221</v>
      </c>
      <c r="E54" s="39" t="str">
        <f>UPPER('Nach Mannschaften sortiert'!F54)</f>
        <v>NEUFELD</v>
      </c>
      <c r="F54" s="108" t="s">
        <v>243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242</v>
      </c>
      <c r="K54" t="s">
        <v>157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205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144</v>
      </c>
      <c r="K55" t="s">
        <v>157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211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144</v>
      </c>
      <c r="K56" t="s">
        <v>157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215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144</v>
      </c>
      <c r="K57" t="s">
        <v>157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F58" s="108" t="s">
        <v>216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144</v>
      </c>
      <c r="K58" t="s">
        <v>157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F59" s="108" t="s">
        <v>232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144</v>
      </c>
      <c r="K59" t="s">
        <v>157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F60" s="108" t="s">
        <v>205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144</v>
      </c>
      <c r="K60" t="s">
        <v>157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F61" s="108" t="s">
        <v>238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144</v>
      </c>
      <c r="K61" t="s">
        <v>157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202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144</v>
      </c>
      <c r="K62" t="s">
        <v>157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196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144</v>
      </c>
      <c r="K63" t="s">
        <v>157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207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144</v>
      </c>
      <c r="K64" t="s">
        <v>157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208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144</v>
      </c>
      <c r="K65" t="s">
        <v>157</v>
      </c>
    </row>
    <row r="66" spans="2:11" x14ac:dyDescent="0.3">
      <c r="B66" s="105">
        <v>46155</v>
      </c>
      <c r="C66" s="39">
        <v>0.72916666666666663</v>
      </c>
      <c r="D66" s="39">
        <f t="shared" si="0"/>
        <v>0.77777777777777779</v>
      </c>
      <c r="E66" s="39" t="str">
        <f>UPPER('Nach Mannschaften sortiert'!F66)</f>
        <v>NEUFELD</v>
      </c>
      <c r="F66" s="108" t="s">
        <v>220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144</v>
      </c>
      <c r="K66" t="s">
        <v>157</v>
      </c>
    </row>
    <row r="67" spans="2:11" x14ac:dyDescent="0.3">
      <c r="B67" s="105">
        <f>'Nach Mannschaften sortiert'!D67</f>
        <v>46169</v>
      </c>
      <c r="C67" s="39">
        <f>'Nach Mannschaften sortiert'!E67</f>
        <v>0.75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0.79861111111111116</v>
      </c>
      <c r="E67" s="39" t="str">
        <f>UPPER('Nach Mannschaften sortiert'!F67)</f>
        <v>ST. MARGARETHEN</v>
      </c>
      <c r="F67" s="108" t="s">
        <v>229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144</v>
      </c>
      <c r="K67" t="s">
        <v>157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F68" s="108" t="s">
        <v>230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144</v>
      </c>
      <c r="K68" t="s">
        <v>157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F69" s="108" t="s">
        <v>231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144</v>
      </c>
      <c r="K69" t="s">
        <v>157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144</v>
      </c>
      <c r="K70" t="s">
        <v>157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144</v>
      </c>
      <c r="K71" t="s">
        <v>157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144</v>
      </c>
      <c r="K72" t="s">
        <v>157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144</v>
      </c>
      <c r="K73" t="s">
        <v>157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144</v>
      </c>
      <c r="K74" t="s">
        <v>157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144</v>
      </c>
      <c r="K75" t="s">
        <v>157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144</v>
      </c>
      <c r="K76" t="s">
        <v>157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144</v>
      </c>
      <c r="K77" t="s">
        <v>157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144</v>
      </c>
      <c r="K78" t="s">
        <v>157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144</v>
      </c>
      <c r="K79" t="s">
        <v>157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144</v>
      </c>
      <c r="K80" t="s">
        <v>157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144</v>
      </c>
      <c r="K81" t="s">
        <v>157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144</v>
      </c>
      <c r="K82" t="s">
        <v>157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144</v>
      </c>
      <c r="K83" t="s">
        <v>157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144</v>
      </c>
      <c r="K84" t="s">
        <v>157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144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144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144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">
        <v>240</v>
      </c>
      <c r="I88" t="s">
        <v>239</v>
      </c>
      <c r="J88" s="108" t="s">
        <v>144</v>
      </c>
      <c r="K88" t="s">
        <v>113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F89" s="108" t="s">
        <v>241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144</v>
      </c>
      <c r="K89" t="s">
        <v>113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153</v>
      </c>
      <c r="F90" s="108" t="s">
        <v>199</v>
      </c>
      <c r="G90" s="108" t="s">
        <v>12</v>
      </c>
      <c r="H90" t="s">
        <v>154</v>
      </c>
      <c r="I90" t="s">
        <v>18</v>
      </c>
      <c r="J90" s="108" t="s">
        <v>144</v>
      </c>
      <c r="K90" t="s">
        <v>158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153</v>
      </c>
      <c r="F91" s="108" t="s">
        <v>155</v>
      </c>
      <c r="G91" s="108" t="s">
        <v>12</v>
      </c>
      <c r="H91" t="s">
        <v>31</v>
      </c>
      <c r="I91" t="s">
        <v>27</v>
      </c>
      <c r="J91" s="108" t="s">
        <v>144</v>
      </c>
      <c r="K91" t="s">
        <v>158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176</v>
      </c>
      <c r="B1" s="110"/>
      <c r="C1" s="110" t="s">
        <v>192</v>
      </c>
    </row>
    <row r="2" spans="1:3" ht="19.95" customHeight="1" x14ac:dyDescent="0.3">
      <c r="A2" s="110" t="s">
        <v>177</v>
      </c>
      <c r="B2" s="110" t="s">
        <v>159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178</v>
      </c>
      <c r="B3" s="110" t="s">
        <v>160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179</v>
      </c>
      <c r="B4" s="110" t="s">
        <v>161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180</v>
      </c>
      <c r="B5" s="110" t="s">
        <v>162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181</v>
      </c>
      <c r="B6" s="110" t="s">
        <v>163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182</v>
      </c>
      <c r="B7" s="110" t="s">
        <v>164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187</v>
      </c>
      <c r="B8" s="110" t="s">
        <v>165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188</v>
      </c>
      <c r="B9" s="110" t="s">
        <v>166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189</v>
      </c>
      <c r="B10" s="110" t="s">
        <v>167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190</v>
      </c>
      <c r="B11" s="110" t="s">
        <v>174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191</v>
      </c>
      <c r="B12" s="110" t="s">
        <v>168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186</v>
      </c>
      <c r="B13" s="110" t="s">
        <v>175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185</v>
      </c>
      <c r="B14" s="110" t="s">
        <v>169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184</v>
      </c>
      <c r="B15" s="110" t="s">
        <v>170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183</v>
      </c>
      <c r="B16" s="110" t="s">
        <v>171</v>
      </c>
      <c r="C16" s="110" t="str">
        <f t="shared" si="0"/>
        <v>https://dtb-asv.github.io/asv-neufeld/ U7.ics</v>
      </c>
    </row>
    <row r="17" spans="2:3" x14ac:dyDescent="0.3">
      <c r="B17" t="s">
        <v>172</v>
      </c>
      <c r="C17" t="str">
        <f t="shared" si="0"/>
        <v>https://dtb-asv.github.io/asv-neufeld/ Camp.ics</v>
      </c>
    </row>
    <row r="18" spans="2:3" x14ac:dyDescent="0.3">
      <c r="B18" t="s">
        <v>173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126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120</v>
      </c>
      <c r="C4" s="85"/>
      <c r="D4" s="88" t="s">
        <v>125</v>
      </c>
      <c r="E4" s="85"/>
      <c r="F4" s="88" t="s">
        <v>125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121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131</v>
      </c>
      <c r="E10" s="85"/>
      <c r="F10" s="90" t="s">
        <v>130</v>
      </c>
      <c r="G10" s="90" t="s">
        <v>131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128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129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46188</v>
      </c>
      <c r="E7" s="38">
        <f>'Nach Mannschaften sortiert'!E54</f>
        <v>0.75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Oberwart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0.8125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46173</v>
      </c>
      <c r="E60" s="62">
        <f>'Nach Mannschaften sortiert'!E51</f>
        <v>0.58333333333333337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46169</v>
      </c>
      <c r="E61" s="38">
        <f>'Nach Mannschaften sortiert'!E67</f>
        <v>0.75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114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119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116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96</v>
      </c>
      <c r="B6" s="78">
        <v>46096</v>
      </c>
      <c r="C6" s="79">
        <v>0.45833333333333331</v>
      </c>
      <c r="D6" s="77" t="s">
        <v>2</v>
      </c>
      <c r="E6" s="77" t="s">
        <v>117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118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46188</v>
      </c>
      <c r="C17" s="82">
        <f>Heimspiele!E7</f>
        <v>0.75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Oberwart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115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115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115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46169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46173</v>
      </c>
      <c r="C74" s="82">
        <f>Heimspiele!E60</f>
        <v>0.58333333333333337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113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113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2026-06-16T03:38:42Z</dcterms:modified>
</cp:coreProperties>
</file>
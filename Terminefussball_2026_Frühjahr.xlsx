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CC161EF2-7A1D-4C92-A74E-4E4A448FD2EB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6" i="21" l="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D62" i="21" s="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E69" i="19" l="1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<sst xmlns="http://schemas.openxmlformats.org/spreadsheetml/2006/main" count="789" uniqueCount="197">
  <si>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</si>
  <si>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</si>
  <si>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</si>
  <si>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</si>
  <si>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</si>
  <si>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</si>
  <si>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</si>
  <si>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</si>
  <si>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</si>
  <si>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</si>
  <si>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</si>
  <si>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</si>
  <si>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</si>
  <si>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</si>
  <si>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</si>
  <si>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</si>
  <si>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</si>
  <si>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</si>
  <si>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</si>
  <si>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</si>
  <si>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</si>
  <si>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</si>
  <si>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</si>
  <si>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</si>
  <si>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</si>
  <si>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</si>
  <si>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</si>
  <si>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</si>
  <si>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</si>
  <si>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</si>
  <si>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</si>
  <si>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</si>
  <si>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</si>
  <si>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</si>
  <si>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</si>
  <si>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</si>
  <si>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</si>
  <si>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</si>
  <si>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</si>
  <si>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</si>
  <si>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</si>
  <si>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</si>
  <si>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</si>
  <si>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</si>
  <si>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</si>
  <si>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</si>
  <si>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</si>
  <si>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</si>
  <si>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</si>
  <si>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</si>
  <si>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</si>
  <si>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</si>
  <si>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</si>
  <si>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</si>
  <si>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</si>
  <si>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</si>
  <si>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</si>
  <si>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</si>
  <si>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</si>
  <si>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</si>
  <si>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</si>
  <si>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</si>
  <si>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</si>
  <si>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</si>
  <si>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</si>
  <si>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</si>
  <si>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</si>
  <si>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</si>
  <si>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</si>
  <si>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</si>
  <si>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</si>
  <si>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</si>
  <si>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</si>
  <si>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</si>
  <si>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</si>
  <si>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</si>
  <si>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</si>
  <si>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</si>
  <si>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</si>
  <si>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</si>
  <si>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</si>
  <si>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</si>
  <si>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</si>
  <si>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</si>
  <si>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</si>
  <si>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</si>
  <si>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</si>
  <si>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</si>
  <si>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</si>
  <si>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</si>
  <si>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</si>
  <si>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</si>
  <si>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</si>
  <si>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</si>
  <si>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</si>
  <si>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</si>
  <si>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</si>
  <si>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</si>
  <si>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</si>
  <si>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</si>
  <si>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</si>
  <si>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</si>
  <si>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</si>
  <si>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</si>
  <si>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</si>
  <si>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</si>
  <si>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</si>
  <si>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</si>
  <si>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</si>
  <si>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</si>
  <si>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</si>
  <si>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</si>
  <si>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</si>
  <si>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</si>
  <si>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</si>
  <si>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</si>
  <si>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</si>
  <si>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</si>
  <si>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</si>
  <si>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</si>
  <si>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</si>
  <si>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</si>
  <si>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</si>
  <si>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</si>
  <si>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</si>
  <si>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</si>
  <si>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</si>
  <si>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</si>
  <si>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</si>
  <si>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</si>
  <si>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</si>
  <si>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</si>
  <si>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</si>
  <si>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</si>
  <si>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</si>
  <si>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</si>
  <si>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</si>
  <si>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</si>
  <si>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</si>
  <si>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</si>
  <si>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</si>
  <si>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</si>
  <si>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</si>
  <si>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</si>
  <si>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</si>
  <si>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</si>
  <si>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abgesagt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</si>
  <si>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</si>
  <si>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</si>
  <si>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</si>
  <si>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</si>
  <si>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</si>
  <si>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</si>
  <si>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</si>
  <si>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</si>
  <si>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</si>
  <si>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</si>
  <si>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</si>
  <si>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</si>
  <si>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</si>
  <si>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</si>
  <si>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</si>
  <si>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</si>
  <si>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</si>
  <si>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</si>
  <si>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</si>
  <si>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</si>
  <si>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</si>
  <si>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</si>
  <si>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</si>
  <si>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</si>
  <si>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</si>
  <si>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</si>
  <si>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</si>
  <si>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</si>
  <si>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</si>
  <si>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</si>
  <si>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</si>
  <si>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</si>
  <si>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</si>
  <si>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</si>
  <si>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</si>
  <si>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</si>
  <si>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</si>
  <si>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</si>
  <si>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</si>
  <si>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</si>
  <si>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</si>
  <si>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</si>
  <si>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</si>
  <si>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</si>
  <si>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</si>
  <si>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</si>
  <si>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</si>
  <si>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</si>
  <si>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für Neufeld</t>
  </si>
  <si>
    <t>Endstand 0:2 für Illmitz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</si>
</sst>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65" zoomScaleNormal="100" workbookViewId="0">
      <selection activeCell="E78" sqref="E78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46109</v>
      </c>
      <c r="E62" s="28">
        <v>0.41666666666666669</v>
      </c>
      <c r="F62" s="27" t="s">
        <v>31</v>
      </c>
      <c r="G62" s="27" t="s">
        <v>31</v>
      </c>
      <c r="H62" s="27" t="s">
        <v>11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/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workbookViewId="0">
      <selection activeCell="F18" sqref="F18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  <c r="K1" s="108" t="s">
        <v>158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150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  <c r="K2" t="s">
        <v>159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148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  <c r="K3" t="s">
        <v>159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149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  <c r="K4" t="s">
        <v>159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195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  <c r="K5" t="s">
        <v>159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  <c r="K6" t="s">
        <v>159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  <c r="K7" t="s">
        <v>159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  <c r="K8" t="s">
        <v>159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  <c r="K9" t="s">
        <v>159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  <c r="K10" t="s">
        <v>159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  <c r="K11" t="s">
        <v>159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  <c r="K12" t="s">
        <v>159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  <c r="K13" t="s">
        <v>159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  <c r="K14" t="s">
        <v>159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151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  <c r="K15" t="s">
        <v>159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152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  <c r="K16" t="s">
        <v>159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153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  <c r="K17" t="s">
        <v>159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196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  <c r="K18" t="s">
        <v>159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  <c r="K19" t="s">
        <v>159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  <c r="K20" t="s">
        <v>159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  <c r="K21" t="s">
        <v>159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  <c r="K22" t="s">
        <v>159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  <c r="K23" t="s">
        <v>159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  <c r="K24" t="s">
        <v>159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  <c r="K25" t="s">
        <v>159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  <c r="K26" t="s">
        <v>159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  <c r="K27" t="s">
        <v>159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147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  <c r="K28" t="s">
        <v>159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  <c r="K29" t="s">
        <v>159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  <c r="K30" t="s">
        <v>159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  <c r="K31" t="s">
        <v>159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  <c r="K32" t="s">
        <v>159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  <c r="K33" t="s">
        <v>159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  <c r="K34" t="s">
        <v>159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154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  <c r="K35" t="s">
        <v>159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  <c r="K36" t="s">
        <v>159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  <c r="K37" t="s">
        <v>159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  <c r="K38" t="s">
        <v>159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  <c r="K39" t="s">
        <v>159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  <c r="K40" t="s">
        <v>159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  <c r="K41" t="s">
        <v>159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  <c r="K42" t="s">
        <v>159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  <c r="K43" t="s">
        <v>159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  <c r="K44" t="s">
        <v>159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  <c r="K45" t="s">
        <v>159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145</v>
      </c>
      <c r="K46" t="s">
        <v>159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  <c r="K47" t="s">
        <v>159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  <c r="K48" t="s">
        <v>159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  <c r="K49" t="s">
        <v>159</v>
      </c>
    </row>
    <row r="50" spans="2:11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  <c r="K50" t="s">
        <v>159</v>
      </c>
    </row>
    <row r="51" spans="2:11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  <c r="K51" t="s">
        <v>159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  <c r="K52" t="s">
        <v>159</v>
      </c>
    </row>
    <row r="53" spans="2:11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  <c r="K53" t="s">
        <v>159</v>
      </c>
    </row>
    <row r="54" spans="2:11" x14ac:dyDescent="0.3">
      <c r="B54" s="105">
        <v>46110</v>
      </c>
      <c r="C54" s="39">
        <v>0.4375</v>
      </c>
      <c r="D54" s="39">
        <f t="shared" si="0"/>
        <v>0.50347222222222221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146</v>
      </c>
      <c r="K54" t="s">
        <v>159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  <c r="K55" t="s">
        <v>159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  <c r="K56" t="s">
        <v>159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  <c r="K57" t="s">
        <v>159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  <c r="K58" t="s">
        <v>159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  <c r="K59" t="s">
        <v>159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  <c r="K60" t="s">
        <v>159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  <c r="K61" t="s">
        <v>159</v>
      </c>
    </row>
    <row r="62" spans="2:11" x14ac:dyDescent="0.3">
      <c r="B62" s="105">
        <v>46127</v>
      </c>
      <c r="C62" s="39">
        <v>0.75</v>
      </c>
      <c r="D62" s="39">
        <f t="shared" si="0"/>
        <v>0.79861111111111116</v>
      </c>
      <c r="E62" s="39" t="str">
        <f>UPPER('Nach Mannschaften sortiert'!F62)</f>
        <v>STEINBRUNN</v>
      </c>
      <c r="G62" s="108" t="str">
        <f>'Nach Mannschaften sortiert'!H62</f>
        <v>Auswärts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  <c r="K62" t="s">
        <v>159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  <c r="K63" t="s">
        <v>159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  <c r="K64" t="s">
        <v>159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  <c r="K65" t="s">
        <v>159</v>
      </c>
    </row>
    <row r="66" spans="2:11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  <c r="K66" t="s">
        <v>159</v>
      </c>
    </row>
    <row r="67" spans="2:11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  <c r="K67" t="s">
        <v>159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  <c r="K68" t="s">
        <v>159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  <c r="K69" t="s">
        <v>159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  <c r="K70" t="s">
        <v>159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  <c r="K71" t="s">
        <v>159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  <c r="K72" t="s">
        <v>159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  <c r="K73" t="s">
        <v>159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  <c r="K74" t="s">
        <v>159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  <c r="K75" t="s">
        <v>159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  <c r="K76" t="s">
        <v>159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  <c r="K77" t="s">
        <v>159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  <c r="K78" t="s">
        <v>159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  <c r="K79" t="s">
        <v>159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  <c r="K80" t="s">
        <v>159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  <c r="K81" t="s">
        <v>159</v>
      </c>
    </row>
    <row r="82" spans="2:11" x14ac:dyDescent="0.3">
      <c r="B82" s="105">
        <f>'Nach Mannschaften sortiert'!D82</f>
        <v>46143</v>
      </c>
      <c r="C82" s="39">
        <f>'Nach Mannschaften sortiert'!E82</f>
        <v>0</v>
      </c>
      <c r="D82" s="39">
        <f t="shared" si="2"/>
        <v>0.125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  <c r="K82" t="s">
        <v>159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  <c r="K83" t="s">
        <v>159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  <c r="K84" t="s">
        <v>159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  <c r="K88" t="s">
        <v>114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  <c r="K89" t="s">
        <v>114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155</v>
      </c>
      <c r="F90" s="108" t="s">
        <v>157</v>
      </c>
      <c r="G90" s="108" t="s">
        <v>12</v>
      </c>
      <c r="H90" t="s">
        <v>156</v>
      </c>
      <c r="I90" t="s">
        <v>18</v>
      </c>
      <c r="J90" s="108" t="s">
        <v>145</v>
      </c>
      <c r="K90" t="s">
        <v>160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155</v>
      </c>
      <c r="F91" s="108" t="s">
        <v>157</v>
      </c>
      <c r="G91" s="108" t="s">
        <v>12</v>
      </c>
      <c r="H91" t="s">
        <v>31</v>
      </c>
      <c r="I91" t="s">
        <v>27</v>
      </c>
      <c r="J91" s="108" t="s">
        <v>145</v>
      </c>
      <c r="K91" t="s">
        <v>160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178</v>
      </c>
      <c r="B1" s="110"/>
      <c r="C1" s="110" t="s">
        <v>194</v>
      </c>
    </row>
    <row r="2" spans="1:3" ht="19.95" customHeight="1" x14ac:dyDescent="0.3">
      <c r="A2" s="110" t="s">
        <v>179</v>
      </c>
      <c r="B2" s="110" t="s">
        <v>161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180</v>
      </c>
      <c r="B3" s="110" t="s">
        <v>162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181</v>
      </c>
      <c r="B4" s="110" t="s">
        <v>163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182</v>
      </c>
      <c r="B5" s="110" t="s">
        <v>164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183</v>
      </c>
      <c r="B6" s="110" t="s">
        <v>165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184</v>
      </c>
      <c r="B7" s="110" t="s">
        <v>166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189</v>
      </c>
      <c r="B8" s="110" t="s">
        <v>167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190</v>
      </c>
      <c r="B9" s="110" t="s">
        <v>168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191</v>
      </c>
      <c r="B10" s="110" t="s">
        <v>169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192</v>
      </c>
      <c r="B11" s="110" t="s">
        <v>176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193</v>
      </c>
      <c r="B12" s="110" t="s">
        <v>170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188</v>
      </c>
      <c r="B13" s="110" t="s">
        <v>177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187</v>
      </c>
      <c r="B14" s="110" t="s">
        <v>171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186</v>
      </c>
      <c r="B15" s="110" t="s">
        <v>172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185</v>
      </c>
      <c r="B16" s="110" t="s">
        <v>173</v>
      </c>
      <c r="C16" s="110" t="str">
        <f t="shared" si="0"/>
        <v>https://dtb-asv.github.io/asv-neufeld/ U7.ics</v>
      </c>
    </row>
    <row r="17" spans="2:3" x14ac:dyDescent="0.3">
      <c r="B17" t="s">
        <v>174</v>
      </c>
      <c r="C17" t="str">
        <f t="shared" si="0"/>
        <v>https://dtb-asv.github.io/asv-neufeld/ Camp.ics</v>
      </c>
    </row>
    <row r="18" spans="2:3" x14ac:dyDescent="0.3">
      <c r="B18" t="s">
        <v>175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46109</v>
      </c>
      <c r="E55" s="38">
        <f>'Nach Mannschaften sortiert'!E62</f>
        <v>0.41666666666666669</v>
      </c>
      <c r="F55" s="2" t="str">
        <f>'Nach Mannschaften sortiert'!F62</f>
        <v>Steinbrunn</v>
      </c>
      <c r="G55" s="2" t="str">
        <f>'Nach Mannschaften sortiert'!G62</f>
        <v>Steinbrunn</v>
      </c>
      <c r="H55" s="2" t="str">
        <f>'Nach Mannschaften sortiert'!H62</f>
        <v>Auswärts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46109</v>
      </c>
      <c r="C54" s="72"/>
      <c r="D54" t="str">
        <f>Heimspiele!F55</f>
        <v>Steinbrunn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2026-04-05T09:30:44Z</dcterms:modified>
</cp:coreProperties>
</file>
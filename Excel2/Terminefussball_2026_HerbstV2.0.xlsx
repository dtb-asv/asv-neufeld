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52A7263-BD73-4902-840D-4B378CDA36E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sortiert'!$A$1:$H$116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2" i="2"/>
  <c r="G131" i="7"/>
  <c r="H131" i="7"/>
  <c r="I131" i="7"/>
  <c r="E131" i="7"/>
  <c r="D131" i="7"/>
  <c r="C131" i="7"/>
  <c r="B131" i="7"/>
  <c r="A131" i="7"/>
  <c r="F131" i="7" s="1"/>
  <c r="A126" i="7"/>
  <c r="B126" i="7"/>
  <c r="C126" i="7"/>
  <c r="E126" i="7"/>
  <c r="D126" i="7"/>
  <c r="B58" i="2"/>
  <c r="C58" i="2"/>
  <c r="E58" i="2"/>
  <c r="G58" i="2"/>
  <c r="H58" i="2"/>
  <c r="I58" i="2"/>
  <c r="B55" i="2"/>
  <c r="C55" i="2"/>
  <c r="E55" i="2"/>
  <c r="G55" i="2"/>
  <c r="H55" i="2"/>
  <c r="I55" i="2"/>
  <c r="B56" i="2"/>
  <c r="C56" i="2"/>
  <c r="E56" i="2"/>
  <c r="G56" i="2"/>
  <c r="H56" i="2"/>
  <c r="I56" i="2"/>
  <c r="B57" i="2"/>
  <c r="C57" i="2"/>
  <c r="E57" i="2"/>
  <c r="G57" i="2"/>
  <c r="H57" i="2"/>
  <c r="I57" i="2"/>
  <c r="F126" i="7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A59" i="1"/>
  <c r="A55" i="1"/>
  <c r="A56" i="1"/>
  <c r="A57" i="1"/>
  <c r="A58" i="1"/>
  <c r="B3" i="2"/>
  <c r="B4" i="7" s="1"/>
  <c r="C3" i="2"/>
  <c r="C4" i="7" s="1"/>
  <c r="E3" i="2"/>
  <c r="G3" i="2"/>
  <c r="H3" i="2"/>
  <c r="I3" i="2"/>
  <c r="B4" i="2"/>
  <c r="C4" i="2"/>
  <c r="E4" i="2"/>
  <c r="D14" i="7" s="1"/>
  <c r="G4" i="2"/>
  <c r="H4" i="2"/>
  <c r="E14" i="7" s="1"/>
  <c r="I4" i="2"/>
  <c r="B5" i="2"/>
  <c r="B15" i="7" s="1"/>
  <c r="C5" i="2"/>
  <c r="C15" i="7" s="1"/>
  <c r="E5" i="2"/>
  <c r="G5" i="2"/>
  <c r="H5" i="2"/>
  <c r="E15" i="7" s="1"/>
  <c r="I5" i="2"/>
  <c r="B6" i="2"/>
  <c r="C6" i="2"/>
  <c r="C16" i="7" s="1"/>
  <c r="E6" i="2"/>
  <c r="D16" i="7" s="1"/>
  <c r="G6" i="2"/>
  <c r="H6" i="2"/>
  <c r="E16" i="7" s="1"/>
  <c r="I6" i="2"/>
  <c r="B7" i="2"/>
  <c r="C7" i="2"/>
  <c r="C17" i="7" s="1"/>
  <c r="E7" i="2"/>
  <c r="D17" i="7" s="1"/>
  <c r="G7" i="2"/>
  <c r="H7" i="2"/>
  <c r="E17" i="7" s="1"/>
  <c r="I7" i="2"/>
  <c r="B8" i="2"/>
  <c r="B106" i="7" s="1"/>
  <c r="C8" i="2"/>
  <c r="C106" i="7" s="1"/>
  <c r="E8" i="2"/>
  <c r="D106" i="7" s="1"/>
  <c r="G8" i="2"/>
  <c r="H8" i="2"/>
  <c r="E106" i="7" s="1"/>
  <c r="I8" i="2"/>
  <c r="B9" i="2"/>
  <c r="B18" i="7" s="1"/>
  <c r="C9" i="2"/>
  <c r="C18" i="7" s="1"/>
  <c r="E9" i="2"/>
  <c r="G9" i="2"/>
  <c r="H9" i="2"/>
  <c r="E18" i="7" s="1"/>
  <c r="I9" i="2"/>
  <c r="B10" i="2"/>
  <c r="C10" i="2"/>
  <c r="C10" i="7" s="1"/>
  <c r="E10" i="2"/>
  <c r="D10" i="7" s="1"/>
  <c r="G10" i="2"/>
  <c r="H10" i="2"/>
  <c r="E10" i="7" s="1"/>
  <c r="I10" i="2"/>
  <c r="B11" i="2"/>
  <c r="B19" i="7" s="1"/>
  <c r="C11" i="2"/>
  <c r="C19" i="7" s="1"/>
  <c r="E11" i="2"/>
  <c r="D19" i="7" s="1"/>
  <c r="G11" i="2"/>
  <c r="H11" i="2"/>
  <c r="E19" i="7" s="1"/>
  <c r="I11" i="2"/>
  <c r="B12" i="2"/>
  <c r="C12" i="2"/>
  <c r="C92" i="7" s="1"/>
  <c r="E12" i="2"/>
  <c r="D92" i="7" s="1"/>
  <c r="G12" i="2"/>
  <c r="H12" i="2"/>
  <c r="E92" i="7" s="1"/>
  <c r="I12" i="2"/>
  <c r="B13" i="2"/>
  <c r="B22" i="7" s="1"/>
  <c r="C13" i="2"/>
  <c r="C22" i="7" s="1"/>
  <c r="E13" i="2"/>
  <c r="D22" i="7" s="1"/>
  <c r="G13" i="2"/>
  <c r="H13" i="2"/>
  <c r="E22" i="7" s="1"/>
  <c r="I13" i="2"/>
  <c r="B14" i="2"/>
  <c r="C14" i="2"/>
  <c r="C76" i="7" s="1"/>
  <c r="E14" i="2"/>
  <c r="D76" i="7" s="1"/>
  <c r="G14" i="2"/>
  <c r="H14" i="2"/>
  <c r="E76" i="7" s="1"/>
  <c r="I14" i="2"/>
  <c r="B15" i="2"/>
  <c r="C15" i="2"/>
  <c r="E15" i="2"/>
  <c r="G15" i="2"/>
  <c r="H15" i="2"/>
  <c r="E24" i="7" s="1"/>
  <c r="I15" i="2"/>
  <c r="B16" i="2"/>
  <c r="C16" i="2"/>
  <c r="E16" i="2"/>
  <c r="D93" i="7" s="1"/>
  <c r="G16" i="2"/>
  <c r="H16" i="2"/>
  <c r="E93" i="7" s="1"/>
  <c r="I16" i="2"/>
  <c r="B17" i="2"/>
  <c r="B28" i="7" s="1"/>
  <c r="C17" i="2"/>
  <c r="C28" i="7" s="1"/>
  <c r="E17" i="2"/>
  <c r="D28" i="7" s="1"/>
  <c r="G17" i="2"/>
  <c r="H17" i="2"/>
  <c r="E28" i="7" s="1"/>
  <c r="I17" i="2"/>
  <c r="B18" i="2"/>
  <c r="C18" i="2"/>
  <c r="C30" i="7" s="1"/>
  <c r="E18" i="2"/>
  <c r="D30" i="7" s="1"/>
  <c r="G18" i="2"/>
  <c r="H18" i="2"/>
  <c r="E30" i="7" s="1"/>
  <c r="I18" i="2"/>
  <c r="B19" i="2"/>
  <c r="B32" i="7" s="1"/>
  <c r="C19" i="2"/>
  <c r="C32" i="7" s="1"/>
  <c r="E19" i="2"/>
  <c r="G19" i="2"/>
  <c r="H19" i="2"/>
  <c r="E32" i="7" s="1"/>
  <c r="I19" i="2"/>
  <c r="B20" i="2"/>
  <c r="B95" i="7" s="1"/>
  <c r="C20" i="2"/>
  <c r="C95" i="7" s="1"/>
  <c r="E20" i="2"/>
  <c r="D95" i="7" s="1"/>
  <c r="G20" i="2"/>
  <c r="H20" i="2"/>
  <c r="E95" i="7" s="1"/>
  <c r="I20" i="2"/>
  <c r="B21" i="2"/>
  <c r="C21" i="2"/>
  <c r="C33" i="7" s="1"/>
  <c r="E21" i="2"/>
  <c r="D33" i="7" s="1"/>
  <c r="G21" i="2"/>
  <c r="H21" i="2"/>
  <c r="E33" i="7" s="1"/>
  <c r="I21" i="2"/>
  <c r="B22" i="2"/>
  <c r="C22" i="2"/>
  <c r="E22" i="2"/>
  <c r="D20" i="7" s="1"/>
  <c r="G22" i="2"/>
  <c r="H22" i="2"/>
  <c r="E20" i="7" s="1"/>
  <c r="I22" i="2"/>
  <c r="B23" i="2"/>
  <c r="B21" i="7" s="1"/>
  <c r="C23" i="2"/>
  <c r="C21" i="7" s="1"/>
  <c r="E23" i="2"/>
  <c r="D21" i="7" s="1"/>
  <c r="G23" i="2"/>
  <c r="H23" i="2"/>
  <c r="E21" i="7" s="1"/>
  <c r="I23" i="2"/>
  <c r="B24" i="2"/>
  <c r="C24" i="2"/>
  <c r="E24" i="2"/>
  <c r="D35" i="7" s="1"/>
  <c r="G24" i="2"/>
  <c r="H24" i="2"/>
  <c r="I24" i="2"/>
  <c r="B25" i="2"/>
  <c r="C25" i="2"/>
  <c r="E25" i="2"/>
  <c r="D23" i="7" s="1"/>
  <c r="G25" i="2"/>
  <c r="H25" i="2"/>
  <c r="E23" i="7" s="1"/>
  <c r="I25" i="2"/>
  <c r="A23" i="7" s="1"/>
  <c r="F23" i="7" s="1"/>
  <c r="B26" i="2"/>
  <c r="C26" i="2"/>
  <c r="E26" i="2"/>
  <c r="D49" i="7" s="1"/>
  <c r="G26" i="2"/>
  <c r="H26" i="2"/>
  <c r="E49" i="7" s="1"/>
  <c r="I26" i="2"/>
  <c r="B27" i="2"/>
  <c r="C27" i="2"/>
  <c r="E27" i="2"/>
  <c r="D25" i="7" s="1"/>
  <c r="G27" i="2"/>
  <c r="H27" i="2"/>
  <c r="E25" i="7" s="1"/>
  <c r="I27" i="2"/>
  <c r="A25" i="7" s="1"/>
  <c r="F25" i="7" s="1"/>
  <c r="B28" i="2"/>
  <c r="C28" i="2"/>
  <c r="E28" i="2"/>
  <c r="D68" i="7" s="1"/>
  <c r="G28" i="2"/>
  <c r="H28" i="2"/>
  <c r="I28" i="2"/>
  <c r="B29" i="2"/>
  <c r="B27" i="7" s="1"/>
  <c r="C29" i="2"/>
  <c r="C27" i="7" s="1"/>
  <c r="E29" i="2"/>
  <c r="G29" i="2"/>
  <c r="H29" i="2"/>
  <c r="E27" i="7" s="1"/>
  <c r="I29" i="2"/>
  <c r="A27" i="7" s="1"/>
  <c r="F27" i="7" s="1"/>
  <c r="B30" i="2"/>
  <c r="C30" i="2"/>
  <c r="E30" i="2"/>
  <c r="D83" i="7" s="1"/>
  <c r="G30" i="2"/>
  <c r="H30" i="2"/>
  <c r="E83" i="7" s="1"/>
  <c r="I30" i="2"/>
  <c r="B31" i="2"/>
  <c r="B29" i="7" s="1"/>
  <c r="C31" i="2"/>
  <c r="E31" i="2"/>
  <c r="D29" i="7" s="1"/>
  <c r="G31" i="2"/>
  <c r="H31" i="2"/>
  <c r="E29" i="7" s="1"/>
  <c r="I31" i="2"/>
  <c r="A29" i="7" s="1"/>
  <c r="F29" i="7" s="1"/>
  <c r="B32" i="2"/>
  <c r="B105" i="7" s="1"/>
  <c r="C32" i="2"/>
  <c r="C105" i="7" s="1"/>
  <c r="E32" i="2"/>
  <c r="D105" i="7" s="1"/>
  <c r="G32" i="2"/>
  <c r="H32" i="2"/>
  <c r="I32" i="2"/>
  <c r="B33" i="2"/>
  <c r="B31" i="7" s="1"/>
  <c r="C33" i="2"/>
  <c r="E33" i="2"/>
  <c r="D31" i="7" s="1"/>
  <c r="G33" i="2"/>
  <c r="H33" i="2"/>
  <c r="E31" i="7" s="1"/>
  <c r="I33" i="2"/>
  <c r="B34" i="2"/>
  <c r="C34" i="2"/>
  <c r="E34" i="2"/>
  <c r="D130" i="7" s="1"/>
  <c r="G34" i="2"/>
  <c r="H34" i="2"/>
  <c r="I34" i="2"/>
  <c r="B35" i="2"/>
  <c r="C35" i="2"/>
  <c r="E35" i="2"/>
  <c r="D107" i="7" s="1"/>
  <c r="G35" i="2"/>
  <c r="H35" i="2"/>
  <c r="I35" i="2"/>
  <c r="A107" i="7" s="1"/>
  <c r="F107" i="7" s="1"/>
  <c r="B36" i="2"/>
  <c r="C36" i="2"/>
  <c r="E36" i="2"/>
  <c r="D108" i="7" s="1"/>
  <c r="G36" i="2"/>
  <c r="H36" i="2"/>
  <c r="E108" i="7" s="1"/>
  <c r="I36" i="2"/>
  <c r="B37" i="2"/>
  <c r="B34" i="7" s="1"/>
  <c r="C37" i="2"/>
  <c r="E37" i="2"/>
  <c r="G37" i="2"/>
  <c r="H37" i="2"/>
  <c r="E34" i="7" s="1"/>
  <c r="I37" i="2"/>
  <c r="A34" i="7" s="1"/>
  <c r="F34" i="7" s="1"/>
  <c r="B38" i="2"/>
  <c r="C38" i="2"/>
  <c r="C110" i="7" s="1"/>
  <c r="E38" i="2"/>
  <c r="D110" i="7" s="1"/>
  <c r="G38" i="2"/>
  <c r="H38" i="2"/>
  <c r="E110" i="7" s="1"/>
  <c r="I38" i="2"/>
  <c r="A110" i="7" s="1"/>
  <c r="F110" i="7" s="1"/>
  <c r="B39" i="2"/>
  <c r="B46" i="7" s="1"/>
  <c r="C39" i="2"/>
  <c r="E39" i="2"/>
  <c r="G39" i="2"/>
  <c r="H39" i="2"/>
  <c r="E46" i="7" s="1"/>
  <c r="I39" i="2"/>
  <c r="A46" i="7" s="1"/>
  <c r="F46" i="7" s="1"/>
  <c r="B40" i="2"/>
  <c r="C40" i="2"/>
  <c r="E40" i="2"/>
  <c r="D112" i="7" s="1"/>
  <c r="G40" i="2"/>
  <c r="H40" i="2"/>
  <c r="E112" i="7" s="1"/>
  <c r="I40" i="2"/>
  <c r="B41" i="2"/>
  <c r="B65" i="7" s="1"/>
  <c r="C41" i="2"/>
  <c r="E41" i="2"/>
  <c r="G41" i="2"/>
  <c r="H41" i="2"/>
  <c r="E65" i="7" s="1"/>
  <c r="I41" i="2"/>
  <c r="B42" i="2"/>
  <c r="B114" i="7" s="1"/>
  <c r="C42" i="2"/>
  <c r="E42" i="2"/>
  <c r="D114" i="7" s="1"/>
  <c r="G42" i="2"/>
  <c r="H42" i="2"/>
  <c r="E114" i="7" s="1"/>
  <c r="I42" i="2"/>
  <c r="B43" i="2"/>
  <c r="B82" i="7" s="1"/>
  <c r="C43" i="2"/>
  <c r="C82" i="7" s="1"/>
  <c r="E43" i="2"/>
  <c r="D82" i="7" s="1"/>
  <c r="G43" i="2"/>
  <c r="H43" i="2"/>
  <c r="E82" i="7" s="1"/>
  <c r="I43" i="2"/>
  <c r="B44" i="2"/>
  <c r="B116" i="7" s="1"/>
  <c r="C44" i="2"/>
  <c r="E44" i="2"/>
  <c r="D116" i="7" s="1"/>
  <c r="G44" i="2"/>
  <c r="H44" i="2"/>
  <c r="E116" i="7" s="1"/>
  <c r="I44" i="2"/>
  <c r="B45" i="2"/>
  <c r="B103" i="7" s="1"/>
  <c r="C45" i="2"/>
  <c r="E45" i="2"/>
  <c r="D103" i="7" s="1"/>
  <c r="G45" i="2"/>
  <c r="H45" i="2"/>
  <c r="E103" i="7" s="1"/>
  <c r="I45" i="2"/>
  <c r="B46" i="2"/>
  <c r="B118" i="7" s="1"/>
  <c r="C46" i="2"/>
  <c r="C118" i="7" s="1"/>
  <c r="E46" i="2"/>
  <c r="D118" i="7" s="1"/>
  <c r="G46" i="2"/>
  <c r="H46" i="2"/>
  <c r="E118" i="7" s="1"/>
  <c r="I46" i="2"/>
  <c r="B47" i="2"/>
  <c r="B129" i="7" s="1"/>
  <c r="C47" i="2"/>
  <c r="E47" i="2"/>
  <c r="D129" i="7" s="1"/>
  <c r="G47" i="2"/>
  <c r="H47" i="2"/>
  <c r="E129" i="7" s="1"/>
  <c r="I47" i="2"/>
  <c r="B48" i="2"/>
  <c r="B96" i="7" s="1"/>
  <c r="C48" i="2"/>
  <c r="C96" i="7" s="1"/>
  <c r="E48" i="2"/>
  <c r="D96" i="7" s="1"/>
  <c r="G48" i="2"/>
  <c r="H48" i="2"/>
  <c r="E96" i="7" s="1"/>
  <c r="I48" i="2"/>
  <c r="B49" i="2"/>
  <c r="C49" i="2"/>
  <c r="E49" i="2"/>
  <c r="D97" i="7" s="1"/>
  <c r="G49" i="2"/>
  <c r="H49" i="2"/>
  <c r="E97" i="7" s="1"/>
  <c r="I49" i="2"/>
  <c r="B50" i="2"/>
  <c r="B63" i="7" s="1"/>
  <c r="C50" i="2"/>
  <c r="E50" i="2"/>
  <c r="D63" i="7" s="1"/>
  <c r="G50" i="2"/>
  <c r="H50" i="2"/>
  <c r="E63" i="7" s="1"/>
  <c r="I50" i="2"/>
  <c r="B51" i="2"/>
  <c r="C51" i="2"/>
  <c r="C71" i="7" s="1"/>
  <c r="E51" i="2"/>
  <c r="D71" i="7" s="1"/>
  <c r="G51" i="2"/>
  <c r="H51" i="2"/>
  <c r="E71" i="7" s="1"/>
  <c r="I51" i="2"/>
  <c r="B52" i="2"/>
  <c r="B80" i="7" s="1"/>
  <c r="C52" i="2"/>
  <c r="E52" i="2"/>
  <c r="D80" i="7" s="1"/>
  <c r="G52" i="2"/>
  <c r="H52" i="2"/>
  <c r="E80" i="7" s="1"/>
  <c r="I52" i="2"/>
  <c r="B53" i="2"/>
  <c r="B87" i="7" s="1"/>
  <c r="C53" i="2"/>
  <c r="C87" i="7" s="1"/>
  <c r="E53" i="2"/>
  <c r="G53" i="2"/>
  <c r="H53" i="2"/>
  <c r="E87" i="7" s="1"/>
  <c r="I53" i="2"/>
  <c r="B54" i="2"/>
  <c r="B102" i="7" s="1"/>
  <c r="C54" i="2"/>
  <c r="C102" i="7" s="1"/>
  <c r="E54" i="2"/>
  <c r="D102" i="7" s="1"/>
  <c r="G54" i="2"/>
  <c r="H54" i="2"/>
  <c r="E102" i="7" s="1"/>
  <c r="I54" i="2"/>
  <c r="A102" i="7" s="1"/>
  <c r="F102" i="7" s="1"/>
  <c r="B59" i="2"/>
  <c r="B43" i="7" s="1"/>
  <c r="C59" i="2"/>
  <c r="C43" i="7" s="1"/>
  <c r="E59" i="2"/>
  <c r="D43" i="7" s="1"/>
  <c r="G59" i="2"/>
  <c r="H59" i="2"/>
  <c r="E40" i="7" s="1"/>
  <c r="I59" i="2"/>
  <c r="A43" i="7" s="1"/>
  <c r="F43" i="7" s="1"/>
  <c r="G43" i="7" s="1"/>
  <c r="B60" i="2"/>
  <c r="B81" i="7" s="1"/>
  <c r="C60" i="2"/>
  <c r="C81" i="7" s="1"/>
  <c r="E60" i="2"/>
  <c r="D81" i="7" s="1"/>
  <c r="G60" i="2"/>
  <c r="H60" i="2"/>
  <c r="E81" i="7" s="1"/>
  <c r="I60" i="2"/>
  <c r="A81" i="7" s="1"/>
  <c r="F81" i="7" s="1"/>
  <c r="H81" i="7" s="1"/>
  <c r="B61" i="2"/>
  <c r="B61" i="7" s="1"/>
  <c r="C61" i="2"/>
  <c r="C61" i="7" s="1"/>
  <c r="E61" i="2"/>
  <c r="D59" i="7" s="1"/>
  <c r="G61" i="2"/>
  <c r="H61" i="2"/>
  <c r="E59" i="7" s="1"/>
  <c r="I61" i="2"/>
  <c r="A59" i="7" s="1"/>
  <c r="F59" i="7" s="1"/>
  <c r="B62" i="2"/>
  <c r="B75" i="7" s="1"/>
  <c r="C62" i="2"/>
  <c r="E62" i="2"/>
  <c r="D75" i="7" s="1"/>
  <c r="G62" i="2"/>
  <c r="H62" i="2"/>
  <c r="E75" i="7" s="1"/>
  <c r="I62" i="2"/>
  <c r="B63" i="2"/>
  <c r="B84" i="7" s="1"/>
  <c r="C63" i="2"/>
  <c r="E63" i="2"/>
  <c r="D84" i="7" s="1"/>
  <c r="G63" i="2"/>
  <c r="H63" i="2"/>
  <c r="E84" i="7" s="1"/>
  <c r="I63" i="2"/>
  <c r="A84" i="7" s="1"/>
  <c r="F84" i="7" s="1"/>
  <c r="B64" i="2"/>
  <c r="B89" i="7" s="1"/>
  <c r="C64" i="2"/>
  <c r="C89" i="7" s="1"/>
  <c r="E64" i="2"/>
  <c r="D89" i="7" s="1"/>
  <c r="G64" i="2"/>
  <c r="H64" i="2"/>
  <c r="E89" i="7" s="1"/>
  <c r="I64" i="2"/>
  <c r="A89" i="7" s="1"/>
  <c r="F89" i="7" s="1"/>
  <c r="B65" i="2"/>
  <c r="B86" i="7" s="1"/>
  <c r="C65" i="2"/>
  <c r="E65" i="2"/>
  <c r="D86" i="7" s="1"/>
  <c r="G65" i="2"/>
  <c r="H65" i="2"/>
  <c r="E86" i="7" s="1"/>
  <c r="I65" i="2"/>
  <c r="B66" i="2"/>
  <c r="B109" i="7" s="1"/>
  <c r="C66" i="2"/>
  <c r="C109" i="7" s="1"/>
  <c r="E66" i="2"/>
  <c r="D109" i="7" s="1"/>
  <c r="G66" i="2"/>
  <c r="H66" i="2"/>
  <c r="E109" i="7" s="1"/>
  <c r="I66" i="2"/>
  <c r="A109" i="7" s="1"/>
  <c r="F109" i="7" s="1"/>
  <c r="B67" i="2"/>
  <c r="B88" i="7" s="1"/>
  <c r="C67" i="2"/>
  <c r="E67" i="2"/>
  <c r="D88" i="7" s="1"/>
  <c r="G67" i="2"/>
  <c r="H67" i="2"/>
  <c r="E88" i="7" s="1"/>
  <c r="I67" i="2"/>
  <c r="B68" i="2"/>
  <c r="B36" i="7" s="1"/>
  <c r="C68" i="2"/>
  <c r="C36" i="7" s="1"/>
  <c r="E68" i="2"/>
  <c r="D36" i="7" s="1"/>
  <c r="G68" i="2"/>
  <c r="H68" i="2"/>
  <c r="E36" i="7" s="1"/>
  <c r="I68" i="2"/>
  <c r="A36" i="7" s="1"/>
  <c r="F36" i="7" s="1"/>
  <c r="I36" i="7" s="1"/>
  <c r="B69" i="2"/>
  <c r="B56" i="7" s="1"/>
  <c r="C69" i="2"/>
  <c r="E69" i="2"/>
  <c r="D56" i="7" s="1"/>
  <c r="G69" i="2"/>
  <c r="H69" i="2"/>
  <c r="E56" i="7" s="1"/>
  <c r="I69" i="2"/>
  <c r="B70" i="2"/>
  <c r="B57" i="7" s="1"/>
  <c r="C70" i="2"/>
  <c r="E70" i="2"/>
  <c r="D57" i="7" s="1"/>
  <c r="G70" i="2"/>
  <c r="H70" i="2"/>
  <c r="E57" i="7" s="1"/>
  <c r="I70" i="2"/>
  <c r="A57" i="7" s="1"/>
  <c r="F57" i="7" s="1"/>
  <c r="B71" i="2"/>
  <c r="B58" i="7" s="1"/>
  <c r="C71" i="2"/>
  <c r="E71" i="2"/>
  <c r="D58" i="7" s="1"/>
  <c r="G71" i="2"/>
  <c r="H71" i="2"/>
  <c r="E58" i="7" s="1"/>
  <c r="I71" i="2"/>
  <c r="B72" i="2"/>
  <c r="B79" i="7" s="1"/>
  <c r="C72" i="2"/>
  <c r="E72" i="2"/>
  <c r="D79" i="7" s="1"/>
  <c r="G72" i="2"/>
  <c r="H72" i="2"/>
  <c r="E79" i="7" s="1"/>
  <c r="I72" i="2"/>
  <c r="A79" i="7" s="1"/>
  <c r="F79" i="7" s="1"/>
  <c r="B73" i="2"/>
  <c r="B60" i="7" s="1"/>
  <c r="C73" i="2"/>
  <c r="E73" i="2"/>
  <c r="D60" i="7" s="1"/>
  <c r="G73" i="2"/>
  <c r="H73" i="2"/>
  <c r="E60" i="7" s="1"/>
  <c r="I73" i="2"/>
  <c r="B74" i="2"/>
  <c r="C74" i="2"/>
  <c r="C100" i="7" s="1"/>
  <c r="E74" i="2"/>
  <c r="D100" i="7" s="1"/>
  <c r="G74" i="2"/>
  <c r="H74" i="2"/>
  <c r="E100" i="7" s="1"/>
  <c r="I74" i="2"/>
  <c r="B75" i="2"/>
  <c r="B62" i="7" s="1"/>
  <c r="C75" i="2"/>
  <c r="E75" i="2"/>
  <c r="D62" i="7" s="1"/>
  <c r="G75" i="2"/>
  <c r="H75" i="2"/>
  <c r="E62" i="7" s="1"/>
  <c r="I75" i="2"/>
  <c r="B76" i="2"/>
  <c r="B119" i="7" s="1"/>
  <c r="C76" i="2"/>
  <c r="E76" i="2"/>
  <c r="D119" i="7" s="1"/>
  <c r="G76" i="2"/>
  <c r="H76" i="2"/>
  <c r="E119" i="7" s="1"/>
  <c r="I76" i="2"/>
  <c r="B77" i="2"/>
  <c r="B64" i="7" s="1"/>
  <c r="C77" i="2"/>
  <c r="E77" i="2"/>
  <c r="D64" i="7" s="1"/>
  <c r="G77" i="2"/>
  <c r="H77" i="2"/>
  <c r="E64" i="7" s="1"/>
  <c r="I77" i="2"/>
  <c r="B78" i="2"/>
  <c r="B39" i="7" s="1"/>
  <c r="C78" i="2"/>
  <c r="E78" i="2"/>
  <c r="D39" i="7" s="1"/>
  <c r="G78" i="2"/>
  <c r="H78" i="2"/>
  <c r="E39" i="7" s="1"/>
  <c r="I78" i="2"/>
  <c r="B79" i="2"/>
  <c r="B66" i="7" s="1"/>
  <c r="C79" i="2"/>
  <c r="E79" i="2"/>
  <c r="G79" i="2"/>
  <c r="H79" i="2"/>
  <c r="E66" i="7" s="1"/>
  <c r="I79" i="2"/>
  <c r="B80" i="2"/>
  <c r="B52" i="7" s="1"/>
  <c r="C80" i="2"/>
  <c r="E80" i="2"/>
  <c r="D52" i="7" s="1"/>
  <c r="G80" i="2"/>
  <c r="H80" i="2"/>
  <c r="E52" i="7" s="1"/>
  <c r="I80" i="2"/>
  <c r="B81" i="2"/>
  <c r="C81" i="2"/>
  <c r="C74" i="7" s="1"/>
  <c r="E81" i="2"/>
  <c r="D74" i="7" s="1"/>
  <c r="G81" i="2"/>
  <c r="H81" i="2"/>
  <c r="E74" i="7" s="1"/>
  <c r="I81" i="2"/>
  <c r="B82" i="2"/>
  <c r="B69" i="7" s="1"/>
  <c r="C82" i="2"/>
  <c r="E82" i="2"/>
  <c r="D69" i="7" s="1"/>
  <c r="G82" i="2"/>
  <c r="H82" i="2"/>
  <c r="E69" i="7" s="1"/>
  <c r="I82" i="2"/>
  <c r="B83" i="2"/>
  <c r="B70" i="7" s="1"/>
  <c r="C83" i="2"/>
  <c r="C70" i="7" s="1"/>
  <c r="E83" i="2"/>
  <c r="G83" i="2"/>
  <c r="H83" i="2"/>
  <c r="I83" i="2"/>
  <c r="A70" i="7" s="1"/>
  <c r="F70" i="7" s="1"/>
  <c r="B84" i="2"/>
  <c r="B99" i="7" s="1"/>
  <c r="C84" i="2"/>
  <c r="E84" i="2"/>
  <c r="D99" i="7" s="1"/>
  <c r="G84" i="2"/>
  <c r="H84" i="2"/>
  <c r="I84" i="2"/>
  <c r="B85" i="2"/>
  <c r="B101" i="7" s="1"/>
  <c r="C85" i="2"/>
  <c r="E85" i="2"/>
  <c r="D101" i="7" s="1"/>
  <c r="G85" i="2"/>
  <c r="H85" i="2"/>
  <c r="E101" i="7" s="1"/>
  <c r="I85" i="2"/>
  <c r="A101" i="7" s="1"/>
  <c r="F101" i="7" s="1"/>
  <c r="B86" i="2"/>
  <c r="B73" i="7" s="1"/>
  <c r="C86" i="2"/>
  <c r="E86" i="2"/>
  <c r="D73" i="7" s="1"/>
  <c r="G86" i="2"/>
  <c r="H86" i="2"/>
  <c r="I86" i="2"/>
  <c r="B87" i="2"/>
  <c r="B127" i="7" s="1"/>
  <c r="C87" i="2"/>
  <c r="E87" i="2"/>
  <c r="D127" i="7" s="1"/>
  <c r="G87" i="2"/>
  <c r="H87" i="2"/>
  <c r="E127" i="7" s="1"/>
  <c r="I87" i="2"/>
  <c r="A127" i="7" s="1"/>
  <c r="F127" i="7" s="1"/>
  <c r="B88" i="2"/>
  <c r="B38" i="7" s="1"/>
  <c r="C88" i="2"/>
  <c r="E88" i="2"/>
  <c r="D38" i="7" s="1"/>
  <c r="G88" i="2"/>
  <c r="H88" i="2"/>
  <c r="I88" i="2"/>
  <c r="B89" i="2"/>
  <c r="B47" i="7" s="1"/>
  <c r="C89" i="2"/>
  <c r="E89" i="2"/>
  <c r="D47" i="7" s="1"/>
  <c r="G89" i="2"/>
  <c r="H89" i="2"/>
  <c r="E47" i="7" s="1"/>
  <c r="I89" i="2"/>
  <c r="A47" i="7" s="1"/>
  <c r="F47" i="7" s="1"/>
  <c r="B90" i="2"/>
  <c r="B48" i="7" s="1"/>
  <c r="C90" i="2"/>
  <c r="E90" i="2"/>
  <c r="D48" i="7" s="1"/>
  <c r="G90" i="2"/>
  <c r="H90" i="2"/>
  <c r="I90" i="2"/>
  <c r="B91" i="2"/>
  <c r="B72" i="7" s="1"/>
  <c r="C91" i="2"/>
  <c r="C72" i="7" s="1"/>
  <c r="E91" i="2"/>
  <c r="G91" i="2"/>
  <c r="H91" i="2"/>
  <c r="E72" i="7" s="1"/>
  <c r="I91" i="2"/>
  <c r="A72" i="7" s="1"/>
  <c r="F72" i="7" s="1"/>
  <c r="B92" i="2"/>
  <c r="B78" i="7" s="1"/>
  <c r="C92" i="2"/>
  <c r="E92" i="2"/>
  <c r="G92" i="2"/>
  <c r="H92" i="2"/>
  <c r="I92" i="2"/>
  <c r="A78" i="7" s="1"/>
  <c r="F78" i="7" s="1"/>
  <c r="B93" i="2"/>
  <c r="C93" i="2"/>
  <c r="E93" i="2"/>
  <c r="D51" i="7" s="1"/>
  <c r="G93" i="2"/>
  <c r="H93" i="2"/>
  <c r="E51" i="7" s="1"/>
  <c r="I93" i="2"/>
  <c r="A51" i="7" s="1"/>
  <c r="F51" i="7" s="1"/>
  <c r="B94" i="2"/>
  <c r="B98" i="7" s="1"/>
  <c r="C94" i="2"/>
  <c r="E94" i="2"/>
  <c r="D98" i="7" s="1"/>
  <c r="G94" i="2"/>
  <c r="H94" i="2"/>
  <c r="E98" i="7" s="1"/>
  <c r="I94" i="2"/>
  <c r="B95" i="2"/>
  <c r="C95" i="2"/>
  <c r="E95" i="2"/>
  <c r="D53" i="7" s="1"/>
  <c r="G95" i="2"/>
  <c r="H95" i="2"/>
  <c r="E53" i="7" s="1"/>
  <c r="I95" i="2"/>
  <c r="A53" i="7" s="1"/>
  <c r="F53" i="7" s="1"/>
  <c r="B96" i="2"/>
  <c r="B54" i="7" s="1"/>
  <c r="C96" i="2"/>
  <c r="E96" i="2"/>
  <c r="D54" i="7" s="1"/>
  <c r="G96" i="2"/>
  <c r="H96" i="2"/>
  <c r="I96" i="2"/>
  <c r="A54" i="7" s="1"/>
  <c r="F54" i="7" s="1"/>
  <c r="G54" i="7" s="1"/>
  <c r="B97" i="2"/>
  <c r="B91" i="7" s="1"/>
  <c r="C97" i="2"/>
  <c r="C91" i="7" s="1"/>
  <c r="E97" i="2"/>
  <c r="D91" i="7" s="1"/>
  <c r="G97" i="2"/>
  <c r="H97" i="2"/>
  <c r="E91" i="7" s="1"/>
  <c r="I97" i="2"/>
  <c r="B98" i="2"/>
  <c r="B41" i="7" s="1"/>
  <c r="C98" i="2"/>
  <c r="E98" i="2"/>
  <c r="D41" i="7" s="1"/>
  <c r="G98" i="2"/>
  <c r="H98" i="2"/>
  <c r="I98" i="2"/>
  <c r="A41" i="7" s="1"/>
  <c r="F41" i="7" s="1"/>
  <c r="B99" i="2"/>
  <c r="B42" i="7" s="1"/>
  <c r="C99" i="2"/>
  <c r="C42" i="7" s="1"/>
  <c r="E99" i="2"/>
  <c r="D42" i="7" s="1"/>
  <c r="G99" i="2"/>
  <c r="H99" i="2"/>
  <c r="E42" i="7" s="1"/>
  <c r="I99" i="2"/>
  <c r="A42" i="7" s="1"/>
  <c r="F42" i="7" s="1"/>
  <c r="B100" i="2"/>
  <c r="B44" i="7" s="1"/>
  <c r="C100" i="2"/>
  <c r="E100" i="2"/>
  <c r="D44" i="7" s="1"/>
  <c r="G100" i="2"/>
  <c r="H100" i="2"/>
  <c r="E44" i="7" s="1"/>
  <c r="I100" i="2"/>
  <c r="A44" i="7" s="1"/>
  <c r="F44" i="7" s="1"/>
  <c r="B101" i="2"/>
  <c r="B45" i="7" s="1"/>
  <c r="C101" i="2"/>
  <c r="C45" i="7" s="1"/>
  <c r="E101" i="2"/>
  <c r="D45" i="7" s="1"/>
  <c r="G101" i="2"/>
  <c r="H101" i="2"/>
  <c r="E45" i="7" s="1"/>
  <c r="I101" i="2"/>
  <c r="A45" i="7" s="1"/>
  <c r="F45" i="7" s="1"/>
  <c r="B102" i="2"/>
  <c r="B37" i="7" s="1"/>
  <c r="C102" i="2"/>
  <c r="C37" i="7" s="1"/>
  <c r="E102" i="2"/>
  <c r="D37" i="7" s="1"/>
  <c r="G102" i="2"/>
  <c r="H102" i="2"/>
  <c r="E37" i="7" s="1"/>
  <c r="I102" i="2"/>
  <c r="B103" i="2"/>
  <c r="B50" i="7" s="1"/>
  <c r="C103" i="2"/>
  <c r="C50" i="7" s="1"/>
  <c r="E103" i="2"/>
  <c r="D50" i="7" s="1"/>
  <c r="G103" i="2"/>
  <c r="H103" i="2"/>
  <c r="E50" i="7" s="1"/>
  <c r="I103" i="2"/>
  <c r="B104" i="2"/>
  <c r="B132" i="7" s="1"/>
  <c r="C104" i="2"/>
  <c r="E104" i="2"/>
  <c r="D132" i="7" s="1"/>
  <c r="G104" i="2"/>
  <c r="H104" i="2"/>
  <c r="I104" i="2"/>
  <c r="A132" i="7" s="1"/>
  <c r="F132" i="7" s="1"/>
  <c r="B105" i="2"/>
  <c r="B133" i="7" s="1"/>
  <c r="C105" i="2"/>
  <c r="C133" i="7" s="1"/>
  <c r="E105" i="2"/>
  <c r="D133" i="7" s="1"/>
  <c r="G105" i="2"/>
  <c r="H105" i="2"/>
  <c r="E133" i="7" s="1"/>
  <c r="I105" i="2"/>
  <c r="B106" i="2"/>
  <c r="B77" i="7" s="1"/>
  <c r="C106" i="2"/>
  <c r="E106" i="2"/>
  <c r="D77" i="7" s="1"/>
  <c r="G106" i="2"/>
  <c r="H106" i="2"/>
  <c r="E77" i="7" s="1"/>
  <c r="I106" i="2"/>
  <c r="B107" i="2"/>
  <c r="B85" i="7" s="1"/>
  <c r="C107" i="2"/>
  <c r="C85" i="7" s="1"/>
  <c r="E107" i="2"/>
  <c r="D85" i="7" s="1"/>
  <c r="G107" i="2"/>
  <c r="H107" i="2"/>
  <c r="E85" i="7" s="1"/>
  <c r="I107" i="2"/>
  <c r="B108" i="2"/>
  <c r="B90" i="7" s="1"/>
  <c r="C108" i="2"/>
  <c r="E108" i="2"/>
  <c r="D90" i="7" s="1"/>
  <c r="G108" i="2"/>
  <c r="H108" i="2"/>
  <c r="E90" i="7" s="1"/>
  <c r="I108" i="2"/>
  <c r="B109" i="2"/>
  <c r="B137" i="7" s="1"/>
  <c r="C109" i="2"/>
  <c r="C137" i="7" s="1"/>
  <c r="E109" i="2"/>
  <c r="D137" i="7" s="1"/>
  <c r="G109" i="2"/>
  <c r="H109" i="2"/>
  <c r="E137" i="7" s="1"/>
  <c r="I109" i="2"/>
  <c r="A137" i="7" s="1"/>
  <c r="F137" i="7" s="1"/>
  <c r="B110" i="2"/>
  <c r="B117" i="7" s="1"/>
  <c r="C110" i="2"/>
  <c r="E110" i="2"/>
  <c r="D117" i="7" s="1"/>
  <c r="G110" i="2"/>
  <c r="H110" i="2"/>
  <c r="E117" i="7" s="1"/>
  <c r="I110" i="2"/>
  <c r="B111" i="2"/>
  <c r="B139" i="7" s="1"/>
  <c r="C111" i="2"/>
  <c r="C139" i="7" s="1"/>
  <c r="E111" i="2"/>
  <c r="D139" i="7" s="1"/>
  <c r="G111" i="2"/>
  <c r="H111" i="2"/>
  <c r="E139" i="7" s="1"/>
  <c r="I111" i="2"/>
  <c r="A139" i="7" s="1"/>
  <c r="F139" i="7" s="1"/>
  <c r="B112" i="2"/>
  <c r="B94" i="7" s="1"/>
  <c r="C112" i="2"/>
  <c r="E112" i="2"/>
  <c r="D94" i="7" s="1"/>
  <c r="G112" i="2"/>
  <c r="H112" i="2"/>
  <c r="E94" i="7" s="1"/>
  <c r="I112" i="2"/>
  <c r="A94" i="7" s="1"/>
  <c r="F94" i="7" s="1"/>
  <c r="B113" i="2"/>
  <c r="B55" i="7" s="1"/>
  <c r="C113" i="2"/>
  <c r="E113" i="2"/>
  <c r="D55" i="7" s="1"/>
  <c r="G113" i="2"/>
  <c r="H113" i="2"/>
  <c r="E55" i="7" s="1"/>
  <c r="I113" i="2"/>
  <c r="B114" i="2"/>
  <c r="B128" i="7" s="1"/>
  <c r="C114" i="2"/>
  <c r="E114" i="2"/>
  <c r="D128" i="7" s="1"/>
  <c r="G114" i="2"/>
  <c r="H114" i="2"/>
  <c r="E128" i="7" s="1"/>
  <c r="I114" i="2"/>
  <c r="A128" i="7" s="1"/>
  <c r="F128" i="7" s="1"/>
  <c r="B115" i="2"/>
  <c r="B125" i="7" s="1"/>
  <c r="C115" i="2"/>
  <c r="E115" i="2"/>
  <c r="D125" i="7" s="1"/>
  <c r="G115" i="2"/>
  <c r="H115" i="2"/>
  <c r="E125" i="7" s="1"/>
  <c r="I115" i="2"/>
  <c r="A125" i="7" s="1"/>
  <c r="F125" i="7" s="1"/>
  <c r="B116" i="2"/>
  <c r="B2" i="7" s="1"/>
  <c r="C116" i="2"/>
  <c r="C2" i="7" s="1"/>
  <c r="E116" i="2"/>
  <c r="D2" i="7" s="1"/>
  <c r="G116" i="2"/>
  <c r="H116" i="2"/>
  <c r="I116" i="2"/>
  <c r="A2" i="7" s="1"/>
  <c r="F2" i="7" s="1"/>
  <c r="B117" i="2"/>
  <c r="B120" i="7" s="1"/>
  <c r="C117" i="2"/>
  <c r="C120" i="7" s="1"/>
  <c r="E117" i="2"/>
  <c r="D120" i="7" s="1"/>
  <c r="G117" i="2"/>
  <c r="H117" i="2"/>
  <c r="E120" i="7" s="1"/>
  <c r="I117" i="2"/>
  <c r="B118" i="2"/>
  <c r="C118" i="2"/>
  <c r="C121" i="7" s="1"/>
  <c r="E118" i="2"/>
  <c r="D121" i="7" s="1"/>
  <c r="G118" i="2"/>
  <c r="H118" i="2"/>
  <c r="E121" i="7" s="1"/>
  <c r="I118" i="2"/>
  <c r="B119" i="2"/>
  <c r="B122" i="7" s="1"/>
  <c r="C119" i="2"/>
  <c r="E119" i="2"/>
  <c r="D122" i="7" s="1"/>
  <c r="G119" i="2"/>
  <c r="H119" i="2"/>
  <c r="E122" i="7" s="1"/>
  <c r="I119" i="2"/>
  <c r="B120" i="2"/>
  <c r="B123" i="7" s="1"/>
  <c r="C120" i="2"/>
  <c r="E120" i="2"/>
  <c r="D123" i="7" s="1"/>
  <c r="G120" i="2"/>
  <c r="H120" i="2"/>
  <c r="E123" i="7" s="1"/>
  <c r="I120" i="2"/>
  <c r="A123" i="7" s="1"/>
  <c r="F123" i="7" s="1"/>
  <c r="B121" i="2"/>
  <c r="B124" i="7" s="1"/>
  <c r="C121" i="2"/>
  <c r="E121" i="2"/>
  <c r="D124" i="7" s="1"/>
  <c r="G121" i="2"/>
  <c r="H121" i="2"/>
  <c r="E124" i="7" s="1"/>
  <c r="I121" i="2"/>
  <c r="A124" i="7" s="1"/>
  <c r="F124" i="7" s="1"/>
  <c r="B122" i="2"/>
  <c r="B5" i="7" s="1"/>
  <c r="C122" i="2"/>
  <c r="E122" i="2"/>
  <c r="D5" i="7" s="1"/>
  <c r="G122" i="2"/>
  <c r="H122" i="2"/>
  <c r="E5" i="7" s="1"/>
  <c r="I122" i="2"/>
  <c r="B123" i="2"/>
  <c r="B6" i="7" s="1"/>
  <c r="C123" i="2"/>
  <c r="E123" i="2"/>
  <c r="D6" i="7" s="1"/>
  <c r="G123" i="2"/>
  <c r="H123" i="2"/>
  <c r="E6" i="7" s="1"/>
  <c r="I123" i="2"/>
  <c r="A6" i="7" s="1"/>
  <c r="F6" i="7" s="1"/>
  <c r="B124" i="2"/>
  <c r="B7" i="7" s="1"/>
  <c r="C124" i="2"/>
  <c r="E124" i="2"/>
  <c r="D7" i="7" s="1"/>
  <c r="G124" i="2"/>
  <c r="H124" i="2"/>
  <c r="E7" i="7" s="1"/>
  <c r="I124" i="2"/>
  <c r="B125" i="2"/>
  <c r="B8" i="7" s="1"/>
  <c r="C125" i="2"/>
  <c r="C8" i="7" s="1"/>
  <c r="E125" i="2"/>
  <c r="D8" i="7" s="1"/>
  <c r="G125" i="2"/>
  <c r="H125" i="2"/>
  <c r="E8" i="7" s="1"/>
  <c r="I125" i="2"/>
  <c r="A8" i="7" s="1"/>
  <c r="F8" i="7" s="1"/>
  <c r="B126" i="2"/>
  <c r="B9" i="7" s="1"/>
  <c r="C126" i="2"/>
  <c r="E126" i="2"/>
  <c r="D9" i="7" s="1"/>
  <c r="G126" i="2"/>
  <c r="H126" i="2"/>
  <c r="E9" i="7" s="1"/>
  <c r="I126" i="2"/>
  <c r="A9" i="7" s="1"/>
  <c r="F9" i="7" s="1"/>
  <c r="B127" i="2"/>
  <c r="B11" i="7" s="1"/>
  <c r="C127" i="2"/>
  <c r="E127" i="2"/>
  <c r="D11" i="7" s="1"/>
  <c r="G127" i="2"/>
  <c r="H127" i="2"/>
  <c r="E11" i="7" s="1"/>
  <c r="I127" i="2"/>
  <c r="A11" i="7" s="1"/>
  <c r="F11" i="7" s="1"/>
  <c r="B128" i="2"/>
  <c r="B12" i="7" s="1"/>
  <c r="C128" i="2"/>
  <c r="C12" i="7" s="1"/>
  <c r="E128" i="2"/>
  <c r="D12" i="7" s="1"/>
  <c r="G128" i="2"/>
  <c r="H128" i="2"/>
  <c r="E12" i="7" s="1"/>
  <c r="I128" i="2"/>
  <c r="A12" i="7" s="1"/>
  <c r="F12" i="7" s="1"/>
  <c r="B129" i="2"/>
  <c r="B13" i="7" s="1"/>
  <c r="C129" i="2"/>
  <c r="C13" i="7" s="1"/>
  <c r="E129" i="2"/>
  <c r="D13" i="7" s="1"/>
  <c r="G129" i="2"/>
  <c r="H129" i="2"/>
  <c r="E13" i="7" s="1"/>
  <c r="I129" i="2"/>
  <c r="B130" i="2"/>
  <c r="B111" i="7" s="1"/>
  <c r="C130" i="2"/>
  <c r="E130" i="2"/>
  <c r="D111" i="7" s="1"/>
  <c r="G130" i="2"/>
  <c r="H130" i="2"/>
  <c r="E111" i="7" s="1"/>
  <c r="I130" i="2"/>
  <c r="A111" i="7" s="1"/>
  <c r="F111" i="7" s="1"/>
  <c r="B131" i="2"/>
  <c r="B113" i="7" s="1"/>
  <c r="C131" i="2"/>
  <c r="C113" i="7" s="1"/>
  <c r="E131" i="2"/>
  <c r="D113" i="7" s="1"/>
  <c r="G131" i="2"/>
  <c r="H131" i="2"/>
  <c r="E113" i="7" s="1"/>
  <c r="I131" i="2"/>
  <c r="B132" i="2"/>
  <c r="B115" i="7" s="1"/>
  <c r="C132" i="2"/>
  <c r="E132" i="2"/>
  <c r="D115" i="7" s="1"/>
  <c r="G132" i="2"/>
  <c r="H132" i="2"/>
  <c r="E115" i="7" s="1"/>
  <c r="I132" i="2"/>
  <c r="A115" i="7" s="1"/>
  <c r="F115" i="7" s="1"/>
  <c r="B133" i="2"/>
  <c r="B26" i="7" s="1"/>
  <c r="C133" i="2"/>
  <c r="E133" i="2"/>
  <c r="D26" i="7" s="1"/>
  <c r="G133" i="2"/>
  <c r="H133" i="2"/>
  <c r="E26" i="7" s="1"/>
  <c r="I133" i="2"/>
  <c r="A26" i="7" s="1"/>
  <c r="F26" i="7" s="1"/>
  <c r="B134" i="2"/>
  <c r="B135" i="7" s="1"/>
  <c r="C134" i="2"/>
  <c r="E134" i="2"/>
  <c r="D135" i="7" s="1"/>
  <c r="G134" i="2"/>
  <c r="H134" i="2"/>
  <c r="E135" i="7" s="1"/>
  <c r="I134" i="2"/>
  <c r="A135" i="7" s="1"/>
  <c r="F135" i="7" s="1"/>
  <c r="K135" i="7" s="1"/>
  <c r="B135" i="2"/>
  <c r="B136" i="7" s="1"/>
  <c r="C135" i="2"/>
  <c r="E135" i="2"/>
  <c r="D136" i="7" s="1"/>
  <c r="G135" i="2"/>
  <c r="H135" i="2"/>
  <c r="E136" i="7" s="1"/>
  <c r="I135" i="2"/>
  <c r="A136" i="7" s="1"/>
  <c r="F136" i="7" s="1"/>
  <c r="B136" i="2"/>
  <c r="B138" i="7" s="1"/>
  <c r="C136" i="2"/>
  <c r="E136" i="2"/>
  <c r="D138" i="7" s="1"/>
  <c r="G136" i="2"/>
  <c r="H136" i="2"/>
  <c r="E138" i="7" s="1"/>
  <c r="I136" i="2"/>
  <c r="B137" i="2"/>
  <c r="B134" i="7" s="1"/>
  <c r="C137" i="2"/>
  <c r="C134" i="7" s="1"/>
  <c r="E137" i="2"/>
  <c r="D134" i="7" s="1"/>
  <c r="G137" i="2"/>
  <c r="H137" i="2"/>
  <c r="E134" i="7" s="1"/>
  <c r="I137" i="2"/>
  <c r="A134" i="7" s="1"/>
  <c r="F134" i="7" s="1"/>
  <c r="B138" i="2"/>
  <c r="B140" i="7" s="1"/>
  <c r="C138" i="2"/>
  <c r="E138" i="2"/>
  <c r="D140" i="7" s="1"/>
  <c r="G138" i="2"/>
  <c r="H138" i="2"/>
  <c r="E140" i="7" s="1"/>
  <c r="I138" i="2"/>
  <c r="B139" i="2"/>
  <c r="B142" i="7" s="1"/>
  <c r="C139" i="2"/>
  <c r="C142" i="7" s="1"/>
  <c r="E139" i="2"/>
  <c r="D142" i="7" s="1"/>
  <c r="G139" i="2"/>
  <c r="H139" i="2"/>
  <c r="E142" i="7" s="1"/>
  <c r="I139" i="2"/>
  <c r="A142" i="7" s="1"/>
  <c r="B140" i="2"/>
  <c r="B144" i="7" s="1"/>
  <c r="C140" i="2"/>
  <c r="E140" i="2"/>
  <c r="D144" i="7" s="1"/>
  <c r="G140" i="2"/>
  <c r="H140" i="2"/>
  <c r="E144" i="7" s="1"/>
  <c r="I140" i="2"/>
  <c r="A144" i="7" s="1"/>
  <c r="B141" i="2"/>
  <c r="B67" i="7" s="1"/>
  <c r="C141" i="2"/>
  <c r="C67" i="7" s="1"/>
  <c r="E141" i="2"/>
  <c r="D67" i="7" s="1"/>
  <c r="G141" i="2"/>
  <c r="H141" i="2"/>
  <c r="E67" i="7" s="1"/>
  <c r="I141" i="2"/>
  <c r="A67" i="7" s="1"/>
  <c r="D18" i="7"/>
  <c r="B30" i="7"/>
  <c r="A35" i="7"/>
  <c r="F35" i="7" s="1"/>
  <c r="I35" i="7" s="1"/>
  <c r="B83" i="7"/>
  <c r="A96" i="7"/>
  <c r="F96" i="7" s="1"/>
  <c r="C64" i="7"/>
  <c r="E70" i="7"/>
  <c r="B121" i="7"/>
  <c r="A52" i="7"/>
  <c r="F52" i="7" s="1"/>
  <c r="E73" i="7"/>
  <c r="E48" i="7"/>
  <c r="D78" i="7"/>
  <c r="B33" i="7"/>
  <c r="D4" i="7"/>
  <c r="E4" i="7"/>
  <c r="B14" i="7"/>
  <c r="C14" i="7"/>
  <c r="D15" i="7"/>
  <c r="B16" i="7"/>
  <c r="B17" i="7"/>
  <c r="B10" i="7"/>
  <c r="B92" i="7"/>
  <c r="B76" i="7"/>
  <c r="B24" i="7"/>
  <c r="C24" i="7"/>
  <c r="D24" i="7"/>
  <c r="B93" i="7"/>
  <c r="D32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E2" i="7"/>
  <c r="A55" i="7"/>
  <c r="F55" i="7" s="1"/>
  <c r="A90" i="7"/>
  <c r="F90" i="7" s="1"/>
  <c r="G90" i="7" s="1"/>
  <c r="A77" i="7"/>
  <c r="F77" i="7" s="1"/>
  <c r="E132" i="7"/>
  <c r="E41" i="7"/>
  <c r="E54" i="7"/>
  <c r="B53" i="7"/>
  <c r="A98" i="7"/>
  <c r="F98" i="7" s="1"/>
  <c r="B51" i="7"/>
  <c r="E78" i="7"/>
  <c r="D72" i="7"/>
  <c r="E38" i="7"/>
  <c r="E99" i="7"/>
  <c r="D70" i="7"/>
  <c r="A74" i="7"/>
  <c r="F74" i="7" s="1"/>
  <c r="B74" i="7"/>
  <c r="A66" i="7"/>
  <c r="F66" i="7" s="1"/>
  <c r="D66" i="7"/>
  <c r="A62" i="7"/>
  <c r="F62" i="7" s="1"/>
  <c r="B100" i="7"/>
  <c r="A60" i="7"/>
  <c r="F60" i="7" s="1"/>
  <c r="A56" i="7"/>
  <c r="F56" i="7" s="1"/>
  <c r="I56" i="7" s="1"/>
  <c r="A75" i="7"/>
  <c r="F75" i="7" s="1"/>
  <c r="C75" i="7"/>
  <c r="B59" i="7"/>
  <c r="C40" i="7"/>
  <c r="A87" i="7"/>
  <c r="F87" i="7" s="1"/>
  <c r="D87" i="7"/>
  <c r="A80" i="7"/>
  <c r="F80" i="7" s="1"/>
  <c r="A71" i="7"/>
  <c r="F71" i="7" s="1"/>
  <c r="G71" i="7" s="1"/>
  <c r="B71" i="7"/>
  <c r="A97" i="7"/>
  <c r="F97" i="7" s="1"/>
  <c r="G97" i="7" s="1"/>
  <c r="B97" i="7"/>
  <c r="A129" i="7"/>
  <c r="F129" i="7" s="1"/>
  <c r="A118" i="7"/>
  <c r="F118" i="7" s="1"/>
  <c r="A103" i="7"/>
  <c r="F103" i="7" s="1"/>
  <c r="A116" i="7"/>
  <c r="F116" i="7" s="1"/>
  <c r="J116" i="7" s="1"/>
  <c r="A82" i="7"/>
  <c r="F82" i="7" s="1"/>
  <c r="A114" i="7"/>
  <c r="F114" i="7" s="1"/>
  <c r="A65" i="7"/>
  <c r="F65" i="7" s="1"/>
  <c r="D65" i="7"/>
  <c r="C65" i="7"/>
  <c r="A112" i="7"/>
  <c r="F112" i="7" s="1"/>
  <c r="G112" i="7" s="1"/>
  <c r="B112" i="7"/>
  <c r="D46" i="7"/>
  <c r="B110" i="7"/>
  <c r="D34" i="7"/>
  <c r="B108" i="7"/>
  <c r="E107" i="7"/>
  <c r="B107" i="7"/>
  <c r="E130" i="7"/>
  <c r="B130" i="7"/>
  <c r="A105" i="7"/>
  <c r="F105" i="7" s="1"/>
  <c r="E105" i="7"/>
  <c r="A83" i="7"/>
  <c r="F83" i="7" s="1"/>
  <c r="D27" i="7"/>
  <c r="A68" i="7"/>
  <c r="F68" i="7" s="1"/>
  <c r="G68" i="7" s="1"/>
  <c r="E68" i="7"/>
  <c r="B68" i="7"/>
  <c r="B25" i="7"/>
  <c r="B49" i="7"/>
  <c r="B23" i="7"/>
  <c r="E35" i="7"/>
  <c r="B35" i="7"/>
  <c r="A21" i="7"/>
  <c r="F21" i="7" s="1"/>
  <c r="A20" i="7"/>
  <c r="F20" i="7" s="1"/>
  <c r="B20" i="7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D105" i="2" l="1"/>
  <c r="B40" i="7"/>
  <c r="A104" i="7"/>
  <c r="F104" i="7" s="1"/>
  <c r="B104" i="7"/>
  <c r="D40" i="7"/>
  <c r="I126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I104" i="7"/>
  <c r="J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G129" i="7"/>
  <c r="K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I71" i="7"/>
  <c r="K71" i="7"/>
  <c r="H71" i="7"/>
  <c r="C59" i="7"/>
  <c r="J84" i="7"/>
  <c r="I84" i="7"/>
  <c r="K84" i="7"/>
  <c r="H84" i="7"/>
  <c r="G84" i="7"/>
  <c r="J56" i="7"/>
  <c r="H56" i="7"/>
  <c r="G56" i="7"/>
  <c r="K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2" i="1"/>
  <c r="H58" i="7" l="1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3" i="1"/>
  <c r="A3" i="5" s="1"/>
  <c r="A2" i="5"/>
  <c r="A24" i="1" l="1"/>
  <c r="A4" i="5" s="1"/>
  <c r="A25" i="1" l="1"/>
  <c r="A18" i="5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22" i="5" l="1"/>
  <c r="A23" i="5" l="1"/>
  <c r="A82" i="5" l="1"/>
  <c r="A5" i="5" l="1"/>
  <c r="A60" i="1"/>
  <c r="A36" i="5" l="1"/>
  <c r="A61" i="1"/>
  <c r="A37" i="5" l="1"/>
  <c r="A62" i="1"/>
  <c r="A45" i="5" l="1"/>
  <c r="A63" i="1"/>
  <c r="A40" i="5" l="1"/>
  <c r="A64" i="1"/>
  <c r="A65" i="1" s="1"/>
  <c r="A66" i="1" s="1"/>
  <c r="A60" i="5" l="1"/>
  <c r="A67" i="1"/>
  <c r="A68" i="1" s="1"/>
  <c r="A62" i="5" l="1"/>
  <c r="A43" i="5" l="1"/>
  <c r="A7" i="5" l="1"/>
  <c r="A69" i="1"/>
  <c r="A47" i="5" l="1"/>
  <c r="A70" i="1"/>
  <c r="A44" i="5" l="1"/>
  <c r="A71" i="1"/>
  <c r="A49" i="5" l="1"/>
  <c r="A72" i="1"/>
  <c r="A50" i="5" l="1"/>
  <c r="A73" i="1"/>
  <c r="A70" i="5" l="1"/>
  <c r="A74" i="1"/>
  <c r="A53" i="5" l="1"/>
  <c r="A75" i="1"/>
  <c r="A80" i="5" l="1"/>
  <c r="A76" i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55" i="5" l="1"/>
  <c r="A89" i="1"/>
  <c r="A35" i="5" l="1"/>
  <c r="A90" i="1"/>
  <c r="A91" i="1" s="1"/>
  <c r="A57" i="5" l="1"/>
  <c r="A92" i="1"/>
  <c r="A93" i="1" s="1"/>
  <c r="A42" i="5" l="1"/>
  <c r="A94" i="1"/>
  <c r="A56" i="5" l="1"/>
  <c r="A95" i="1"/>
  <c r="A61" i="5" l="1"/>
  <c r="A96" i="1"/>
  <c r="A97" i="1" s="1"/>
  <c r="A65" i="5" l="1"/>
  <c r="A63" i="5" l="1"/>
  <c r="A98" i="1"/>
  <c r="A99" i="1" s="1"/>
  <c r="A100" i="1" s="1"/>
  <c r="A101" i="1" s="1"/>
  <c r="A102" i="1" s="1"/>
  <c r="A24" i="5" l="1"/>
  <c r="A103" i="1"/>
  <c r="A104" i="1" l="1"/>
  <c r="A66" i="5"/>
  <c r="A67" i="5" l="1"/>
  <c r="A105" i="1"/>
  <c r="A68" i="5" l="1"/>
  <c r="A106" i="1"/>
  <c r="A107" i="1" s="1"/>
  <c r="A108" i="1" s="1"/>
  <c r="A109" i="1" s="1"/>
  <c r="A110" i="1" s="1"/>
  <c r="A111" i="1" s="1"/>
  <c r="A112" i="1" l="1"/>
  <c r="A69" i="5"/>
  <c r="A26" i="5" l="1"/>
  <c r="A113" i="1"/>
  <c r="A71" i="5" l="1"/>
  <c r="A114" i="1"/>
  <c r="A72" i="5" l="1"/>
  <c r="A115" i="1"/>
  <c r="A73" i="5" l="1"/>
  <c r="A116" i="1"/>
  <c r="A74" i="5" l="1"/>
  <c r="A117" i="1"/>
  <c r="A29" i="5" l="1"/>
  <c r="A118" i="1"/>
  <c r="A76" i="5" l="1"/>
  <c r="A119" i="1"/>
  <c r="A77" i="5" l="1"/>
  <c r="A120" i="1"/>
  <c r="A78" i="5" l="1"/>
  <c r="A121" i="1"/>
  <c r="A79" i="5" l="1"/>
  <c r="A122" i="1"/>
  <c r="A9" i="5" l="1"/>
  <c r="A123" i="1"/>
  <c r="A11" i="5" l="1"/>
  <c r="A124" i="1"/>
  <c r="A14" i="5" l="1"/>
  <c r="A125" i="1"/>
  <c r="A126" i="1" s="1"/>
  <c r="A127" i="1" s="1"/>
  <c r="A128" i="1" s="1"/>
  <c r="A129" i="1" s="1"/>
  <c r="A130" i="1" s="1"/>
  <c r="A131" i="1" s="1"/>
  <c r="A132" i="1" s="1"/>
  <c r="A133" i="1" s="1"/>
  <c r="A84" i="5" l="1"/>
  <c r="A134" i="1"/>
  <c r="A135" i="1" s="1"/>
  <c r="A136" i="1" s="1"/>
  <c r="A137" i="1" s="1"/>
  <c r="A138" i="1" s="1"/>
  <c r="A139" i="1" s="1"/>
  <c r="A140" i="1" s="1"/>
  <c r="A141" i="1" s="1"/>
</calcChain>
</file>

<file path=xl/sharedStrings.xml><?xml version="1.0" encoding="utf-8"?>
<sst xmlns="http://schemas.openxmlformats.org/spreadsheetml/2006/main" count="1090" uniqueCount="194">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</sst>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tabSelected="1" zoomScaleNormal="100" workbookViewId="0">
      <pane ySplit="1" topLeftCell="A77" activePane="bottomLeft" state="frozen"/>
      <selection pane="bottomLeft" activeCell="D105" sqref="D105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163</v>
      </c>
      <c r="G14" s="5" t="s">
        <v>163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164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163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70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46271</v>
      </c>
      <c r="E48" s="22"/>
      <c r="F48" s="21"/>
      <c r="G48" s="21" t="s">
        <v>179</v>
      </c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46278</v>
      </c>
      <c r="E49" s="22"/>
      <c r="F49" s="21" t="s">
        <v>43</v>
      </c>
      <c r="G49" s="21" t="s">
        <v>173</v>
      </c>
      <c r="H49" s="21" t="s">
        <v>15</v>
      </c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46284</v>
      </c>
      <c r="E50" s="22">
        <v>0.70833333333333337</v>
      </c>
      <c r="F50" s="21" t="s">
        <v>9</v>
      </c>
      <c r="G50" s="21" t="s">
        <v>180</v>
      </c>
      <c r="H50" s="21" t="s">
        <v>11</v>
      </c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46292</v>
      </c>
      <c r="E51" s="22"/>
      <c r="F51" s="21" t="s">
        <v>28</v>
      </c>
      <c r="G51" s="21" t="s">
        <v>28</v>
      </c>
      <c r="H51" s="21" t="s">
        <v>15</v>
      </c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46298</v>
      </c>
      <c r="E52" s="22">
        <v>0.58333333333333337</v>
      </c>
      <c r="F52" s="21" t="s">
        <v>23</v>
      </c>
      <c r="G52" s="21" t="s">
        <v>191</v>
      </c>
      <c r="H52" s="21" t="s">
        <v>11</v>
      </c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46305</v>
      </c>
      <c r="E53" s="22">
        <v>0.66666666666666663</v>
      </c>
      <c r="F53" s="21" t="s">
        <v>23</v>
      </c>
      <c r="G53" s="21" t="s">
        <v>166</v>
      </c>
      <c r="H53" s="21" t="s">
        <v>11</v>
      </c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46313</v>
      </c>
      <c r="E54" s="22"/>
      <c r="F54" s="21" t="s">
        <v>188</v>
      </c>
      <c r="G54" s="21" t="s">
        <v>165</v>
      </c>
      <c r="H54" s="21" t="s">
        <v>15</v>
      </c>
    </row>
    <row r="55" spans="1:9" x14ac:dyDescent="0.3">
      <c r="A55" s="21">
        <f t="shared" si="1"/>
        <v>54</v>
      </c>
      <c r="B55" s="21">
        <v>8</v>
      </c>
      <c r="C55" s="21" t="s">
        <v>12</v>
      </c>
      <c r="D55" s="28">
        <v>46320</v>
      </c>
      <c r="E55" s="22"/>
      <c r="F55" s="21"/>
      <c r="G55" s="21" t="s">
        <v>179</v>
      </c>
      <c r="H55" s="21"/>
    </row>
    <row r="56" spans="1:9" x14ac:dyDescent="0.3">
      <c r="A56" s="21">
        <f t="shared" si="1"/>
        <v>55</v>
      </c>
      <c r="B56" s="21">
        <v>9</v>
      </c>
      <c r="C56" s="21" t="s">
        <v>12</v>
      </c>
      <c r="D56" s="28">
        <v>46326</v>
      </c>
      <c r="E56" s="22">
        <v>0.60416666666666663</v>
      </c>
      <c r="F56" s="21" t="s">
        <v>23</v>
      </c>
      <c r="G56" s="21" t="s">
        <v>192</v>
      </c>
      <c r="H56" s="21" t="s">
        <v>11</v>
      </c>
    </row>
    <row r="57" spans="1:9" x14ac:dyDescent="0.3">
      <c r="A57" s="21">
        <f t="shared" si="1"/>
        <v>56</v>
      </c>
      <c r="B57" s="21">
        <v>10</v>
      </c>
      <c r="C57" s="21" t="s">
        <v>12</v>
      </c>
      <c r="D57" s="28">
        <v>46334</v>
      </c>
      <c r="E57" s="22"/>
      <c r="F57" s="21" t="s">
        <v>180</v>
      </c>
      <c r="G57" s="21" t="s">
        <v>180</v>
      </c>
      <c r="H57" s="21" t="s">
        <v>15</v>
      </c>
    </row>
    <row r="58" spans="1:9" x14ac:dyDescent="0.3">
      <c r="A58" s="21">
        <f t="shared" si="1"/>
        <v>57</v>
      </c>
      <c r="B58" s="21">
        <v>11</v>
      </c>
      <c r="C58" s="21" t="s">
        <v>12</v>
      </c>
      <c r="D58" s="28">
        <v>46340</v>
      </c>
      <c r="E58" s="22">
        <v>0.45833333333333331</v>
      </c>
      <c r="F58" s="21" t="s">
        <v>23</v>
      </c>
      <c r="G58" s="21" t="s">
        <v>28</v>
      </c>
      <c r="H58" s="21" t="s">
        <v>11</v>
      </c>
    </row>
    <row r="59" spans="1:9" s="11" customFormat="1" ht="14.25" customHeight="1" x14ac:dyDescent="0.3">
      <c r="A59" s="18">
        <f t="shared" si="1"/>
        <v>58</v>
      </c>
      <c r="B59" s="13">
        <v>1</v>
      </c>
      <c r="C59" s="13" t="s">
        <v>27</v>
      </c>
      <c r="D59" s="14">
        <v>46271</v>
      </c>
      <c r="E59" s="15">
        <v>0.625</v>
      </c>
      <c r="F59" s="13" t="s">
        <v>28</v>
      </c>
      <c r="G59" s="13" t="s">
        <v>165</v>
      </c>
      <c r="H59" s="13" t="s">
        <v>11</v>
      </c>
      <c r="I59" s="17"/>
    </row>
    <row r="60" spans="1:9" x14ac:dyDescent="0.3">
      <c r="A60" s="18">
        <f t="shared" si="1"/>
        <v>59</v>
      </c>
      <c r="B60" s="13">
        <v>2</v>
      </c>
      <c r="C60" s="13" t="s">
        <v>27</v>
      </c>
      <c r="D60" s="14">
        <v>46278</v>
      </c>
      <c r="E60" s="15">
        <v>0.625</v>
      </c>
      <c r="F60" s="13" t="s">
        <v>14</v>
      </c>
      <c r="G60" s="13" t="s">
        <v>14</v>
      </c>
      <c r="H60" s="13" t="s">
        <v>15</v>
      </c>
      <c r="I60" s="16"/>
    </row>
    <row r="61" spans="1:9" x14ac:dyDescent="0.3">
      <c r="A61" s="18">
        <f t="shared" si="1"/>
        <v>60</v>
      </c>
      <c r="B61" s="13">
        <v>3</v>
      </c>
      <c r="C61" s="13" t="s">
        <v>27</v>
      </c>
      <c r="D61" s="14">
        <v>46284</v>
      </c>
      <c r="E61" s="15">
        <v>0.52083333333333337</v>
      </c>
      <c r="F61" s="13" t="s">
        <v>23</v>
      </c>
      <c r="G61" s="13" t="s">
        <v>166</v>
      </c>
      <c r="H61" s="13" t="s">
        <v>11</v>
      </c>
      <c r="I61" s="16"/>
    </row>
    <row r="62" spans="1:9" x14ac:dyDescent="0.3">
      <c r="A62" s="18">
        <f t="shared" si="1"/>
        <v>61</v>
      </c>
      <c r="B62" s="13">
        <v>4</v>
      </c>
      <c r="C62" s="13" t="s">
        <v>27</v>
      </c>
      <c r="D62" s="14">
        <v>46292</v>
      </c>
      <c r="E62" s="15">
        <v>0.625</v>
      </c>
      <c r="F62" s="13" t="s">
        <v>28</v>
      </c>
      <c r="G62" s="13" t="s">
        <v>169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5</v>
      </c>
      <c r="C63" s="13" t="s">
        <v>27</v>
      </c>
      <c r="D63" s="14">
        <v>46299</v>
      </c>
      <c r="E63" s="15">
        <v>0.625</v>
      </c>
      <c r="F63" s="13" t="s">
        <v>167</v>
      </c>
      <c r="G63" s="13" t="s">
        <v>168</v>
      </c>
      <c r="H63" s="13" t="s">
        <v>15</v>
      </c>
      <c r="I63" s="16"/>
    </row>
    <row r="64" spans="1:9" x14ac:dyDescent="0.3">
      <c r="A64" s="18">
        <f t="shared" si="1"/>
        <v>63</v>
      </c>
      <c r="B64" s="13">
        <v>6</v>
      </c>
      <c r="C64" s="13" t="s">
        <v>27</v>
      </c>
      <c r="D64" s="14">
        <v>46306</v>
      </c>
      <c r="E64" s="15">
        <v>0.625</v>
      </c>
      <c r="F64" s="13" t="s">
        <v>28</v>
      </c>
      <c r="G64" s="13" t="s">
        <v>170</v>
      </c>
      <c r="H64" s="13" t="s">
        <v>11</v>
      </c>
      <c r="I64" s="16"/>
    </row>
    <row r="65" spans="1:9" x14ac:dyDescent="0.3">
      <c r="A65" s="18">
        <f t="shared" si="1"/>
        <v>64</v>
      </c>
      <c r="B65" s="13">
        <v>7</v>
      </c>
      <c r="C65" s="13" t="s">
        <v>27</v>
      </c>
      <c r="D65" s="14">
        <v>46313</v>
      </c>
      <c r="E65" s="15">
        <v>0.625</v>
      </c>
      <c r="F65" s="13" t="s">
        <v>171</v>
      </c>
      <c r="G65" s="13" t="s">
        <v>171</v>
      </c>
      <c r="H65" s="13" t="s">
        <v>15</v>
      </c>
      <c r="I65" s="16"/>
    </row>
    <row r="66" spans="1:9" x14ac:dyDescent="0.3">
      <c r="A66" s="18">
        <f t="shared" si="1"/>
        <v>65</v>
      </c>
      <c r="B66" s="13">
        <v>8</v>
      </c>
      <c r="C66" s="13" t="s">
        <v>27</v>
      </c>
      <c r="D66" s="14">
        <v>46320</v>
      </c>
      <c r="E66" s="15">
        <v>0.58333333333333337</v>
      </c>
      <c r="F66" s="13" t="s">
        <v>23</v>
      </c>
      <c r="G66" s="13" t="s">
        <v>172</v>
      </c>
      <c r="H66" s="13" t="s">
        <v>11</v>
      </c>
      <c r="I66" s="16"/>
    </row>
    <row r="67" spans="1:9" x14ac:dyDescent="0.3">
      <c r="A67" s="18">
        <f t="shared" si="1"/>
        <v>66</v>
      </c>
      <c r="B67" s="13">
        <v>9</v>
      </c>
      <c r="C67" s="13" t="s">
        <v>27</v>
      </c>
      <c r="D67" s="14">
        <v>46327</v>
      </c>
      <c r="E67" s="15">
        <v>0.625</v>
      </c>
      <c r="F67" s="13" t="s">
        <v>43</v>
      </c>
      <c r="G67" s="13" t="s">
        <v>173</v>
      </c>
      <c r="H67" s="13" t="s">
        <v>15</v>
      </c>
      <c r="I67" s="16"/>
    </row>
    <row r="68" spans="1:9" x14ac:dyDescent="0.3">
      <c r="A68" s="6">
        <f t="shared" si="1"/>
        <v>67</v>
      </c>
      <c r="B68" s="6">
        <v>1</v>
      </c>
      <c r="C68" s="6" t="s">
        <v>46</v>
      </c>
      <c r="D68" s="23">
        <v>46269</v>
      </c>
      <c r="E68" s="7"/>
      <c r="F68" s="6" t="s">
        <v>59</v>
      </c>
      <c r="G68" s="6" t="s">
        <v>182</v>
      </c>
      <c r="H68" s="6" t="s">
        <v>11</v>
      </c>
    </row>
    <row r="69" spans="1:9" x14ac:dyDescent="0.3">
      <c r="A69" s="6">
        <f t="shared" si="1"/>
        <v>68</v>
      </c>
      <c r="B69" s="6">
        <v>2</v>
      </c>
      <c r="C69" s="6" t="s">
        <v>46</v>
      </c>
      <c r="D69" s="23">
        <v>46276</v>
      </c>
      <c r="E69" s="7"/>
      <c r="F69" s="6" t="s">
        <v>183</v>
      </c>
      <c r="G69" s="6" t="s">
        <v>184</v>
      </c>
      <c r="H69" s="6" t="s">
        <v>15</v>
      </c>
    </row>
    <row r="70" spans="1:9" x14ac:dyDescent="0.3">
      <c r="A70" s="6">
        <f t="shared" si="1"/>
        <v>69</v>
      </c>
      <c r="B70" s="6">
        <v>3</v>
      </c>
      <c r="C70" s="6" t="s">
        <v>46</v>
      </c>
      <c r="D70" s="23">
        <v>46284</v>
      </c>
      <c r="E70" s="7">
        <v>0.4375</v>
      </c>
      <c r="F70" s="6" t="s">
        <v>23</v>
      </c>
      <c r="G70" s="6" t="s">
        <v>174</v>
      </c>
      <c r="H70" s="6" t="s">
        <v>11</v>
      </c>
    </row>
    <row r="71" spans="1:9" x14ac:dyDescent="0.3">
      <c r="A71" s="6">
        <f t="shared" ref="A71:A101" si="2">A70+1</f>
        <v>70</v>
      </c>
      <c r="B71" s="6">
        <v>4</v>
      </c>
      <c r="C71" s="6" t="s">
        <v>46</v>
      </c>
      <c r="D71" s="23">
        <v>46290</v>
      </c>
      <c r="E71" s="7"/>
      <c r="F71" s="6" t="s">
        <v>176</v>
      </c>
      <c r="G71" s="6" t="s">
        <v>185</v>
      </c>
      <c r="H71" s="6" t="s">
        <v>15</v>
      </c>
    </row>
    <row r="72" spans="1:9" x14ac:dyDescent="0.3">
      <c r="A72" s="6">
        <f t="shared" si="2"/>
        <v>71</v>
      </c>
      <c r="B72" s="6">
        <v>5</v>
      </c>
      <c r="C72" s="6" t="s">
        <v>46</v>
      </c>
      <c r="D72" s="23">
        <v>46298</v>
      </c>
      <c r="E72" s="7">
        <v>0.5</v>
      </c>
      <c r="F72" s="6" t="s">
        <v>59</v>
      </c>
      <c r="G72" s="6" t="s">
        <v>186</v>
      </c>
      <c r="H72" s="6" t="s">
        <v>11</v>
      </c>
    </row>
    <row r="73" spans="1:9" x14ac:dyDescent="0.3">
      <c r="A73" s="6">
        <f t="shared" si="2"/>
        <v>72</v>
      </c>
      <c r="B73" s="6">
        <v>6</v>
      </c>
      <c r="C73" s="6" t="s">
        <v>46</v>
      </c>
      <c r="D73" s="23">
        <v>46304</v>
      </c>
      <c r="E73" s="7"/>
      <c r="F73" s="6" t="s">
        <v>182</v>
      </c>
      <c r="G73" s="6" t="s">
        <v>182</v>
      </c>
      <c r="H73" s="6" t="s">
        <v>15</v>
      </c>
    </row>
    <row r="74" spans="1:9" x14ac:dyDescent="0.3">
      <c r="A74" s="6">
        <f t="shared" si="2"/>
        <v>73</v>
      </c>
      <c r="B74" s="6">
        <v>7</v>
      </c>
      <c r="C74" s="6" t="s">
        <v>46</v>
      </c>
      <c r="D74" s="23">
        <v>46312</v>
      </c>
      <c r="E74" s="7">
        <v>0.70833333333333337</v>
      </c>
      <c r="F74" s="6" t="s">
        <v>23</v>
      </c>
      <c r="G74" s="6" t="s">
        <v>184</v>
      </c>
      <c r="H74" s="6" t="s">
        <v>11</v>
      </c>
    </row>
    <row r="75" spans="1:9" x14ac:dyDescent="0.3">
      <c r="A75" s="6">
        <f t="shared" si="2"/>
        <v>74</v>
      </c>
      <c r="B75" s="6">
        <v>8</v>
      </c>
      <c r="C75" s="6" t="s">
        <v>46</v>
      </c>
      <c r="D75" s="23">
        <v>46318</v>
      </c>
      <c r="E75" s="7"/>
      <c r="F75" s="6" t="s">
        <v>174</v>
      </c>
      <c r="G75" s="6" t="s">
        <v>174</v>
      </c>
      <c r="H75" s="6" t="s">
        <v>15</v>
      </c>
    </row>
    <row r="76" spans="1:9" x14ac:dyDescent="0.3">
      <c r="A76" s="6">
        <f t="shared" si="2"/>
        <v>75</v>
      </c>
      <c r="B76" s="6">
        <v>9</v>
      </c>
      <c r="C76" s="6" t="s">
        <v>46</v>
      </c>
      <c r="D76" s="23">
        <v>46326</v>
      </c>
      <c r="E76" s="7">
        <v>0.52083333333333337</v>
      </c>
      <c r="F76" s="6" t="s">
        <v>23</v>
      </c>
      <c r="G76" s="6" t="s">
        <v>185</v>
      </c>
      <c r="H76" s="6" t="s">
        <v>11</v>
      </c>
    </row>
    <row r="77" spans="1:9" x14ac:dyDescent="0.3">
      <c r="A77" s="6">
        <f t="shared" si="2"/>
        <v>76</v>
      </c>
      <c r="B77" s="6">
        <v>10</v>
      </c>
      <c r="C77" s="6" t="s">
        <v>46</v>
      </c>
      <c r="D77" s="23">
        <v>46332</v>
      </c>
      <c r="E77" s="7"/>
      <c r="F77" s="6" t="s">
        <v>42</v>
      </c>
      <c r="G77" s="6" t="s">
        <v>186</v>
      </c>
      <c r="H77" s="6" t="s">
        <v>15</v>
      </c>
    </row>
    <row r="78" spans="1:9" x14ac:dyDescent="0.3">
      <c r="A78" s="88">
        <f t="shared" si="2"/>
        <v>77</v>
      </c>
      <c r="B78" s="88">
        <v>1</v>
      </c>
      <c r="C78" s="88" t="s">
        <v>47</v>
      </c>
      <c r="D78" s="89">
        <v>46270</v>
      </c>
      <c r="E78" s="90">
        <v>0.5</v>
      </c>
      <c r="F78" s="88" t="s">
        <v>59</v>
      </c>
      <c r="G78" s="88" t="s">
        <v>187</v>
      </c>
      <c r="H78" s="88" t="s">
        <v>11</v>
      </c>
    </row>
    <row r="79" spans="1:9" x14ac:dyDescent="0.3">
      <c r="A79" s="88">
        <f t="shared" si="2"/>
        <v>78</v>
      </c>
      <c r="B79" s="88">
        <v>2</v>
      </c>
      <c r="C79" s="88" t="s">
        <v>47</v>
      </c>
      <c r="D79" s="89">
        <v>46278</v>
      </c>
      <c r="E79" s="90">
        <v>0.41666666666666669</v>
      </c>
      <c r="F79" s="88" t="s">
        <v>188</v>
      </c>
      <c r="G79" s="88" t="s">
        <v>165</v>
      </c>
      <c r="H79" s="88" t="s">
        <v>15</v>
      </c>
    </row>
    <row r="80" spans="1:9" x14ac:dyDescent="0.3">
      <c r="A80" s="88">
        <f t="shared" si="2"/>
        <v>79</v>
      </c>
      <c r="B80" s="88">
        <v>3</v>
      </c>
      <c r="C80" s="88" t="s">
        <v>47</v>
      </c>
      <c r="D80" s="89">
        <v>46283</v>
      </c>
      <c r="E80" s="90"/>
      <c r="F80" s="88" t="s">
        <v>28</v>
      </c>
      <c r="G80" s="88" t="s">
        <v>28</v>
      </c>
      <c r="H80" s="88" t="s">
        <v>15</v>
      </c>
    </row>
    <row r="81" spans="1:8" x14ac:dyDescent="0.3">
      <c r="A81" s="88">
        <f t="shared" si="2"/>
        <v>80</v>
      </c>
      <c r="B81" s="88">
        <v>4</v>
      </c>
      <c r="C81" s="88" t="s">
        <v>47</v>
      </c>
      <c r="D81" s="89">
        <v>46292</v>
      </c>
      <c r="E81" s="90">
        <v>0.625</v>
      </c>
      <c r="F81" s="88" t="s">
        <v>23</v>
      </c>
      <c r="G81" s="88" t="s">
        <v>189</v>
      </c>
      <c r="H81" s="88" t="s">
        <v>11</v>
      </c>
    </row>
    <row r="82" spans="1:8" x14ac:dyDescent="0.3">
      <c r="A82" s="88">
        <f t="shared" si="2"/>
        <v>81</v>
      </c>
      <c r="B82" s="88">
        <v>5</v>
      </c>
      <c r="C82" s="88" t="s">
        <v>47</v>
      </c>
      <c r="D82" s="89">
        <v>46297</v>
      </c>
      <c r="E82" s="90"/>
      <c r="F82" s="88" t="s">
        <v>163</v>
      </c>
      <c r="G82" s="88" t="s">
        <v>163</v>
      </c>
      <c r="H82" s="88" t="s">
        <v>15</v>
      </c>
    </row>
    <row r="83" spans="1:8" x14ac:dyDescent="0.3">
      <c r="A83" s="88">
        <f t="shared" si="2"/>
        <v>82</v>
      </c>
      <c r="B83" s="88">
        <v>6</v>
      </c>
      <c r="C83" s="88" t="s">
        <v>47</v>
      </c>
      <c r="D83" s="89">
        <v>46304</v>
      </c>
      <c r="E83" s="90"/>
      <c r="F83" s="88" t="s">
        <v>187</v>
      </c>
      <c r="G83" s="88" t="s">
        <v>187</v>
      </c>
      <c r="H83" s="88" t="s">
        <v>15</v>
      </c>
    </row>
    <row r="84" spans="1:8" x14ac:dyDescent="0.3">
      <c r="A84" s="88">
        <f t="shared" si="2"/>
        <v>83</v>
      </c>
      <c r="B84" s="88">
        <v>7</v>
      </c>
      <c r="C84" s="88" t="s">
        <v>47</v>
      </c>
      <c r="D84" s="89">
        <v>46312</v>
      </c>
      <c r="E84" s="90">
        <v>0.625</v>
      </c>
      <c r="F84" s="88" t="s">
        <v>23</v>
      </c>
      <c r="G84" s="88" t="s">
        <v>165</v>
      </c>
      <c r="H84" s="88" t="s">
        <v>11</v>
      </c>
    </row>
    <row r="85" spans="1:8" x14ac:dyDescent="0.3">
      <c r="A85" s="88">
        <f t="shared" si="2"/>
        <v>84</v>
      </c>
      <c r="B85" s="88">
        <v>8</v>
      </c>
      <c r="C85" s="88" t="s">
        <v>47</v>
      </c>
      <c r="D85" s="89">
        <v>46318</v>
      </c>
      <c r="E85" s="90">
        <v>0.70833333333333337</v>
      </c>
      <c r="F85" s="88" t="s">
        <v>59</v>
      </c>
      <c r="G85" s="88" t="s">
        <v>28</v>
      </c>
      <c r="H85" s="88" t="s">
        <v>11</v>
      </c>
    </row>
    <row r="86" spans="1:8" x14ac:dyDescent="0.3">
      <c r="A86" s="88">
        <f t="shared" si="2"/>
        <v>85</v>
      </c>
      <c r="B86" s="88">
        <v>9</v>
      </c>
      <c r="C86" s="88" t="s">
        <v>47</v>
      </c>
      <c r="D86" s="89">
        <v>46325</v>
      </c>
      <c r="E86" s="90"/>
      <c r="F86" s="88" t="s">
        <v>190</v>
      </c>
      <c r="G86" s="88" t="s">
        <v>189</v>
      </c>
      <c r="H86" s="88" t="s">
        <v>15</v>
      </c>
    </row>
    <row r="87" spans="1:8" x14ac:dyDescent="0.3">
      <c r="A87" s="88">
        <f t="shared" si="2"/>
        <v>86</v>
      </c>
      <c r="B87" s="88">
        <v>10</v>
      </c>
      <c r="C87" s="88" t="s">
        <v>47</v>
      </c>
      <c r="D87" s="89">
        <v>46332</v>
      </c>
      <c r="E87" s="90">
        <v>0.70833333333333337</v>
      </c>
      <c r="F87" s="88" t="s">
        <v>59</v>
      </c>
      <c r="G87" s="88" t="s">
        <v>163</v>
      </c>
      <c r="H87" s="88" t="s">
        <v>11</v>
      </c>
    </row>
    <row r="88" spans="1:8" x14ac:dyDescent="0.3">
      <c r="A88" s="19">
        <f t="shared" si="2"/>
        <v>87</v>
      </c>
      <c r="B88" s="19">
        <v>1</v>
      </c>
      <c r="C88" s="19" t="s">
        <v>48</v>
      </c>
      <c r="D88" s="24">
        <v>46270</v>
      </c>
      <c r="E88" s="20">
        <v>0.41666666666666669</v>
      </c>
      <c r="F88" s="19" t="s">
        <v>59</v>
      </c>
      <c r="G88" s="19" t="s">
        <v>174</v>
      </c>
      <c r="H88" s="19" t="s">
        <v>11</v>
      </c>
    </row>
    <row r="89" spans="1:8" x14ac:dyDescent="0.3">
      <c r="A89" s="19">
        <f t="shared" si="2"/>
        <v>88</v>
      </c>
      <c r="B89" s="19">
        <v>2</v>
      </c>
      <c r="C89" s="19" t="s">
        <v>48</v>
      </c>
      <c r="D89" s="24">
        <v>46276</v>
      </c>
      <c r="E89" s="20"/>
      <c r="F89" s="19" t="s">
        <v>42</v>
      </c>
      <c r="G89" s="19" t="s">
        <v>42</v>
      </c>
      <c r="H89" s="19" t="s">
        <v>15</v>
      </c>
    </row>
    <row r="90" spans="1:8" x14ac:dyDescent="0.3">
      <c r="A90" s="19">
        <f t="shared" si="2"/>
        <v>89</v>
      </c>
      <c r="B90" s="19">
        <v>3</v>
      </c>
      <c r="C90" s="19" t="s">
        <v>48</v>
      </c>
      <c r="D90" s="24">
        <v>46283</v>
      </c>
      <c r="E90" s="20"/>
      <c r="F90" s="19" t="s">
        <v>181</v>
      </c>
      <c r="G90" s="19" t="s">
        <v>181</v>
      </c>
      <c r="H90" s="19" t="s">
        <v>15</v>
      </c>
    </row>
    <row r="91" spans="1:8" x14ac:dyDescent="0.3">
      <c r="A91" s="19">
        <f t="shared" si="2"/>
        <v>90</v>
      </c>
      <c r="B91" s="19">
        <v>4</v>
      </c>
      <c r="C91" s="19" t="s">
        <v>48</v>
      </c>
      <c r="D91" s="24">
        <v>46292</v>
      </c>
      <c r="E91" s="20">
        <v>0.54166666666666663</v>
      </c>
      <c r="F91" s="19" t="s">
        <v>23</v>
      </c>
      <c r="G91" s="19" t="s">
        <v>181</v>
      </c>
      <c r="H91" s="19" t="s">
        <v>11</v>
      </c>
    </row>
    <row r="92" spans="1:8" x14ac:dyDescent="0.3">
      <c r="A92" s="19">
        <f t="shared" si="2"/>
        <v>91</v>
      </c>
      <c r="B92" s="19">
        <v>5</v>
      </c>
      <c r="C92" s="19" t="s">
        <v>48</v>
      </c>
      <c r="D92" s="24">
        <v>46298</v>
      </c>
      <c r="E92" s="20">
        <v>0.41666666666666669</v>
      </c>
      <c r="F92" s="19" t="s">
        <v>59</v>
      </c>
      <c r="G92" s="19" t="s">
        <v>42</v>
      </c>
      <c r="H92" s="19" t="s">
        <v>11</v>
      </c>
    </row>
    <row r="93" spans="1:8" x14ac:dyDescent="0.3">
      <c r="A93" s="19">
        <f t="shared" si="2"/>
        <v>92</v>
      </c>
      <c r="B93" s="19">
        <v>6</v>
      </c>
      <c r="C93" s="19" t="s">
        <v>48</v>
      </c>
      <c r="D93" s="24">
        <v>46304</v>
      </c>
      <c r="E93" s="20"/>
      <c r="F93" s="19" t="s">
        <v>174</v>
      </c>
      <c r="G93" s="19" t="s">
        <v>174</v>
      </c>
      <c r="H93" s="19" t="s">
        <v>15</v>
      </c>
    </row>
    <row r="94" spans="1:8" x14ac:dyDescent="0.3">
      <c r="A94" s="19">
        <f t="shared" si="2"/>
        <v>93</v>
      </c>
      <c r="B94" s="19">
        <v>7</v>
      </c>
      <c r="C94" s="19" t="s">
        <v>48</v>
      </c>
      <c r="D94" s="24">
        <v>46312</v>
      </c>
      <c r="E94" s="20">
        <v>0.54166666666666663</v>
      </c>
      <c r="F94" s="19" t="s">
        <v>23</v>
      </c>
      <c r="G94" s="19" t="s">
        <v>174</v>
      </c>
      <c r="H94" s="19" t="s">
        <v>11</v>
      </c>
    </row>
    <row r="95" spans="1:8" x14ac:dyDescent="0.3">
      <c r="A95" s="19">
        <f t="shared" si="2"/>
        <v>94</v>
      </c>
      <c r="B95" s="19">
        <v>8</v>
      </c>
      <c r="C95" s="19" t="s">
        <v>48</v>
      </c>
      <c r="D95" s="24">
        <v>46318</v>
      </c>
      <c r="E95" s="20"/>
      <c r="F95" s="19" t="s">
        <v>42</v>
      </c>
      <c r="G95" s="19" t="s">
        <v>42</v>
      </c>
      <c r="H95" s="19" t="s">
        <v>15</v>
      </c>
    </row>
    <row r="96" spans="1:8" x14ac:dyDescent="0.3">
      <c r="A96" s="19">
        <f t="shared" si="2"/>
        <v>95</v>
      </c>
      <c r="B96" s="19">
        <v>9</v>
      </c>
      <c r="C96" s="19" t="s">
        <v>48</v>
      </c>
      <c r="D96" s="24">
        <v>46325</v>
      </c>
      <c r="E96" s="20"/>
      <c r="F96" s="19" t="s">
        <v>181</v>
      </c>
      <c r="G96" s="19" t="s">
        <v>181</v>
      </c>
      <c r="H96" s="19" t="s">
        <v>15</v>
      </c>
    </row>
    <row r="97" spans="1:8" x14ac:dyDescent="0.3">
      <c r="A97" s="85">
        <f t="shared" si="2"/>
        <v>96</v>
      </c>
      <c r="B97" s="85">
        <v>1</v>
      </c>
      <c r="C97" s="85" t="s">
        <v>49</v>
      </c>
      <c r="D97" s="86">
        <v>46312</v>
      </c>
      <c r="E97" s="87">
        <v>0.39583333333333331</v>
      </c>
      <c r="F97" s="87" t="s">
        <v>23</v>
      </c>
      <c r="G97" s="85" t="s">
        <v>50</v>
      </c>
      <c r="H97" s="85" t="s">
        <v>11</v>
      </c>
    </row>
    <row r="98" spans="1:8" x14ac:dyDescent="0.3">
      <c r="A98" s="85">
        <f t="shared" si="2"/>
        <v>97</v>
      </c>
      <c r="B98" s="85">
        <v>2</v>
      </c>
      <c r="C98" s="85" t="s">
        <v>49</v>
      </c>
      <c r="D98" s="86">
        <v>46277</v>
      </c>
      <c r="E98" s="87"/>
      <c r="F98" s="85" t="s">
        <v>41</v>
      </c>
      <c r="G98" s="85" t="s">
        <v>161</v>
      </c>
      <c r="H98" s="85" t="s">
        <v>15</v>
      </c>
    </row>
    <row r="99" spans="1:8" x14ac:dyDescent="0.3">
      <c r="A99" s="85">
        <f t="shared" si="2"/>
        <v>98</v>
      </c>
      <c r="B99" s="85">
        <v>3</v>
      </c>
      <c r="C99" s="85" t="s">
        <v>49</v>
      </c>
      <c r="D99" s="86">
        <v>46305</v>
      </c>
      <c r="E99" s="87"/>
      <c r="F99" s="85" t="s">
        <v>175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4</v>
      </c>
      <c r="C100" s="85" t="s">
        <v>49</v>
      </c>
      <c r="D100" s="86" t="s">
        <v>178</v>
      </c>
      <c r="E100" s="87"/>
      <c r="F100" s="85" t="s">
        <v>176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5</v>
      </c>
      <c r="C101" s="85" t="s">
        <v>49</v>
      </c>
      <c r="D101" s="86" t="s">
        <v>178</v>
      </c>
      <c r="E101" s="87"/>
      <c r="F101" s="85" t="s">
        <v>177</v>
      </c>
      <c r="G101" s="85" t="s">
        <v>161</v>
      </c>
      <c r="H101" s="85" t="s">
        <v>15</v>
      </c>
    </row>
    <row r="102" spans="1:8" x14ac:dyDescent="0.3">
      <c r="A102" s="8">
        <f t="shared" ref="A102:A133" si="3">A101+1</f>
        <v>101</v>
      </c>
      <c r="B102" s="8">
        <v>1</v>
      </c>
      <c r="C102" s="8" t="s">
        <v>51</v>
      </c>
      <c r="D102" s="29">
        <v>46269</v>
      </c>
      <c r="E102" s="12"/>
      <c r="F102" s="8" t="s">
        <v>28</v>
      </c>
      <c r="G102" s="8" t="s">
        <v>28</v>
      </c>
      <c r="H102" s="8" t="s">
        <v>15</v>
      </c>
    </row>
    <row r="103" spans="1:8" x14ac:dyDescent="0.3">
      <c r="A103" s="8">
        <f t="shared" si="3"/>
        <v>102</v>
      </c>
      <c r="B103" s="8">
        <v>2</v>
      </c>
      <c r="C103" s="8" t="s">
        <v>51</v>
      </c>
      <c r="D103" s="29">
        <v>46278</v>
      </c>
      <c r="E103" s="12">
        <v>0.45833333333333331</v>
      </c>
      <c r="F103" s="8" t="s">
        <v>23</v>
      </c>
      <c r="G103" s="8" t="s">
        <v>59</v>
      </c>
      <c r="H103" s="8" t="s">
        <v>11</v>
      </c>
    </row>
    <row r="104" spans="1:8" x14ac:dyDescent="0.3">
      <c r="A104" s="8">
        <f t="shared" si="3"/>
        <v>103</v>
      </c>
      <c r="B104" s="8">
        <v>3</v>
      </c>
      <c r="C104" s="8" t="s">
        <v>51</v>
      </c>
      <c r="D104" s="29">
        <v>46283</v>
      </c>
      <c r="E104" s="12"/>
      <c r="F104" s="8"/>
      <c r="G104" s="8" t="s">
        <v>179</v>
      </c>
      <c r="H104" s="8"/>
    </row>
    <row r="105" spans="1:8" x14ac:dyDescent="0.3">
      <c r="A105" s="8">
        <f t="shared" si="3"/>
        <v>104</v>
      </c>
      <c r="B105" s="8">
        <v>4</v>
      </c>
      <c r="C105" s="8" t="s">
        <v>51</v>
      </c>
      <c r="D105" s="29">
        <v>46291</v>
      </c>
      <c r="E105" s="12">
        <v>0.41666666666666669</v>
      </c>
      <c r="F105" s="8" t="s">
        <v>180</v>
      </c>
      <c r="G105" s="8" t="s">
        <v>180</v>
      </c>
      <c r="H105" s="8" t="s">
        <v>15</v>
      </c>
    </row>
    <row r="106" spans="1:8" x14ac:dyDescent="0.3">
      <c r="A106" s="8">
        <f t="shared" si="3"/>
        <v>105</v>
      </c>
      <c r="B106" s="8">
        <v>5</v>
      </c>
      <c r="C106" s="8" t="s">
        <v>51</v>
      </c>
      <c r="D106" s="29">
        <v>46298</v>
      </c>
      <c r="E106" s="12">
        <v>0.39583333333333331</v>
      </c>
      <c r="F106" s="8" t="s">
        <v>23</v>
      </c>
      <c r="G106" s="8" t="s">
        <v>42</v>
      </c>
      <c r="H106" s="8" t="s">
        <v>11</v>
      </c>
    </row>
    <row r="107" spans="1:8" x14ac:dyDescent="0.3">
      <c r="A107" s="8">
        <f t="shared" si="3"/>
        <v>106</v>
      </c>
      <c r="B107" s="8">
        <v>6</v>
      </c>
      <c r="C107" s="8" t="s">
        <v>51</v>
      </c>
      <c r="D107" s="29">
        <v>46305</v>
      </c>
      <c r="E107" s="12">
        <v>0.58333333333333337</v>
      </c>
      <c r="F107" s="8" t="s">
        <v>23</v>
      </c>
      <c r="G107" s="8" t="s">
        <v>28</v>
      </c>
      <c r="H107" s="8" t="s">
        <v>11</v>
      </c>
    </row>
    <row r="108" spans="1:8" x14ac:dyDescent="0.3">
      <c r="A108" s="8">
        <f t="shared" si="3"/>
        <v>107</v>
      </c>
      <c r="B108" s="8">
        <v>7</v>
      </c>
      <c r="C108" s="8" t="s">
        <v>51</v>
      </c>
      <c r="D108" s="29">
        <v>46311</v>
      </c>
      <c r="E108" s="12"/>
      <c r="F108" s="8" t="s">
        <v>59</v>
      </c>
      <c r="G108" s="8" t="s">
        <v>59</v>
      </c>
      <c r="H108" s="8" t="s">
        <v>15</v>
      </c>
    </row>
    <row r="109" spans="1:8" x14ac:dyDescent="0.3">
      <c r="A109" s="8">
        <f t="shared" si="3"/>
        <v>108</v>
      </c>
      <c r="B109" s="8">
        <v>8</v>
      </c>
      <c r="C109" s="8" t="s">
        <v>51</v>
      </c>
      <c r="D109" s="29">
        <v>46318</v>
      </c>
      <c r="E109" s="12"/>
      <c r="F109" s="8"/>
      <c r="G109" s="8" t="s">
        <v>179</v>
      </c>
      <c r="H109" s="8"/>
    </row>
    <row r="110" spans="1:8" x14ac:dyDescent="0.3">
      <c r="A110" s="8">
        <f t="shared" si="3"/>
        <v>109</v>
      </c>
      <c r="B110" s="8">
        <v>9</v>
      </c>
      <c r="C110" s="8" t="s">
        <v>51</v>
      </c>
      <c r="D110" s="29">
        <v>46326</v>
      </c>
      <c r="E110" s="12">
        <v>0.4375</v>
      </c>
      <c r="F110" s="8" t="s">
        <v>23</v>
      </c>
      <c r="G110" s="8" t="s">
        <v>180</v>
      </c>
      <c r="H110" s="8" t="s">
        <v>11</v>
      </c>
    </row>
    <row r="111" spans="1:8" x14ac:dyDescent="0.3">
      <c r="A111" s="8">
        <f t="shared" si="3"/>
        <v>110</v>
      </c>
      <c r="B111" s="8">
        <v>10</v>
      </c>
      <c r="C111" s="8" t="s">
        <v>51</v>
      </c>
      <c r="D111" s="29">
        <v>46332</v>
      </c>
      <c r="E111" s="12"/>
      <c r="F111" s="8" t="s">
        <v>42</v>
      </c>
      <c r="G111" s="8" t="s">
        <v>42</v>
      </c>
      <c r="H111" s="8" t="s">
        <v>15</v>
      </c>
    </row>
    <row r="112" spans="1:8" x14ac:dyDescent="0.3">
      <c r="A112" s="25">
        <f t="shared" si="3"/>
        <v>111</v>
      </c>
      <c r="B112" s="25">
        <v>1</v>
      </c>
      <c r="C112" s="25" t="s">
        <v>52</v>
      </c>
      <c r="D112" s="26">
        <v>46312</v>
      </c>
      <c r="E112" s="27">
        <v>0.39583333333333331</v>
      </c>
      <c r="F112" s="25" t="s">
        <v>23</v>
      </c>
      <c r="G112" s="25" t="s">
        <v>50</v>
      </c>
      <c r="H112" s="25" t="s">
        <v>11</v>
      </c>
    </row>
    <row r="113" spans="1:8" x14ac:dyDescent="0.3">
      <c r="A113" s="25">
        <f t="shared" si="3"/>
        <v>112</v>
      </c>
      <c r="B113" s="25">
        <v>2</v>
      </c>
      <c r="C113" s="25" t="s">
        <v>52</v>
      </c>
      <c r="D113" s="26">
        <v>46284</v>
      </c>
      <c r="E113" s="27"/>
      <c r="F113" s="25" t="s">
        <v>9</v>
      </c>
      <c r="G113" s="25" t="s">
        <v>161</v>
      </c>
      <c r="H113" s="25" t="s">
        <v>15</v>
      </c>
    </row>
    <row r="114" spans="1:8" x14ac:dyDescent="0.3">
      <c r="A114" s="25">
        <f t="shared" si="3"/>
        <v>113</v>
      </c>
      <c r="B114" s="25">
        <v>3</v>
      </c>
      <c r="C114" s="25" t="s">
        <v>52</v>
      </c>
      <c r="D114" s="26">
        <v>46291</v>
      </c>
      <c r="E114" s="27"/>
      <c r="F114" s="25" t="s">
        <v>174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4</v>
      </c>
      <c r="C115" s="25" t="s">
        <v>52</v>
      </c>
      <c r="D115" s="26">
        <v>46091</v>
      </c>
      <c r="E115" s="27"/>
      <c r="F115" s="25" t="s">
        <v>42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5</v>
      </c>
      <c r="C116" s="25" t="s">
        <v>52</v>
      </c>
      <c r="D116" s="26">
        <v>46092</v>
      </c>
      <c r="E116" s="27"/>
      <c r="F116" s="25" t="s">
        <v>59</v>
      </c>
      <c r="G116" s="25" t="s">
        <v>161</v>
      </c>
      <c r="H116" s="25" t="s">
        <v>15</v>
      </c>
    </row>
    <row r="117" spans="1:8" x14ac:dyDescent="0.3">
      <c r="A117" s="42">
        <f t="shared" si="3"/>
        <v>116</v>
      </c>
      <c r="B117" s="42">
        <v>1</v>
      </c>
      <c r="C117" s="42" t="s">
        <v>53</v>
      </c>
      <c r="D117" s="43"/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2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3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4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5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30">
        <f t="shared" si="3"/>
        <v>121</v>
      </c>
      <c r="B122" s="30">
        <v>1</v>
      </c>
      <c r="C122" s="30" t="s">
        <v>54</v>
      </c>
      <c r="D122" s="58">
        <v>46230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>
        <f t="shared" si="3"/>
        <v>122</v>
      </c>
      <c r="B123" s="30">
        <v>2</v>
      </c>
      <c r="C123" s="30" t="s">
        <v>54</v>
      </c>
      <c r="D123" s="58">
        <v>46231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3</v>
      </c>
      <c r="C124" s="30" t="s">
        <v>54</v>
      </c>
      <c r="D124" s="58">
        <v>46232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4</v>
      </c>
      <c r="C125" s="30" t="s">
        <v>54</v>
      </c>
      <c r="D125" s="58">
        <v>46233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5</v>
      </c>
      <c r="C126" s="30" t="s">
        <v>54</v>
      </c>
      <c r="D126" s="58">
        <v>46234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6</v>
      </c>
      <c r="C127" s="30" t="s">
        <v>54</v>
      </c>
      <c r="D127" s="58">
        <v>46237</v>
      </c>
      <c r="E127" s="80">
        <v>0.375</v>
      </c>
      <c r="F127" s="31" t="s">
        <v>23</v>
      </c>
      <c r="G127" s="31" t="s">
        <v>56</v>
      </c>
      <c r="H127" s="31" t="s">
        <v>11</v>
      </c>
    </row>
    <row r="128" spans="1:8" x14ac:dyDescent="0.3">
      <c r="A128" s="30">
        <f t="shared" si="3"/>
        <v>127</v>
      </c>
      <c r="B128" s="30">
        <v>7</v>
      </c>
      <c r="C128" s="30" t="s">
        <v>54</v>
      </c>
      <c r="D128" s="58">
        <v>46238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8</v>
      </c>
      <c r="C129" s="30" t="s">
        <v>54</v>
      </c>
      <c r="D129" s="58">
        <v>46239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9</v>
      </c>
      <c r="C130" s="30" t="s">
        <v>54</v>
      </c>
      <c r="D130" s="58">
        <v>46321</v>
      </c>
      <c r="E130" s="80">
        <v>0.375</v>
      </c>
      <c r="F130" s="31" t="s">
        <v>23</v>
      </c>
      <c r="G130" s="31" t="s">
        <v>57</v>
      </c>
      <c r="H130" s="31" t="s">
        <v>11</v>
      </c>
    </row>
    <row r="131" spans="1:8" x14ac:dyDescent="0.3">
      <c r="A131" s="30">
        <f t="shared" si="3"/>
        <v>130</v>
      </c>
      <c r="B131" s="30">
        <v>10</v>
      </c>
      <c r="C131" s="30" t="s">
        <v>54</v>
      </c>
      <c r="D131" s="58">
        <v>46322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11</v>
      </c>
      <c r="C132" s="30" t="s">
        <v>54</v>
      </c>
      <c r="D132" s="58">
        <v>46323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40">
        <f t="shared" si="3"/>
        <v>132</v>
      </c>
      <c r="B133" s="40">
        <v>2</v>
      </c>
      <c r="C133" s="40" t="s">
        <v>161</v>
      </c>
      <c r="D133" s="59">
        <v>46256</v>
      </c>
      <c r="E133" s="81">
        <v>0.375</v>
      </c>
      <c r="F133" s="41" t="s">
        <v>23</v>
      </c>
      <c r="G133" s="8" t="s">
        <v>58</v>
      </c>
      <c r="H133" s="41" t="s">
        <v>11</v>
      </c>
    </row>
    <row r="134" spans="1:8" x14ac:dyDescent="0.3">
      <c r="A134" s="54">
        <f t="shared" ref="A134:A141" si="4">A133+1</f>
        <v>133</v>
      </c>
      <c r="B134" s="54">
        <v>1</v>
      </c>
      <c r="C134" s="54" t="s">
        <v>161</v>
      </c>
      <c r="D134" s="55">
        <v>46367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3">
      <c r="A135" s="54">
        <f t="shared" si="4"/>
        <v>134</v>
      </c>
      <c r="B135" s="54">
        <v>2</v>
      </c>
      <c r="C135" s="54" t="s">
        <v>161</v>
      </c>
      <c r="D135" s="55">
        <v>46368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3</v>
      </c>
      <c r="C136" s="54" t="s">
        <v>161</v>
      </c>
      <c r="D136" s="55">
        <v>46369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0</v>
      </c>
      <c r="C137" s="54" t="s">
        <v>61</v>
      </c>
      <c r="D137" s="55">
        <v>46359</v>
      </c>
      <c r="E137" s="92">
        <v>0.70833333333333337</v>
      </c>
      <c r="F137" s="54" t="s">
        <v>59</v>
      </c>
      <c r="G137" s="54" t="s">
        <v>62</v>
      </c>
      <c r="H137" s="54" t="s">
        <v>11</v>
      </c>
    </row>
    <row r="138" spans="1:8" x14ac:dyDescent="0.3">
      <c r="A138" s="54">
        <f t="shared" si="4"/>
        <v>137</v>
      </c>
      <c r="B138" s="54">
        <v>4</v>
      </c>
      <c r="C138" s="54" t="s">
        <v>161</v>
      </c>
      <c r="D138" s="55">
        <v>46402</v>
      </c>
      <c r="E138" s="92">
        <v>0.6875</v>
      </c>
      <c r="F138" s="54" t="s">
        <v>59</v>
      </c>
      <c r="G138" s="54" t="s">
        <v>60</v>
      </c>
      <c r="H138" s="54" t="s">
        <v>11</v>
      </c>
    </row>
    <row r="139" spans="1:8" x14ac:dyDescent="0.3">
      <c r="A139" s="54">
        <f t="shared" si="4"/>
        <v>138</v>
      </c>
      <c r="B139" s="54">
        <v>5</v>
      </c>
      <c r="C139" s="54" t="s">
        <v>161</v>
      </c>
      <c r="D139" s="55">
        <v>46403</v>
      </c>
      <c r="E139" s="92">
        <v>0.35416666666666669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6</v>
      </c>
      <c r="C140" s="54" t="s">
        <v>161</v>
      </c>
      <c r="D140" s="55">
        <v>46404</v>
      </c>
      <c r="E140" s="92">
        <v>0.375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0</v>
      </c>
      <c r="C141" s="54" t="s">
        <v>63</v>
      </c>
      <c r="D141" s="55">
        <v>46291</v>
      </c>
      <c r="E141" s="92">
        <v>0.75</v>
      </c>
      <c r="F141" s="54" t="s">
        <v>23</v>
      </c>
      <c r="G141" s="54" t="s">
        <v>64</v>
      </c>
      <c r="H141" s="54" t="s">
        <v>11</v>
      </c>
    </row>
  </sheetData>
  <autoFilter ref="A1:H116" xr:uid="{00000000-0009-0000-0000-000000000000}">
    <sortState xmlns:xlrd2="http://schemas.microsoft.com/office/spreadsheetml/2017/richdata2" ref="A2:H116">
      <sortCondition ref="A1:A116"/>
    </sortState>
  </autoFilter>
  <pageMargins left="0.25" right="0.25" top="0.75" bottom="0.75" header="0.3" footer="0.3"/>
  <pageSetup paperSize="9" scale="42" orientation="landscape"/>
  <rowBreaks count="2" manualBreakCount="2">
    <brk id="58" max="16383" man="1"/>
    <brk id="6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60" workbookViewId="0">
      <selection activeCell="E69" sqref="E69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 = "KM",C2+"1:45",IF(I2="U23",C2+"1:45",IF(I2 = "U16",C2+"1:45",IF(I2 = "U15",C2+"1:30",IF(I2 = "U14",C2+"1:30",IF(I2 = "U13",C2+"1:35",IF(I2 = "U12_1",C2+"1:10",IF(I2 = "U12_2",C2+"1:10",IF(I2 = "U11",C2+"1:10",IF(I2 = "U10",C2+"1:03",C2+"3:00"))))))))))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6" si="0">IF(I3 = "KM",C3+"1:45",IF(I3="U23",C3+"1:45",IF(I3 = "U16",C3+"1:45",IF(I3 = "U15",C3+"1:30",IF(I3 = "U14",C3+"1:30",IF(I3 = "U13",C3+"1:35",IF(I3 = "U12_1",C3+"1:10",IF(I3 = "U12_2",C3+"1:10",IF(I3 = "U11",C3+"1:10",IF(I3 = "U10",C3+"1:03",C3+"3:00"))))))))))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x14ac:dyDescent="0.3">
      <c r="B14" s="93">
        <f>'Nach Mannschaften sortiert'!D14</f>
        <v>46247</v>
      </c>
      <c r="C14" s="94">
        <f>'Nach Mannschaften sortiert'!E14</f>
        <v>0.79166666666666663</v>
      </c>
      <c r="D14" s="94">
        <f t="shared" si="0"/>
        <v>0.85416666666666663</v>
      </c>
      <c r="E14" s="94" t="str">
        <f>UPPER('Nach Mannschaften sortiert'!F14)</f>
        <v>OGGAU</v>
      </c>
      <c r="G14" t="str">
        <f>'Nach Mannschaften sortiert'!H14</f>
        <v>Auswärts</v>
      </c>
      <c r="H14" t="str">
        <f>'Nach Mannschaften sortiert'!G14</f>
        <v>Oggau</v>
      </c>
      <c r="I14" t="str">
        <f>'Nach Mannschaften sortiert'!C14</f>
        <v>U14</v>
      </c>
      <c r="J14" s="82" t="s">
        <v>77</v>
      </c>
      <c r="K14" t="s">
        <v>78</v>
      </c>
      <c r="L14" t="s">
        <v>79</v>
      </c>
    </row>
    <row r="15" spans="1:12" x14ac:dyDescent="0.3">
      <c r="B15" s="93">
        <f>'Nach Mannschaften sortiert'!D15</f>
        <v>46255</v>
      </c>
      <c r="C15" s="94">
        <f>'Nach Mannschaften sortiert'!E15</f>
        <v>0.75</v>
      </c>
      <c r="D15" s="94">
        <f t="shared" si="0"/>
        <v>0.8125</v>
      </c>
      <c r="E15" s="94" t="str">
        <f>UPPER('Nach Mannschaften sortiert'!F15)</f>
        <v>GROßHÖFLEIN</v>
      </c>
      <c r="G15" t="str">
        <f>'Nach Mannschaften sortiert'!H15</f>
        <v>Heim</v>
      </c>
      <c r="H15" t="str">
        <f>'Nach Mannschaften sortiert'!G15</f>
        <v>Bad Erlach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46256</v>
      </c>
      <c r="C16" s="94">
        <f>'Nach Mannschaften sortiert'!E16</f>
        <v>0.70833333333333337</v>
      </c>
      <c r="D16" s="94">
        <f t="shared" si="0"/>
        <v>0.78125</v>
      </c>
      <c r="E16" s="94" t="str">
        <f>UPPER('Nach Mannschaften sortiert'!F16)</f>
        <v>LAXENBURG</v>
      </c>
      <c r="G16" t="str">
        <f>'Nach Mannschaften sortiert'!H16</f>
        <v>Auswärts</v>
      </c>
      <c r="H16" t="str">
        <f>'Nach Mannschaften sortiert'!G16</f>
        <v>Laxenburg</v>
      </c>
      <c r="I16" t="str">
        <f>'Nach Mannschaften sortiert'!C16</f>
        <v>U16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46260</v>
      </c>
      <c r="C17" s="94">
        <f>'Nach Mannschaften sortiert'!E17</f>
        <v>0.41666666666666669</v>
      </c>
      <c r="D17" s="94">
        <f t="shared" si="0"/>
        <v>0.48958333333333337</v>
      </c>
      <c r="E17" s="94" t="str">
        <f>UPPER('Nach Mannschaften sortiert'!F17)</f>
        <v>NEUFELD</v>
      </c>
      <c r="G17" t="str">
        <f>'Nach Mannschaften sortiert'!H17</f>
        <v>Heim</v>
      </c>
      <c r="H17" t="str">
        <f>'Nach Mannschaften sortiert'!G17</f>
        <v>Traiskirchen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0.79166666666666663</v>
      </c>
      <c r="D18" s="94">
        <f t="shared" si="0"/>
        <v>0.85416666666666663</v>
      </c>
      <c r="E18" s="94" t="str">
        <f>UPPER('Nach Mannschaften sortiert'!F18)</f>
        <v>GROßHÖFLEIN</v>
      </c>
      <c r="G18" t="str">
        <f>'Nach Mannschaften sortiert'!H18</f>
        <v>Heim</v>
      </c>
      <c r="H18" t="str">
        <f>'Nach Mannschaften sortiert'!G18</f>
        <v>SPG Leitha/Stotzing</v>
      </c>
      <c r="I18" t="str">
        <f>'Nach Mannschaften sortiert'!C18</f>
        <v>U14</v>
      </c>
      <c r="J18" s="82" t="s">
        <v>77</v>
      </c>
      <c r="K18" t="s">
        <v>78</v>
      </c>
      <c r="L18" t="s">
        <v>79</v>
      </c>
    </row>
    <row r="19" spans="2:12" x14ac:dyDescent="0.3">
      <c r="B19" s="93">
        <f>'Nach Mannschaften sortiert'!D19</f>
        <v>46263</v>
      </c>
      <c r="C19" s="94">
        <f>'Nach Mannschaften sortiert'!E19</f>
        <v>0.4375</v>
      </c>
      <c r="D19" s="94">
        <f t="shared" si="0"/>
        <v>0.5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Oggau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46264</v>
      </c>
      <c r="C20" s="94">
        <f>'Nach Mannschaften sortiert'!E20</f>
        <v>0.4375</v>
      </c>
      <c r="D20" s="94">
        <f t="shared" si="0"/>
        <v>0.51041666666666663</v>
      </c>
      <c r="E20" s="94" t="str">
        <f>UPPER('Nach Mannschaften sortiert'!F20)</f>
        <v>THERESIENFELD</v>
      </c>
      <c r="G20" t="str">
        <f>'Nach Mannschaften sortiert'!H20</f>
        <v>Auswärts</v>
      </c>
      <c r="H20" t="str">
        <f>'Nach Mannschaften sortiert'!G20</f>
        <v>SPG Theresienfeld</v>
      </c>
      <c r="I20" t="str">
        <f>'Nach Mannschaften sortiert'!C20</f>
        <v>U16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46445</v>
      </c>
      <c r="C21" s="94">
        <f>'Nach Mannschaften sortiert'!E21</f>
        <v>0.5</v>
      </c>
      <c r="D21" s="94">
        <f t="shared" si="0"/>
        <v>0.57291666666666663</v>
      </c>
      <c r="E21" s="94" t="str">
        <f>UPPER('Nach Mannschaften sortiert'!F21)</f>
        <v>BAD ERLACH</v>
      </c>
      <c r="G21" t="str">
        <f>'Nach Mannschaften sortiert'!H21</f>
        <v>Auswärts</v>
      </c>
      <c r="H21" t="str">
        <f>'Nach Mannschaften sortiert'!G21</f>
        <v>Bad Erlach</v>
      </c>
      <c r="I21" t="str">
        <f>'Nach Mannschaften sortiert'!C21</f>
        <v>KM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46250</v>
      </c>
      <c r="C22" s="94">
        <f>'Nach Mannschaften sortiert'!E22</f>
        <v>0.72916666666666663</v>
      </c>
      <c r="D22" s="94">
        <f t="shared" si="0"/>
        <v>0.80208333333333326</v>
      </c>
      <c r="E22" s="94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3">
      <c r="B23" s="93">
        <f>'Nach Mannschaften sortiert'!D23</f>
        <v>46255</v>
      </c>
      <c r="C23" s="94">
        <f>'Nach Mannschaften sortiert'!E23</f>
        <v>0.83333333333333337</v>
      </c>
      <c r="D23" s="94">
        <f t="shared" si="0"/>
        <v>0.90625</v>
      </c>
      <c r="E23" s="94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46263</v>
      </c>
      <c r="C24" s="94">
        <f>'Nach Mannschaften sortiert'!E24</f>
        <v>0.75</v>
      </c>
      <c r="D24" s="94">
        <f t="shared" si="0"/>
        <v>0.82291666666666663</v>
      </c>
      <c r="E24" s="94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46270</v>
      </c>
      <c r="C25" s="94">
        <f>'Nach Mannschaften sortiert'!E25</f>
        <v>0.6875</v>
      </c>
      <c r="D25" s="94">
        <f t="shared" si="0"/>
        <v>0.76041666666666663</v>
      </c>
      <c r="E25" s="94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46276</v>
      </c>
      <c r="C26" s="94">
        <f>'Nach Mannschaften sortiert'!E26</f>
        <v>0.8125</v>
      </c>
      <c r="D26" s="94">
        <f t="shared" si="0"/>
        <v>0.88541666666666663</v>
      </c>
      <c r="E26" s="94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46284</v>
      </c>
      <c r="C27" s="94">
        <f>'Nach Mannschaften sortiert'!E27</f>
        <v>0.66666666666666663</v>
      </c>
      <c r="D27" s="94">
        <f t="shared" si="0"/>
        <v>0.73958333333333326</v>
      </c>
      <c r="E27" s="94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46291</v>
      </c>
      <c r="C28" s="94">
        <f>'Nach Mannschaften sortiert'!E28</f>
        <v>0.75</v>
      </c>
      <c r="D28" s="94">
        <f t="shared" si="0"/>
        <v>0.82291666666666663</v>
      </c>
      <c r="E28" s="94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46297</v>
      </c>
      <c r="C29" s="94">
        <f>'Nach Mannschaften sortiert'!E29</f>
        <v>0.79166666666666663</v>
      </c>
      <c r="D29" s="94">
        <f t="shared" si="0"/>
        <v>0.86458333333333326</v>
      </c>
      <c r="E29" s="94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46304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46311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46319</v>
      </c>
      <c r="C32" s="94">
        <f>'Nach Mannschaften sortiert'!E32</f>
        <v>0.70833333333333337</v>
      </c>
      <c r="D32" s="94">
        <f t="shared" si="0"/>
        <v>0.78125</v>
      </c>
      <c r="E32" s="94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46326</v>
      </c>
      <c r="C33" s="94">
        <f>'Nach Mannschaften sortiert'!E33</f>
        <v>0.75</v>
      </c>
      <c r="D33" s="94">
        <f t="shared" si="0"/>
        <v>0.82291666666666663</v>
      </c>
      <c r="E33" s="94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46333</v>
      </c>
      <c r="C34" s="94">
        <f>'Nach Mannschaften sortiert'!E34</f>
        <v>0.6875</v>
      </c>
      <c r="D34" s="94">
        <f t="shared" si="0"/>
        <v>0.76041666666666663</v>
      </c>
      <c r="E34" s="94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46250</v>
      </c>
      <c r="C35" s="94">
        <f>'Nach Mannschaften sortiert'!E35</f>
        <v>0.64583333333333337</v>
      </c>
      <c r="D35" s="94">
        <f t="shared" si="0"/>
        <v>0.71875</v>
      </c>
      <c r="E35" s="94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46255</v>
      </c>
      <c r="C36" s="94">
        <f>'Nach Mannschaften sortiert'!E36</f>
        <v>0.75</v>
      </c>
      <c r="D36" s="94">
        <f t="shared" si="0"/>
        <v>0.82291666666666663</v>
      </c>
      <c r="E36" s="94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46263</v>
      </c>
      <c r="C37" s="94">
        <f>'Nach Mannschaften sortiert'!E37</f>
        <v>0.66666666666666663</v>
      </c>
      <c r="D37" s="94">
        <f t="shared" si="0"/>
        <v>0.73958333333333326</v>
      </c>
      <c r="E37" s="94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46270</v>
      </c>
      <c r="C38" s="94">
        <f>'Nach Mannschaften sortiert'!E38</f>
        <v>0.60416666666666663</v>
      </c>
      <c r="D38" s="94">
        <f t="shared" si="0"/>
        <v>0.67708333333333326</v>
      </c>
      <c r="E38" s="94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46276</v>
      </c>
      <c r="C39" s="94">
        <f>'Nach Mannschaften sortiert'!E39</f>
        <v>0.72916666666666663</v>
      </c>
      <c r="D39" s="94">
        <f t="shared" si="0"/>
        <v>0.80208333333333326</v>
      </c>
      <c r="E39" s="94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46284</v>
      </c>
      <c r="C40" s="94">
        <f>'Nach Mannschaften sortiert'!E40</f>
        <v>0.58333333333333337</v>
      </c>
      <c r="D40" s="94">
        <f t="shared" si="0"/>
        <v>0.65625</v>
      </c>
      <c r="E40" s="94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46291</v>
      </c>
      <c r="C41" s="94">
        <f>'Nach Mannschaften sortiert'!E41</f>
        <v>0.66666666666666663</v>
      </c>
      <c r="D41" s="94">
        <f t="shared" si="0"/>
        <v>0.73958333333333326</v>
      </c>
      <c r="E41" s="94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46298</v>
      </c>
      <c r="C42" s="94">
        <f>'Nach Mannschaften sortiert'!E42</f>
        <v>0.70833333333333337</v>
      </c>
      <c r="D42" s="94">
        <f t="shared" si="0"/>
        <v>0.78125</v>
      </c>
      <c r="E42" s="94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46304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46311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46319</v>
      </c>
      <c r="C45" s="94">
        <f>'Nach Mannschaften sortiert'!E45</f>
        <v>0.625</v>
      </c>
      <c r="D45" s="94">
        <f t="shared" si="0"/>
        <v>0.69791666666666663</v>
      </c>
      <c r="E45" s="94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46326</v>
      </c>
      <c r="C46" s="94">
        <f>'Nach Mannschaften sortiert'!E46</f>
        <v>0.66666666666666663</v>
      </c>
      <c r="D46" s="94">
        <f t="shared" si="0"/>
        <v>0.73958333333333326</v>
      </c>
      <c r="E46" s="94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46333</v>
      </c>
      <c r="C47" s="94">
        <f>'Nach Mannschaften sortiert'!E47</f>
        <v>0.60416666666666663</v>
      </c>
      <c r="D47" s="94">
        <f t="shared" si="0"/>
        <v>0.67708333333333326</v>
      </c>
      <c r="E47" s="94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46271</v>
      </c>
      <c r="C48" s="94">
        <f>'Nach Mannschaften sortiert'!E48</f>
        <v>0</v>
      </c>
      <c r="D48" s="94">
        <f t="shared" si="0"/>
        <v>7.2916666666666671E-2</v>
      </c>
      <c r="E48" s="94" t="str">
        <f>UPPER('Nach Mannschaften sortiert'!F48)</f>
        <v/>
      </c>
      <c r="G48">
        <f>'Nach Mannschaften sortiert'!H48</f>
        <v>0</v>
      </c>
      <c r="H48" t="str">
        <f>'Nach Mannschaften sortiert'!G48</f>
        <v>Spielfrei</v>
      </c>
      <c r="I48" t="str">
        <f>'Nach Mannschaften sortiert'!C48</f>
        <v>U16</v>
      </c>
      <c r="J48" s="82" t="s">
        <v>193</v>
      </c>
      <c r="K48" t="s">
        <v>80</v>
      </c>
      <c r="L48" t="s">
        <v>79</v>
      </c>
    </row>
    <row r="49" spans="2:12" x14ac:dyDescent="0.3">
      <c r="B49" s="93">
        <f>'Nach Mannschaften sortiert'!D49</f>
        <v>46278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>GOLS</v>
      </c>
      <c r="G49" t="str">
        <f>'Nach Mannschaften sortiert'!H49</f>
        <v>Auswärts</v>
      </c>
      <c r="H49" t="str">
        <f>'Nach Mannschaften sortiert'!G49</f>
        <v>GMWP</v>
      </c>
      <c r="I49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3">
      <c r="B50" s="93">
        <f>'Nach Mannschaften sortiert'!D50</f>
        <v>46284</v>
      </c>
      <c r="C50" s="94">
        <f>'Nach Mannschaften sortiert'!E50</f>
        <v>0.70833333333333337</v>
      </c>
      <c r="D50" s="94">
        <f t="shared" si="0"/>
        <v>0.78125</v>
      </c>
      <c r="E50" s="94" t="str">
        <f>UPPER('Nach Mannschaften sortiert'!F50)</f>
        <v>WIMPASSING</v>
      </c>
      <c r="G50" t="str">
        <f>'Nach Mannschaften sortiert'!H50</f>
        <v>Heim</v>
      </c>
      <c r="H50" t="str">
        <f>'Nach Mannschaften sortiert'!G50</f>
        <v>Eisenstadt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46292</v>
      </c>
      <c r="C51" s="94">
        <f>'Nach Mannschaften sortiert'!E51</f>
        <v>0</v>
      </c>
      <c r="D51" s="94">
        <f t="shared" si="0"/>
        <v>7.2916666666666671E-2</v>
      </c>
      <c r="E51" s="94" t="str">
        <f>UPPER('Nach Mannschaften sortiert'!F51)</f>
        <v>GROßHÖFLEIN</v>
      </c>
      <c r="G51" t="str">
        <f>'Nach Mannschaften sortiert'!H51</f>
        <v>Auswärts</v>
      </c>
      <c r="H51" t="str">
        <f>'Nach Mannschaften sortiert'!G51</f>
        <v>Großhöflein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46298</v>
      </c>
      <c r="C52" s="94">
        <f>'Nach Mannschaften sortiert'!E52</f>
        <v>0.58333333333333337</v>
      </c>
      <c r="D52" s="94">
        <f t="shared" si="0"/>
        <v>0.65625</v>
      </c>
      <c r="E52" s="94" t="str">
        <f>UPPER('Nach Mannschaften sortiert'!F52)</f>
        <v>NEUFELD</v>
      </c>
      <c r="G52" t="str">
        <f>'Nach Mannschaften sortiert'!H52</f>
        <v>Heim</v>
      </c>
      <c r="H52" t="str">
        <f>'Nach Mannschaften sortiert'!G52</f>
        <v>Neusiedl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46305</v>
      </c>
      <c r="C53" s="94">
        <f>'Nach Mannschaften sortiert'!E53</f>
        <v>0.66666666666666663</v>
      </c>
      <c r="D53" s="94">
        <f t="shared" si="0"/>
        <v>0.73958333333333326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Parndorf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46313</v>
      </c>
      <c r="C54" s="94">
        <f>'Nach Mannschaften sortiert'!E54</f>
        <v>0</v>
      </c>
      <c r="D54" s="94">
        <f t="shared" si="0"/>
        <v>7.2916666666666671E-2</v>
      </c>
      <c r="E54" s="94" t="str">
        <f>UPPER('Nach Mannschaften sortiert'!F54)</f>
        <v>ST. GEORGEN</v>
      </c>
      <c r="G54" t="str">
        <f>'Nach Mannschaften sortiert'!H54</f>
        <v>Auswärts</v>
      </c>
      <c r="H54" t="str">
        <f>'Nach Mannschaften sortiert'!G54</f>
        <v>St. Georgen/Eisenstadt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46320</v>
      </c>
      <c r="C55" s="94">
        <f>'Nach Mannschaften sortiert'!E55</f>
        <v>0</v>
      </c>
      <c r="D55" s="94">
        <f t="shared" si="0"/>
        <v>7.2916666666666671E-2</v>
      </c>
      <c r="E55" s="94" t="str">
        <f>UPPER('Nach Mannschaften sortiert'!F55)</f>
        <v/>
      </c>
      <c r="G55">
        <f>'Nach Mannschaften sortiert'!H55</f>
        <v>0</v>
      </c>
      <c r="H55" t="str">
        <f>'Nach Mannschaften sortiert'!G55</f>
        <v>Spielfrei</v>
      </c>
      <c r="I55" t="str">
        <f>'Nach Mannschaften sortiert'!C55</f>
        <v>U16</v>
      </c>
      <c r="J55" s="82" t="s">
        <v>193</v>
      </c>
      <c r="K55" t="s">
        <v>80</v>
      </c>
      <c r="L55" t="s">
        <v>79</v>
      </c>
    </row>
    <row r="56" spans="2:12" x14ac:dyDescent="0.3">
      <c r="B56" s="93">
        <f>'Nach Mannschaften sortiert'!D56</f>
        <v>46326</v>
      </c>
      <c r="C56" s="94">
        <f>'Nach Mannschaften sortiert'!E56</f>
        <v>0.60416666666666663</v>
      </c>
      <c r="D56" s="94">
        <f t="shared" si="0"/>
        <v>0.67708333333333326</v>
      </c>
      <c r="E56" s="94" t="str">
        <f>UPPER('Nach Mannschaften sortiert'!F56)</f>
        <v>NEUFELD</v>
      </c>
      <c r="G56" t="str">
        <f>'Nach Mannschaften sortiert'!H56</f>
        <v>Heim</v>
      </c>
      <c r="H56" t="str">
        <f>'Nach Mannschaften sortiert'!G56</f>
        <v>SPG GMWP</v>
      </c>
      <c r="I56" t="str">
        <f>'Nach Mannschaften sortiert'!C56</f>
        <v>U16</v>
      </c>
      <c r="J56" s="82" t="s">
        <v>77</v>
      </c>
      <c r="K56" t="s">
        <v>80</v>
      </c>
      <c r="L56" t="s">
        <v>79</v>
      </c>
    </row>
    <row r="57" spans="2:12" x14ac:dyDescent="0.3">
      <c r="B57" s="93">
        <f>'Nach Mannschaften sortiert'!D57</f>
        <v>46334</v>
      </c>
      <c r="C57" s="94">
        <f>'Nach Mannschaften sortiert'!E57</f>
        <v>0</v>
      </c>
      <c r="D57" s="94">
        <f t="shared" si="0"/>
        <v>7.2916666666666671E-2</v>
      </c>
      <c r="E57" s="94" t="str">
        <f>UPPER('Nach Mannschaften sortiert'!F57)</f>
        <v>EISENSTADT</v>
      </c>
      <c r="G57" t="str">
        <f>'Nach Mannschaften sortiert'!H57</f>
        <v>Auswärts</v>
      </c>
      <c r="H57" t="str">
        <f>'Nach Mannschaften sortiert'!G57</f>
        <v>Eisenstadt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46340</v>
      </c>
      <c r="C58" s="94">
        <f>'Nach Mannschaften sortiert'!E58</f>
        <v>0.45833333333333331</v>
      </c>
      <c r="D58" s="94">
        <f t="shared" si="0"/>
        <v>0.53125</v>
      </c>
      <c r="E58" s="94" t="str">
        <f>UPPER('Nach Mannschaften sortiert'!F58)</f>
        <v>NEUFELD</v>
      </c>
      <c r="G58" t="str">
        <f>'Nach Mannschaften sortiert'!H58</f>
        <v>Heim</v>
      </c>
      <c r="H58" t="str">
        <f>'Nach Mannschaften sortiert'!G58</f>
        <v>Großhöflein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46271</v>
      </c>
      <c r="C59" s="94">
        <f>'Nach Mannschaften sortiert'!E59</f>
        <v>0.625</v>
      </c>
      <c r="D59" s="94">
        <f t="shared" si="0"/>
        <v>0.6875</v>
      </c>
      <c r="E59" s="94" t="str">
        <f>UPPER('Nach Mannschaften sortiert'!F59)</f>
        <v>GROßHÖFLEIN</v>
      </c>
      <c r="G59" t="str">
        <f>'Nach Mannschaften sortiert'!H59</f>
        <v>Heim</v>
      </c>
      <c r="H59" t="str">
        <f>'Nach Mannschaften sortiert'!G59</f>
        <v>St. Georgen/Eisenstadt</v>
      </c>
      <c r="I59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46278</v>
      </c>
      <c r="C60" s="94">
        <f>'Nach Mannschaften sortiert'!E60</f>
        <v>0.625</v>
      </c>
      <c r="D60" s="94">
        <f t="shared" si="0"/>
        <v>0.6875</v>
      </c>
      <c r="E60" s="94" t="str">
        <f>UPPER('Nach Mannschaften sortiert'!F60)</f>
        <v>NEUDÖRFL</v>
      </c>
      <c r="G60" t="str">
        <f>'Nach Mannschaften sortiert'!H60</f>
        <v>Auswärts</v>
      </c>
      <c r="H60" t="str">
        <f>'Nach Mannschaften sortiert'!G60</f>
        <v>Neudörfl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46284</v>
      </c>
      <c r="C61" s="94">
        <f>'Nach Mannschaften sortiert'!E61</f>
        <v>0.52083333333333337</v>
      </c>
      <c r="D61" s="94">
        <f t="shared" si="0"/>
        <v>0.58333333333333337</v>
      </c>
      <c r="E61" s="94" t="str">
        <f>UPPER('Nach Mannschaften sortiert'!F61)</f>
        <v>NEUFELD</v>
      </c>
      <c r="G61" t="str">
        <f>'Nach Mannschaften sortiert'!H61</f>
        <v>Heim</v>
      </c>
      <c r="H61" t="str">
        <f>'Nach Mannschaften sortiert'!G61</f>
        <v>Parndorf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46292</v>
      </c>
      <c r="C62" s="94">
        <f>'Nach Mannschaften sortiert'!E62</f>
        <v>0.625</v>
      </c>
      <c r="D62" s="94">
        <f t="shared" si="0"/>
        <v>0.6875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SPG Seewinkel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46299</v>
      </c>
      <c r="C63" s="94">
        <f>'Nach Mannschaften sortiert'!E63</f>
        <v>0.625</v>
      </c>
      <c r="D63" s="94">
        <f t="shared" si="0"/>
        <v>0.6875</v>
      </c>
      <c r="E63" s="94" t="str">
        <f>UPPER('Nach Mannschaften sortiert'!F63)</f>
        <v>DRAßBURG</v>
      </c>
      <c r="G63" t="str">
        <f>'Nach Mannschaften sortiert'!H63</f>
        <v>Auswärts</v>
      </c>
      <c r="H63" t="str">
        <f>'Nach Mannschaften sortiert'!G63</f>
        <v>SPG Draßburg/ZSP/Kemeten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46306</v>
      </c>
      <c r="C64" s="94">
        <f>'Nach Mannschaften sortiert'!E64</f>
        <v>0.625</v>
      </c>
      <c r="D64" s="94">
        <f t="shared" si="0"/>
        <v>0.6875</v>
      </c>
      <c r="E64" s="94" t="str">
        <f>UPPER('Nach Mannschaften sortiert'!F64)</f>
        <v>GROßHÖFLEIN</v>
      </c>
      <c r="G64" t="str">
        <f>'Nach Mannschaften sortiert'!H64</f>
        <v>Heim</v>
      </c>
      <c r="H64" t="str">
        <f>'Nach Mannschaften sortiert'!G64</f>
        <v>SPG Pubach/Breitenbrunn/Winden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46313</v>
      </c>
      <c r="C65" s="94">
        <f>'Nach Mannschaften sortiert'!E65</f>
        <v>0.625</v>
      </c>
      <c r="D65" s="94">
        <f t="shared" si="0"/>
        <v>0.6875</v>
      </c>
      <c r="E65" s="94" t="str">
        <f>UPPER('Nach Mannschaften sortiert'!F65)</f>
        <v>KEMETEN</v>
      </c>
      <c r="G65" t="str">
        <f>'Nach Mannschaften sortiert'!H65</f>
        <v>Auswärts</v>
      </c>
      <c r="H65" t="str">
        <f>'Nach Mannschaften sortiert'!G65</f>
        <v>Kemeten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46320</v>
      </c>
      <c r="C66" s="94">
        <f>'Nach Mannschaften sortiert'!E66</f>
        <v>0.58333333333333337</v>
      </c>
      <c r="D66" s="94">
        <f t="shared" si="0"/>
        <v>0.64583333333333337</v>
      </c>
      <c r="E66" s="94" t="str">
        <f>UPPER('Nach Mannschaften sortiert'!F66)</f>
        <v>NEUFELD</v>
      </c>
      <c r="G66" t="str">
        <f>'Nach Mannschaften sortiert'!H66</f>
        <v>Heim</v>
      </c>
      <c r="H66" t="str">
        <f>'Nach Mannschaften sortiert'!G66</f>
        <v>MSV 2020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46327</v>
      </c>
      <c r="C67" s="94">
        <f>'Nach Mannschaften sortiert'!E67</f>
        <v>0.625</v>
      </c>
      <c r="D67" s="94">
        <f t="shared" ref="D67:D130" si="1">IF(I67 = "KM",C67+"1:45",IF(I67="U23",C67+"1:45",IF(I67 = "U16",C67+"1:45",IF(I67 = "U15",C67+"1:30",IF(I67 = "U14",C67+"1:30",IF(I67 = "U13",C67+"1:35",IF(I67 = "U12_1",C67+"1:10",IF(I67 = "U12_2",C67+"1:10",IF(I67 = "U11",C67+"1:10",IF(I67 = "U10",C67+"1:03",C67+"3:00"))))))))))</f>
        <v>0.6875</v>
      </c>
      <c r="E67" s="94" t="str">
        <f>UPPER('Nach Mannschaften sortiert'!F67)</f>
        <v>GOLS</v>
      </c>
      <c r="G67" t="str">
        <f>'Nach Mannschaften sortiert'!H67</f>
        <v>Auswärts</v>
      </c>
      <c r="H67" t="str">
        <f>'Nach Mannschaften sortiert'!G67</f>
        <v>GMWP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46269</v>
      </c>
      <c r="C68" s="94">
        <f>'Nach Mannschaften sortiert'!E68</f>
        <v>0</v>
      </c>
      <c r="D68" s="94">
        <f t="shared" si="1"/>
        <v>4.8611111111111112E-2</v>
      </c>
      <c r="E68" s="94" t="str">
        <f>UPPER('Nach Mannschaften sortiert'!F68)</f>
        <v>STEINBRUNN</v>
      </c>
      <c r="G68" t="str">
        <f>'Nach Mannschaften sortiert'!H68</f>
        <v>Heim</v>
      </c>
      <c r="H68" t="str">
        <f>'Nach Mannschaften sortiert'!G68</f>
        <v>Stotzing</v>
      </c>
      <c r="I68" t="str">
        <f>'Nach Mannschaften sortiert'!C68</f>
        <v>U12_1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46276</v>
      </c>
      <c r="C69" s="94">
        <f>'Nach Mannschaften sortiert'!E69</f>
        <v>0</v>
      </c>
      <c r="D69" s="94">
        <f t="shared" si="1"/>
        <v>4.8611111111111112E-2</v>
      </c>
      <c r="E69" s="94" t="str">
        <f>UPPER('Nach Mannschaften sortiert'!F69)</f>
        <v>KLINGENBACH</v>
      </c>
      <c r="G69" t="str">
        <f>'Nach Mannschaften sortiert'!H69</f>
        <v>Auswärts</v>
      </c>
      <c r="H69" t="str">
        <f>'Nach Mannschaften sortiert'!G69</f>
        <v>SPG Klimpuh Juniors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46284</v>
      </c>
      <c r="C70" s="94">
        <f>'Nach Mannschaften sortiert'!E70</f>
        <v>0.4375</v>
      </c>
      <c r="D70" s="94">
        <f t="shared" si="1"/>
        <v>0.4861111111111111</v>
      </c>
      <c r="E70" s="94" t="str">
        <f>UPPER('Nach Mannschaften sortiert'!F70)</f>
        <v>NEUFELD</v>
      </c>
      <c r="G70" t="str">
        <f>'Nach Mannschaften sortiert'!H70</f>
        <v>Heim</v>
      </c>
      <c r="H70" t="str">
        <f>'Nach Mannschaften sortiert'!G70</f>
        <v>Leithaprodersdorf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46290</v>
      </c>
      <c r="C71" s="94">
        <f>'Nach Mannschaften sortiert'!E71</f>
        <v>0</v>
      </c>
      <c r="D71" s="94">
        <f t="shared" si="1"/>
        <v>4.8611111111111112E-2</v>
      </c>
      <c r="E71" s="94" t="str">
        <f>UPPER('Nach Mannschaften sortiert'!F71)</f>
        <v>RUST</v>
      </c>
      <c r="G71" t="str">
        <f>'Nach Mannschaften sortiert'!H71</f>
        <v>Auswärts</v>
      </c>
      <c r="H71" t="str">
        <f>'Nach Mannschaften sortiert'!G71</f>
        <v>SC "muki" Eisenstadt/Rust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46298</v>
      </c>
      <c r="C72" s="94">
        <f>'Nach Mannschaften sortiert'!E72</f>
        <v>0.5</v>
      </c>
      <c r="D72" s="94">
        <f t="shared" si="1"/>
        <v>0.54861111111111116</v>
      </c>
      <c r="E72" s="94" t="str">
        <f>UPPER('Nach Mannschaften sortiert'!F72)</f>
        <v>STEINBRUNN</v>
      </c>
      <c r="G72" t="str">
        <f>'Nach Mannschaften sortiert'!H72</f>
        <v>Heim</v>
      </c>
      <c r="H72" t="str">
        <f>'Nach Mannschaften sortiert'!G72</f>
        <v>Hornstein/Wimpasing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46304</v>
      </c>
      <c r="C73" s="94">
        <f>'Nach Mannschaften sortiert'!E73</f>
        <v>0</v>
      </c>
      <c r="D73" s="94">
        <f t="shared" si="1"/>
        <v>4.8611111111111112E-2</v>
      </c>
      <c r="E73" s="94" t="str">
        <f>UPPER('Nach Mannschaften sortiert'!F73)</f>
        <v>STOTZING</v>
      </c>
      <c r="G73" t="str">
        <f>'Nach Mannschaften sortiert'!H73</f>
        <v>Auswärts</v>
      </c>
      <c r="H73" t="str">
        <f>'Nach Mannschaften sortiert'!G73</f>
        <v>Stotzing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46312</v>
      </c>
      <c r="C74" s="94">
        <f>'Nach Mannschaften sortiert'!E74</f>
        <v>0.70833333333333337</v>
      </c>
      <c r="D74" s="94">
        <f t="shared" si="1"/>
        <v>0.75694444444444453</v>
      </c>
      <c r="E74" s="94" t="str">
        <f>UPPER('Nach Mannschaften sortiert'!F74)</f>
        <v>NEUFELD</v>
      </c>
      <c r="G74" t="str">
        <f>'Nach Mannschaften sortiert'!H74</f>
        <v>Heim</v>
      </c>
      <c r="H74" t="str">
        <f>'Nach Mannschaften sortiert'!G74</f>
        <v>SPG Klimpuh Juniors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46318</v>
      </c>
      <c r="C75" s="94">
        <f>'Nach Mannschaften sortiert'!E75</f>
        <v>0</v>
      </c>
      <c r="D75" s="94">
        <f t="shared" si="1"/>
        <v>4.8611111111111112E-2</v>
      </c>
      <c r="E75" s="94" t="str">
        <f>UPPER('Nach Mannschaften sortiert'!F75)</f>
        <v>LEITHAPRODERSDORF</v>
      </c>
      <c r="G75" t="str">
        <f>'Nach Mannschaften sortiert'!H75</f>
        <v>Auswärts</v>
      </c>
      <c r="H75" t="str">
        <f>'Nach Mannschaften sortiert'!G75</f>
        <v>Leithaprodersdorf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46326</v>
      </c>
      <c r="C76" s="94">
        <f>'Nach Mannschaften sortiert'!E76</f>
        <v>0.52083333333333337</v>
      </c>
      <c r="D76" s="94">
        <f t="shared" si="1"/>
        <v>0.56944444444444453</v>
      </c>
      <c r="E76" s="94" t="str">
        <f>UPPER('Nach Mannschaften sortiert'!F76)</f>
        <v>NEUFELD</v>
      </c>
      <c r="G76" t="str">
        <f>'Nach Mannschaften sortiert'!H76</f>
        <v>Heim</v>
      </c>
      <c r="H76" t="str">
        <f>'Nach Mannschaften sortiert'!G76</f>
        <v>SC "muki" Eisenstadt/Rust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46332</v>
      </c>
      <c r="C77" s="94">
        <f>'Nach Mannschaften sortiert'!E77</f>
        <v>0</v>
      </c>
      <c r="D77" s="94">
        <f t="shared" si="1"/>
        <v>4.8611111111111112E-2</v>
      </c>
      <c r="E77" s="94" t="str">
        <f>UPPER('Nach Mannschaften sortiert'!F77)</f>
        <v>HORNSTEIN</v>
      </c>
      <c r="G77" t="str">
        <f>'Nach Mannschaften sortiert'!H77</f>
        <v>Auswärts</v>
      </c>
      <c r="H77" t="str">
        <f>'Nach Mannschaften sortiert'!G77</f>
        <v>Hornstein/Wimpasing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46270</v>
      </c>
      <c r="C78" s="94">
        <f>'Nach Mannschaften sortiert'!E78</f>
        <v>0.5</v>
      </c>
      <c r="D78" s="94">
        <f t="shared" si="1"/>
        <v>0.54861111111111116</v>
      </c>
      <c r="E78" s="94" t="str">
        <f>UPPER('Nach Mannschaften sortiert'!F78)</f>
        <v>STEINBRUNN</v>
      </c>
      <c r="G78" t="str">
        <f>'Nach Mannschaften sortiert'!H78</f>
        <v>Heim</v>
      </c>
      <c r="H78" t="str">
        <f>'Nach Mannschaften sortiert'!G78</f>
        <v>St. Margarethen</v>
      </c>
      <c r="I78" t="str">
        <f>'Nach Mannschaften sortiert'!C78</f>
        <v>U12_2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46278</v>
      </c>
      <c r="C79" s="94">
        <f>'Nach Mannschaften sortiert'!E79</f>
        <v>0.41666666666666669</v>
      </c>
      <c r="D79" s="94">
        <f t="shared" si="1"/>
        <v>0.46527777777777779</v>
      </c>
      <c r="E79" s="94" t="str">
        <f>UPPER('Nach Mannschaften sortiert'!F79)</f>
        <v>ST. GEORGEN</v>
      </c>
      <c r="G79" t="str">
        <f>'Nach Mannschaften sortiert'!H79</f>
        <v>Auswärts</v>
      </c>
      <c r="H79" t="str">
        <f>'Nach Mannschaften sortiert'!G79</f>
        <v>St. Georgen/Eisenstadt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46283</v>
      </c>
      <c r="C80" s="94">
        <f>'Nach Mannschaften sortiert'!E80</f>
        <v>0</v>
      </c>
      <c r="D80" s="94">
        <f t="shared" si="1"/>
        <v>4.8611111111111112E-2</v>
      </c>
      <c r="E80" s="94" t="str">
        <f>UPPER('Nach Mannschaften sortiert'!F80)</f>
        <v>GROßHÖFLEIN</v>
      </c>
      <c r="G80" t="str">
        <f>'Nach Mannschaften sortiert'!H80</f>
        <v>Auswärts</v>
      </c>
      <c r="H80" t="str">
        <f>'Nach Mannschaften sortiert'!G80</f>
        <v>Großhöflein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46292</v>
      </c>
      <c r="C81" s="94">
        <f>'Nach Mannschaften sortiert'!E81</f>
        <v>0.625</v>
      </c>
      <c r="D81" s="94">
        <f t="shared" si="1"/>
        <v>0.67361111111111116</v>
      </c>
      <c r="E81" s="94" t="str">
        <f>UPPER('Nach Mannschaften sortiert'!F81)</f>
        <v>NEUFELD</v>
      </c>
      <c r="G81" t="str">
        <f>'Nach Mannschaften sortiert'!H81</f>
        <v>Heim</v>
      </c>
      <c r="H81" t="str">
        <f>'Nach Mannschaften sortiert'!G81</f>
        <v>Purbach/Breitenbrunn/Winden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46297</v>
      </c>
      <c r="C82" s="94">
        <f>'Nach Mannschaften sortiert'!E82</f>
        <v>0</v>
      </c>
      <c r="D82" s="94">
        <f t="shared" si="1"/>
        <v>4.8611111111111112E-2</v>
      </c>
      <c r="E82" s="94" t="str">
        <f>UPPER('Nach Mannschaften sortiert'!F82)</f>
        <v>OGGAU</v>
      </c>
      <c r="G82" t="str">
        <f>'Nach Mannschaften sortiert'!H82</f>
        <v>Auswärts</v>
      </c>
      <c r="H82" t="str">
        <f>'Nach Mannschaften sortiert'!G82</f>
        <v>Oggau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46304</v>
      </c>
      <c r="C83" s="94">
        <f>'Nach Mannschaften sortiert'!E83</f>
        <v>0</v>
      </c>
      <c r="D83" s="94">
        <f t="shared" si="1"/>
        <v>4.8611111111111112E-2</v>
      </c>
      <c r="E83" s="94" t="str">
        <f>UPPER('Nach Mannschaften sortiert'!F83)</f>
        <v>ST. MARGARETHEN</v>
      </c>
      <c r="G83" t="str">
        <f>'Nach Mannschaften sortiert'!H83</f>
        <v>Auswärts</v>
      </c>
      <c r="H83" t="str">
        <f>'Nach Mannschaften sortiert'!G83</f>
        <v>St. Margarethen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46312</v>
      </c>
      <c r="C84" s="94">
        <f>'Nach Mannschaften sortiert'!E84</f>
        <v>0.625</v>
      </c>
      <c r="D84" s="94">
        <f t="shared" si="1"/>
        <v>0.67361111111111116</v>
      </c>
      <c r="E84" s="94" t="str">
        <f>UPPER('Nach Mannschaften sortiert'!F84)</f>
        <v>NEUFELD</v>
      </c>
      <c r="G84" t="str">
        <f>'Nach Mannschaften sortiert'!H84</f>
        <v>Heim</v>
      </c>
      <c r="H84" t="str">
        <f>'Nach Mannschaften sortiert'!G84</f>
        <v>St. Georgen/Eisenstadt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46318</v>
      </c>
      <c r="C85" s="94">
        <f>'Nach Mannschaften sortiert'!E85</f>
        <v>0.70833333333333337</v>
      </c>
      <c r="D85" s="94">
        <f t="shared" si="1"/>
        <v>0.75694444444444453</v>
      </c>
      <c r="E85" s="94" t="str">
        <f>UPPER('Nach Mannschaften sortiert'!F85)</f>
        <v>STEINBRUNN</v>
      </c>
      <c r="G85" t="str">
        <f>'Nach Mannschaften sortiert'!H85</f>
        <v>Heim</v>
      </c>
      <c r="H85" t="str">
        <f>'Nach Mannschaften sortiert'!G85</f>
        <v>Großhöflein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46325</v>
      </c>
      <c r="C86" s="94">
        <f>'Nach Mannschaften sortiert'!E86</f>
        <v>0</v>
      </c>
      <c r="D86" s="94">
        <f t="shared" si="1"/>
        <v>4.8611111111111112E-2</v>
      </c>
      <c r="E86" s="94" t="str">
        <f>UPPER('Nach Mannschaften sortiert'!F86)</f>
        <v>PURBACH</v>
      </c>
      <c r="G86" t="str">
        <f>'Nach Mannschaften sortiert'!H86</f>
        <v>Auswärts</v>
      </c>
      <c r="H86" t="str">
        <f>'Nach Mannschaften sortiert'!G86</f>
        <v>Purbach/Breitenbrunn/Winden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46332</v>
      </c>
      <c r="C87" s="94">
        <f>'Nach Mannschaften sortiert'!E87</f>
        <v>0.70833333333333337</v>
      </c>
      <c r="D87" s="94">
        <f t="shared" si="1"/>
        <v>0.75694444444444453</v>
      </c>
      <c r="E87" s="94" t="str">
        <f>UPPER('Nach Mannschaften sortiert'!F87)</f>
        <v>STEINBRUNN</v>
      </c>
      <c r="G87" t="str">
        <f>'Nach Mannschaften sortiert'!H87</f>
        <v>Heim</v>
      </c>
      <c r="H87" t="str">
        <f>'Nach Mannschaften sortiert'!G87</f>
        <v>Oggau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46270</v>
      </c>
      <c r="C88" s="94">
        <f>'Nach Mannschaften sortiert'!E88</f>
        <v>0.41666666666666669</v>
      </c>
      <c r="D88" s="94">
        <f t="shared" si="1"/>
        <v>0.46527777777777779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Leithaprodersdorf</v>
      </c>
      <c r="I88" t="str">
        <f>'Nach Mannschaften sortiert'!C88</f>
        <v>U11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46276</v>
      </c>
      <c r="C89" s="94">
        <f>'Nach Mannschaften sortiert'!E89</f>
        <v>0</v>
      </c>
      <c r="D89" s="94">
        <f t="shared" si="1"/>
        <v>4.8611111111111112E-2</v>
      </c>
      <c r="E89" s="94" t="str">
        <f>UPPER('Nach Mannschaften sortiert'!F89)</f>
        <v>HORNSTEIN</v>
      </c>
      <c r="G89" t="str">
        <f>'Nach Mannschaften sortiert'!H89</f>
        <v>Auswärts</v>
      </c>
      <c r="H89" t="str">
        <f>'Nach Mannschaften sortiert'!G89</f>
        <v>Hornstein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46283</v>
      </c>
      <c r="C90" s="94">
        <f>'Nach Mannschaften sortiert'!E90</f>
        <v>0</v>
      </c>
      <c r="D90" s="94">
        <f t="shared" si="1"/>
        <v>4.8611111111111112E-2</v>
      </c>
      <c r="E90" s="94" t="str">
        <f>UPPER('Nach Mannschaften sortiert'!F90)</f>
        <v>WULKAPRODERSDORF</v>
      </c>
      <c r="G90" t="str">
        <f>'Nach Mannschaften sortiert'!H90</f>
        <v>Auswärts</v>
      </c>
      <c r="H90" t="str">
        <f>'Nach Mannschaften sortiert'!G90</f>
        <v>Wulkaprodersdorf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46292</v>
      </c>
      <c r="C91" s="94">
        <f>'Nach Mannschaften sortiert'!E91</f>
        <v>0.54166666666666663</v>
      </c>
      <c r="D91" s="94">
        <f t="shared" si="1"/>
        <v>0.59027777777777779</v>
      </c>
      <c r="E91" s="94" t="str">
        <f>UPPER('Nach Mannschaften sortiert'!F91)</f>
        <v>NEUFELD</v>
      </c>
      <c r="G91" t="str">
        <f>'Nach Mannschaften sortiert'!H91</f>
        <v>Heim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46298</v>
      </c>
      <c r="C92" s="94">
        <f>'Nach Mannschaften sortiert'!E92</f>
        <v>0.41666666666666669</v>
      </c>
      <c r="D92" s="94">
        <f t="shared" si="1"/>
        <v>0.46527777777777779</v>
      </c>
      <c r="E92" s="94" t="str">
        <f>UPPER('Nach Mannschaften sortiert'!F92)</f>
        <v>STEINBRUNN</v>
      </c>
      <c r="G92" t="str">
        <f>'Nach Mannschaften sortiert'!H92</f>
        <v>Heim</v>
      </c>
      <c r="H92" t="str">
        <f>'Nach Mannschaften sortiert'!G92</f>
        <v>Hornstein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46304</v>
      </c>
      <c r="C93" s="94">
        <f>'Nach Mannschaften sortiert'!E93</f>
        <v>0</v>
      </c>
      <c r="D93" s="94">
        <f t="shared" si="1"/>
        <v>4.8611111111111112E-2</v>
      </c>
      <c r="E93" s="94" t="str">
        <f>UPPER('Nach Mannschaften sortiert'!F93)</f>
        <v>LEITHAPRODERSDORF</v>
      </c>
      <c r="G93" t="str">
        <f>'Nach Mannschaften sortiert'!H93</f>
        <v>Auswärts</v>
      </c>
      <c r="H93" t="str">
        <f>'Nach Mannschaften sortiert'!G93</f>
        <v>Leithaprodersdorf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46312</v>
      </c>
      <c r="C94" s="94">
        <f>'Nach Mannschaften sortiert'!E94</f>
        <v>0.54166666666666663</v>
      </c>
      <c r="D94" s="94">
        <f t="shared" si="1"/>
        <v>0.59027777777777779</v>
      </c>
      <c r="E94" s="94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46318</v>
      </c>
      <c r="C95" s="94">
        <f>'Nach Mannschaften sortiert'!E95</f>
        <v>0</v>
      </c>
      <c r="D95" s="94">
        <f t="shared" si="1"/>
        <v>4.8611111111111112E-2</v>
      </c>
      <c r="E95" s="94" t="str">
        <f>UPPER('Nach Mannschaften sortiert'!F95)</f>
        <v>HORNSTEIN</v>
      </c>
      <c r="G95" t="str">
        <f>'Nach Mannschaften sortiert'!H95</f>
        <v>Auswärts</v>
      </c>
      <c r="H95" t="str">
        <f>'Nach Mannschaften sortiert'!G95</f>
        <v>Hornstein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46325</v>
      </c>
      <c r="C96" s="94">
        <f>'Nach Mannschaften sortiert'!E96</f>
        <v>0</v>
      </c>
      <c r="D96" s="94">
        <f t="shared" si="1"/>
        <v>4.8611111111111112E-2</v>
      </c>
      <c r="E96" s="94" t="str">
        <f>UPPER('Nach Mannschaften sortiert'!F96)</f>
        <v>WULKAPRODERSDORF</v>
      </c>
      <c r="G96" t="str">
        <f>'Nach Mannschaften sortiert'!H96</f>
        <v>Auswärts</v>
      </c>
      <c r="H96" t="str">
        <f>'Nach Mannschaften sortiert'!G96</f>
        <v>Wulkaprodersdorf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46312</v>
      </c>
      <c r="C97" s="94">
        <f>'Nach Mannschaften sortiert'!E97</f>
        <v>0.39583333333333331</v>
      </c>
      <c r="D97" s="94">
        <f t="shared" si="1"/>
        <v>0.43958333333333333</v>
      </c>
      <c r="E97" s="94" t="str">
        <f>UPPER('Nach Mannschaften sortiert'!F97)</f>
        <v>NEUFELD</v>
      </c>
      <c r="G97" t="str">
        <f>'Nach Mannschaften sortiert'!H97</f>
        <v>Heim</v>
      </c>
      <c r="H97" t="str">
        <f>'Nach Mannschaften sortiert'!G97</f>
        <v>Heimturnier</v>
      </c>
      <c r="I97" t="str">
        <f>'Nach Mannschaften sortiert'!C97</f>
        <v>U10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46277</v>
      </c>
      <c r="C98" s="94">
        <f>'Nach Mannschaften sortiert'!E98</f>
        <v>0</v>
      </c>
      <c r="D98" s="94">
        <f t="shared" si="1"/>
        <v>4.3750000000000004E-2</v>
      </c>
      <c r="E98" s="94" t="str">
        <f>UPPER('Nach Mannschaften sortiert'!F98)</f>
        <v>SIEGENDORF</v>
      </c>
      <c r="G98" t="str">
        <f>'Nach Mannschaften sortiert'!H98</f>
        <v>Auswärts</v>
      </c>
      <c r="H98" t="str">
        <f>'Nach Mannschaften sortiert'!G98</f>
        <v>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46305</v>
      </c>
      <c r="C99" s="94">
        <f>'Nach Mannschaften sortiert'!E99</f>
        <v>0</v>
      </c>
      <c r="D99" s="94">
        <f t="shared" si="1"/>
        <v>4.3750000000000004E-2</v>
      </c>
      <c r="E99" s="94" t="str">
        <f>UPPER('Nach Mannschaften sortiert'!F99)</f>
        <v>TRAUSDORF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 t="str">
        <f>'Nach Mannschaften sortiert'!D100</f>
        <v>XXX</v>
      </c>
      <c r="C100" s="94">
        <f>'Nach Mannschaften sortiert'!E100</f>
        <v>0</v>
      </c>
      <c r="D100" s="94">
        <f t="shared" si="1"/>
        <v>4.3750000000000004E-2</v>
      </c>
      <c r="E100" s="94" t="str">
        <f>UPPER('Nach Mannschaften sortiert'!F100)</f>
        <v>RUST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 t="str">
        <f>'Nach Mannschaften sortiert'!D101</f>
        <v>XXX</v>
      </c>
      <c r="C101" s="94">
        <f>'Nach Mannschaften sortiert'!E101</f>
        <v>0</v>
      </c>
      <c r="D101" s="94">
        <f t="shared" si="1"/>
        <v>4.3750000000000004E-2</v>
      </c>
      <c r="E101" s="94" t="str">
        <f>UPPER('Nach Mannschaften sortiert'!F101)</f>
        <v>ST.GEORGEN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46269</v>
      </c>
      <c r="C102" s="94">
        <f>'Nach Mannschaften sortiert'!E102</f>
        <v>0</v>
      </c>
      <c r="D102" s="94">
        <f t="shared" si="1"/>
        <v>0.125</v>
      </c>
      <c r="E102" s="94" t="str">
        <f>UPPER('Nach Mannschaften sortiert'!F102)</f>
        <v>GROßHÖFLEIN</v>
      </c>
      <c r="G102" t="str">
        <f>'Nach Mannschaften sortiert'!H102</f>
        <v>Auswärts</v>
      </c>
      <c r="H102" t="str">
        <f>'Nach Mannschaften sortiert'!G102</f>
        <v>Großhöflein</v>
      </c>
      <c r="I102" t="str">
        <f>'Nach Mannschaften sortiert'!C102</f>
        <v>U9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46278</v>
      </c>
      <c r="C103" s="94">
        <f>'Nach Mannschaften sortiert'!E103</f>
        <v>0.45833333333333331</v>
      </c>
      <c r="D103" s="94">
        <f t="shared" si="1"/>
        <v>0.58333333333333326</v>
      </c>
      <c r="E103" s="94" t="str">
        <f>UPPER('Nach Mannschaften sortiert'!F103)</f>
        <v>NEUFELD</v>
      </c>
      <c r="G103" t="str">
        <f>'Nach Mannschaften sortiert'!H103</f>
        <v>Heim</v>
      </c>
      <c r="H103" t="str">
        <f>'Nach Mannschaften sortiert'!G103</f>
        <v>Steinbrunn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46283</v>
      </c>
      <c r="C104" s="94">
        <f>'Nach Mannschaften sortiert'!E104</f>
        <v>0</v>
      </c>
      <c r="D104" s="94">
        <f t="shared" si="1"/>
        <v>0.125</v>
      </c>
      <c r="E104" s="94" t="str">
        <f>UPPER('Nach Mannschaften sortiert'!F104)</f>
        <v/>
      </c>
      <c r="G104">
        <f>'Nach Mannschaften sortiert'!H104</f>
        <v>0</v>
      </c>
      <c r="H104" t="str">
        <f>'Nach Mannschaften sortiert'!G104</f>
        <v>Spielfrei</v>
      </c>
      <c r="I104" t="str">
        <f>'Nach Mannschaften sortiert'!C104</f>
        <v>U9</v>
      </c>
      <c r="J104" s="82" t="s">
        <v>193</v>
      </c>
      <c r="K104" t="s">
        <v>80</v>
      </c>
      <c r="L104" t="s">
        <v>79</v>
      </c>
    </row>
    <row r="105" spans="2:12" x14ac:dyDescent="0.3">
      <c r="B105" s="93">
        <f>'Nach Mannschaften sortiert'!D105</f>
        <v>46291</v>
      </c>
      <c r="C105" s="94">
        <f>'Nach Mannschaften sortiert'!E105</f>
        <v>0.41666666666666669</v>
      </c>
      <c r="D105" s="94">
        <f t="shared" si="1"/>
        <v>0.54166666666666674</v>
      </c>
      <c r="E105" s="94" t="str">
        <f>UPPER('Nach Mannschaften sortiert'!F105)</f>
        <v>EISENSTADT</v>
      </c>
      <c r="G105" t="str">
        <f>'Nach Mannschaften sortiert'!H105</f>
        <v>Auswärts</v>
      </c>
      <c r="H105" t="str">
        <f>'Nach Mannschaften sortiert'!G105</f>
        <v>Eisenstadt</v>
      </c>
      <c r="I105" t="str">
        <f>'Nach Mannschaften sortiert'!C105</f>
        <v>U9</v>
      </c>
      <c r="J105" s="82" t="s">
        <v>77</v>
      </c>
      <c r="K105" t="s">
        <v>80</v>
      </c>
      <c r="L105" t="s">
        <v>79</v>
      </c>
    </row>
    <row r="106" spans="2:12" x14ac:dyDescent="0.3">
      <c r="B106" s="93">
        <f>'Nach Mannschaften sortiert'!D106</f>
        <v>46298</v>
      </c>
      <c r="C106" s="94">
        <f>'Nach Mannschaften sortiert'!E106</f>
        <v>0.39583333333333331</v>
      </c>
      <c r="D106" s="94">
        <f t="shared" si="1"/>
        <v>0.52083333333333326</v>
      </c>
      <c r="E106" s="94" t="str">
        <f>UPPER('Nach Mannschaften sortiert'!F106)</f>
        <v>NEUFELD</v>
      </c>
      <c r="G106" t="str">
        <f>'Nach Mannschaften sortiert'!H106</f>
        <v>Heim</v>
      </c>
      <c r="H106" t="str">
        <f>'Nach Mannschaften sortiert'!G106</f>
        <v>Hornstein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46305</v>
      </c>
      <c r="C107" s="94">
        <f>'Nach Mannschaften sortiert'!E107</f>
        <v>0.58333333333333337</v>
      </c>
      <c r="D107" s="94">
        <f t="shared" si="1"/>
        <v>0.70833333333333337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Großhöflein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46311</v>
      </c>
      <c r="C108" s="94">
        <f>'Nach Mannschaften sortiert'!E108</f>
        <v>0</v>
      </c>
      <c r="D108" s="94">
        <f t="shared" si="1"/>
        <v>0.125</v>
      </c>
      <c r="E108" s="94" t="str">
        <f>UPPER('Nach Mannschaften sortiert'!F108)</f>
        <v>STEINBRUNN</v>
      </c>
      <c r="G108" t="str">
        <f>'Nach Mannschaften sortiert'!H108</f>
        <v>Auswärts</v>
      </c>
      <c r="H108" t="str">
        <f>'Nach Mannschaften sortiert'!G108</f>
        <v>Steinbrunn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46318</v>
      </c>
      <c r="C109" s="94">
        <f>'Nach Mannschaften sortiert'!E109</f>
        <v>0</v>
      </c>
      <c r="D109" s="94">
        <f t="shared" si="1"/>
        <v>0.125</v>
      </c>
      <c r="E109" s="94" t="str">
        <f>UPPER('Nach Mannschaften sortiert'!F109)</f>
        <v/>
      </c>
      <c r="G109">
        <f>'Nach Mannschaften sortiert'!H109</f>
        <v>0</v>
      </c>
      <c r="H109" t="str">
        <f>'Nach Mannschaften sortiert'!G109</f>
        <v>Spielfrei</v>
      </c>
      <c r="I109" t="str">
        <f>'Nach Mannschaften sortiert'!C109</f>
        <v>U9</v>
      </c>
      <c r="J109" s="82" t="s">
        <v>193</v>
      </c>
      <c r="K109" t="s">
        <v>80</v>
      </c>
      <c r="L109" t="s">
        <v>79</v>
      </c>
    </row>
    <row r="110" spans="2:12" x14ac:dyDescent="0.3">
      <c r="B110" s="93">
        <f>'Nach Mannschaften sortiert'!D110</f>
        <v>46326</v>
      </c>
      <c r="C110" s="94">
        <f>'Nach Mannschaften sortiert'!E110</f>
        <v>0.4375</v>
      </c>
      <c r="D110" s="94">
        <f t="shared" si="1"/>
        <v>0.5625</v>
      </c>
      <c r="E110" s="94" t="str">
        <f>UPPER('Nach Mannschaften sortiert'!F110)</f>
        <v>NEUFELD</v>
      </c>
      <c r="G110" t="str">
        <f>'Nach Mannschaften sortiert'!H110</f>
        <v>Heim</v>
      </c>
      <c r="H110" t="str">
        <f>'Nach Mannschaften sortiert'!G110</f>
        <v>Eisenstadt</v>
      </c>
      <c r="I110" t="str">
        <f>'Nach Mannschaften sortiert'!C110</f>
        <v>U9</v>
      </c>
      <c r="J110" s="82" t="s">
        <v>77</v>
      </c>
      <c r="K110" t="s">
        <v>80</v>
      </c>
      <c r="L110" t="s">
        <v>79</v>
      </c>
    </row>
    <row r="111" spans="2:12" x14ac:dyDescent="0.3">
      <c r="B111" s="93">
        <f>'Nach Mannschaften sortiert'!D111</f>
        <v>46332</v>
      </c>
      <c r="C111" s="94">
        <f>'Nach Mannschaften sortiert'!E111</f>
        <v>0</v>
      </c>
      <c r="D111" s="94">
        <f t="shared" si="1"/>
        <v>0.125</v>
      </c>
      <c r="E111" s="94" t="str">
        <f>UPPER('Nach Mannschaften sortiert'!F111)</f>
        <v>HORNSTEIN</v>
      </c>
      <c r="G111" t="str">
        <f>'Nach Mannschaften sortiert'!H111</f>
        <v>Auswärts</v>
      </c>
      <c r="H111" t="str">
        <f>'Nach Mannschaften sortiert'!G111</f>
        <v>Hornstein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46312</v>
      </c>
      <c r="C112" s="94">
        <f>'Nach Mannschaften sortiert'!E112</f>
        <v>0.39583333333333331</v>
      </c>
      <c r="D112" s="94">
        <f t="shared" si="1"/>
        <v>0.52083333333333326</v>
      </c>
      <c r="E112" s="94" t="str">
        <f>UPPER('Nach Mannschaften sortiert'!F112)</f>
        <v>NEUFELD</v>
      </c>
      <c r="G112" t="str">
        <f>'Nach Mannschaften sortiert'!H112</f>
        <v>Heim</v>
      </c>
      <c r="H112" t="str">
        <f>'Nach Mannschaften sortiert'!G112</f>
        <v>Heimturnier</v>
      </c>
      <c r="I112" t="str">
        <f>'Nach Mannschaften sortiert'!C112</f>
        <v>U8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46284</v>
      </c>
      <c r="C113" s="94">
        <f>'Nach Mannschaften sortiert'!E113</f>
        <v>0</v>
      </c>
      <c r="D113" s="94">
        <f t="shared" si="1"/>
        <v>0.125</v>
      </c>
      <c r="E113" s="94" t="str">
        <f>UPPER('Nach Mannschaften sortiert'!F113)</f>
        <v>WIMPASSING</v>
      </c>
      <c r="G113" t="str">
        <f>'Nach Mannschaften sortiert'!H113</f>
        <v>Auswärts</v>
      </c>
      <c r="H113" t="str">
        <f>'Nach Mannschaften sortiert'!G113</f>
        <v>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46291</v>
      </c>
      <c r="C114" s="94">
        <f>'Nach Mannschaften sortiert'!E114</f>
        <v>0</v>
      </c>
      <c r="D114" s="94">
        <f t="shared" si="1"/>
        <v>0.125</v>
      </c>
      <c r="E114" s="94" t="str">
        <f>UPPER('Nach Mannschaften sortiert'!F114)</f>
        <v>LEITHAPRODERSDORF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46091</v>
      </c>
      <c r="C115" s="94">
        <f>'Nach Mannschaften sortiert'!E115</f>
        <v>0</v>
      </c>
      <c r="D115" s="94">
        <f t="shared" si="1"/>
        <v>0.125</v>
      </c>
      <c r="E115" s="94" t="str">
        <f>UPPER('Nach Mannschaften sortiert'!F115)</f>
        <v>HORNSTEIN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46092</v>
      </c>
      <c r="C116" s="94">
        <f>'Nach Mannschaften sortiert'!E116</f>
        <v>0</v>
      </c>
      <c r="D116" s="94">
        <f t="shared" si="1"/>
        <v>0.125</v>
      </c>
      <c r="E116" s="94" t="str">
        <f>UPPER('Nach Mannschaften sortiert'!F116)</f>
        <v>STEINBRUNN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0</v>
      </c>
      <c r="C117" s="94">
        <f>'Nach Mannschaften sortiert'!E117</f>
        <v>0</v>
      </c>
      <c r="D117" s="94">
        <f t="shared" si="1"/>
        <v>0.125</v>
      </c>
      <c r="E117" s="94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2" t="s">
        <v>193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1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193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1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193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1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193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1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193</v>
      </c>
      <c r="K121" t="s">
        <v>80</v>
      </c>
      <c r="L121" t="s">
        <v>79</v>
      </c>
    </row>
    <row r="122" spans="2:12" x14ac:dyDescent="0.3">
      <c r="B122" s="93">
        <f>'Nach Mannschaften sortiert'!D122</f>
        <v>46230</v>
      </c>
      <c r="C122" s="94">
        <f>'Nach Mannschaften sortiert'!E122</f>
        <v>0.375</v>
      </c>
      <c r="D122" s="94">
        <f t="shared" si="1"/>
        <v>0.5</v>
      </c>
      <c r="E122" s="94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2" t="s">
        <v>77</v>
      </c>
      <c r="K122" t="s">
        <v>80</v>
      </c>
      <c r="L122" t="s">
        <v>79</v>
      </c>
    </row>
    <row r="123" spans="2:12" x14ac:dyDescent="0.3">
      <c r="B123" s="93">
        <f>'Nach Mannschaften sortiert'!D123</f>
        <v>46231</v>
      </c>
      <c r="C123" s="94">
        <f>'Nach Mannschaften sortiert'!E123</f>
        <v>0.375</v>
      </c>
      <c r="D123" s="94">
        <f t="shared" si="1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46232</v>
      </c>
      <c r="C124" s="94">
        <f>'Nach Mannschaften sortiert'!E124</f>
        <v>0.375</v>
      </c>
      <c r="D124" s="94">
        <f t="shared" si="1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46233</v>
      </c>
      <c r="C125" s="94">
        <f>'Nach Mannschaften sortiert'!E125</f>
        <v>0.375</v>
      </c>
      <c r="D125" s="94">
        <f t="shared" si="1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46234</v>
      </c>
      <c r="C126" s="94">
        <f>'Nach Mannschaften sortiert'!E126</f>
        <v>0.375</v>
      </c>
      <c r="D126" s="94">
        <f t="shared" si="1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46237</v>
      </c>
      <c r="C127" s="94">
        <f>'Nach Mannschaften sortiert'!E127</f>
        <v>0.375</v>
      </c>
      <c r="D127" s="94">
        <f t="shared" si="1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MÄDCHENCAMP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46238</v>
      </c>
      <c r="C128" s="94">
        <f>'Nach Mannschaften sortiert'!E128</f>
        <v>0.375</v>
      </c>
      <c r="D128" s="94">
        <f t="shared" si="1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46239</v>
      </c>
      <c r="C129" s="94">
        <f>'Nach Mannschaften sortiert'!E129</f>
        <v>0.375</v>
      </c>
      <c r="D129" s="94">
        <f t="shared" si="1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46321</v>
      </c>
      <c r="C130" s="94">
        <f>'Nach Mannschaften sortiert'!E130</f>
        <v>0.375</v>
      </c>
      <c r="D130" s="94">
        <f t="shared" si="1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Teco 7 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46322</v>
      </c>
      <c r="C131" s="94">
        <f>'Nach Mannschaften sortiert'!E131</f>
        <v>0.375</v>
      </c>
      <c r="D131" s="94">
        <f t="shared" ref="D131:D141" si="2">IF(I131 = "KM",C131+"1:45",IF(I131="U23",C131+"1:45",IF(I131 = "U16",C131+"1:45",IF(I131 = "U15",C131+"1:30",IF(I131 = "U14",C131+"1:30",IF(I131 = "U13",C131+"1:35",IF(I131 = "U12_1",C131+"1:10",IF(I131 = "U12_2",C131+"1:10",IF(I131 = "U11",C131+"1:10",IF(I131 = "U10",C131+"1:03",C131+"3:00"))))))))))</f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46323</v>
      </c>
      <c r="C132" s="94">
        <f>'Nach Mannschaften sortiert'!E132</f>
        <v>0.375</v>
      </c>
      <c r="D132" s="94">
        <f t="shared" si="2"/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46256</v>
      </c>
      <c r="C133" s="94">
        <f>'Nach Mannschaften sortiert'!E133</f>
        <v>0.375</v>
      </c>
      <c r="D133" s="94">
        <f t="shared" si="2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viele Gegner</v>
      </c>
      <c r="I133" t="str">
        <f>'Nach Mannschaften sortiert'!C133</f>
        <v>Turnier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46367</v>
      </c>
      <c r="C134" s="94">
        <f>'Nach Mannschaften sortiert'!E134</f>
        <v>0.6875</v>
      </c>
      <c r="D134" s="94">
        <f t="shared" si="2"/>
        <v>0.8125</v>
      </c>
      <c r="E134" s="94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46368</v>
      </c>
      <c r="C135" s="94">
        <f>'Nach Mannschaften sortiert'!E135</f>
        <v>0.35416666666666669</v>
      </c>
      <c r="D135" s="94">
        <f t="shared" si="2"/>
        <v>0.47916666666666669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46369</v>
      </c>
      <c r="C136" s="94">
        <f>'Nach Mannschaften sortiert'!E136</f>
        <v>0.375</v>
      </c>
      <c r="D136" s="94">
        <f t="shared" si="2"/>
        <v>0.5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46359</v>
      </c>
      <c r="C137" s="94">
        <f>'Nach Mannschaften sortiert'!E137</f>
        <v>0.70833333333333337</v>
      </c>
      <c r="D137" s="94">
        <f t="shared" si="2"/>
        <v>0.83333333333333337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Weihnachtsfeier 2026</v>
      </c>
      <c r="I137" t="str">
        <f>'Nach Mannschaften sortiert'!C137</f>
        <v>Weihnachtsfeier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46402</v>
      </c>
      <c r="C138" s="94">
        <f>'Nach Mannschaften sortiert'!E138</f>
        <v>0.6875</v>
      </c>
      <c r="D138" s="94">
        <f t="shared" si="2"/>
        <v>0.8125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Hallencup 2026_27</v>
      </c>
      <c r="I138" t="str">
        <f>'Nach Mannschaften sortiert'!C138</f>
        <v>Turnier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46403</v>
      </c>
      <c r="C139" s="94">
        <f>'Nach Mannschaften sortiert'!E139</f>
        <v>0.35416666666666669</v>
      </c>
      <c r="D139" s="94">
        <f t="shared" si="2"/>
        <v>0.47916666666666669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46404</v>
      </c>
      <c r="C140" s="94">
        <f>'Nach Mannschaften sortiert'!E140</f>
        <v>0.375</v>
      </c>
      <c r="D140" s="94">
        <f t="shared" si="2"/>
        <v>0.5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46291</v>
      </c>
      <c r="C141" s="94">
        <f>'Nach Mannschaften sortiert'!E141</f>
        <v>0.75</v>
      </c>
      <c r="D141" s="94">
        <f t="shared" si="2"/>
        <v>0.875</v>
      </c>
      <c r="E141" s="94" t="str">
        <f>UPPER('Nach Mannschaften sortiert'!F141)</f>
        <v>NEUFELD</v>
      </c>
      <c r="G141" t="str">
        <f>'Nach Mannschaften sortiert'!H141</f>
        <v>Heim</v>
      </c>
      <c r="H141" t="str">
        <f>'Nach Mannschaften sortiert'!G141</f>
        <v>Oktoberfest 2026</v>
      </c>
      <c r="I141" t="str">
        <f>'Nach Mannschaften sortiert'!C141</f>
        <v>Fest ASV Neufeld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'ICS2'!I116</f>
        <v>U8</v>
      </c>
      <c r="B2" s="103">
        <f>'ICS2'!B116</f>
        <v>46092</v>
      </c>
      <c r="C2" s="104">
        <f>'ICS2'!C116</f>
        <v>0</v>
      </c>
      <c r="D2" s="57" t="str">
        <f>'ICS2'!E116</f>
        <v>STEINBRUNN</v>
      </c>
      <c r="E2" s="57" t="str">
        <f>'ICS2'!H116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'ICS2'!I122</f>
        <v>Camp</v>
      </c>
      <c r="B5" s="103">
        <f>'ICS2'!B122</f>
        <v>46230</v>
      </c>
      <c r="C5" s="104">
        <f>'ICS2'!C122</f>
        <v>0.375</v>
      </c>
      <c r="D5" s="57" t="str">
        <f>'ICS2'!E122</f>
        <v>NEUFELD</v>
      </c>
      <c r="E5" s="57" t="str">
        <f>'ICS2'!H122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'ICS2'!I123</f>
        <v>Camp</v>
      </c>
      <c r="B6" s="103">
        <f>'ICS2'!B123</f>
        <v>46231</v>
      </c>
      <c r="C6" s="104">
        <f>'ICS2'!C123</f>
        <v>0.375</v>
      </c>
      <c r="D6" s="57" t="str">
        <f>'ICS2'!E123</f>
        <v>NEUFELD</v>
      </c>
      <c r="E6" s="57" t="str">
        <f>'ICS2'!H123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'ICS2'!I124</f>
        <v>Camp</v>
      </c>
      <c r="B7" s="103">
        <f>'ICS2'!B124</f>
        <v>46232</v>
      </c>
      <c r="C7" s="104">
        <f>'ICS2'!C124</f>
        <v>0.375</v>
      </c>
      <c r="D7" s="57" t="str">
        <f>'ICS2'!E124</f>
        <v>NEUFELD</v>
      </c>
      <c r="E7" s="57" t="str">
        <f>'ICS2'!H124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'ICS2'!I125</f>
        <v>Camp</v>
      </c>
      <c r="B8" s="103">
        <f>'ICS2'!B125</f>
        <v>46233</v>
      </c>
      <c r="C8" s="104">
        <f>'ICS2'!C125</f>
        <v>0.375</v>
      </c>
      <c r="D8" s="57" t="str">
        <f>'ICS2'!E125</f>
        <v>NEUFELD</v>
      </c>
      <c r="E8" s="57" t="str">
        <f>'ICS2'!H125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'ICS2'!I126</f>
        <v>Camp</v>
      </c>
      <c r="B9" s="103">
        <f>'ICS2'!B126</f>
        <v>46234</v>
      </c>
      <c r="C9" s="104">
        <f>'ICS2'!C126</f>
        <v>0.375</v>
      </c>
      <c r="D9" s="57" t="str">
        <f>'ICS2'!E126</f>
        <v>NEUFELD</v>
      </c>
      <c r="E9" s="57" t="str">
        <f>'ICS2'!H126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'ICS2'!I127</f>
        <v>Camp</v>
      </c>
      <c r="B11" s="103">
        <f>'ICS2'!B127</f>
        <v>46237</v>
      </c>
      <c r="C11" s="104">
        <f>'ICS2'!C127</f>
        <v>0.375</v>
      </c>
      <c r="D11" s="57" t="str">
        <f>'ICS2'!E127</f>
        <v>NEUFELD</v>
      </c>
      <c r="E11" s="57" t="str">
        <f>'ICS2'!H127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'ICS2'!I128</f>
        <v>Camp</v>
      </c>
      <c r="B12" s="103">
        <f>'ICS2'!B128</f>
        <v>46238</v>
      </c>
      <c r="C12" s="104">
        <f>'ICS2'!C128</f>
        <v>0.375</v>
      </c>
      <c r="D12" s="57" t="str">
        <f>'ICS2'!E128</f>
        <v>NEUFELD</v>
      </c>
      <c r="E12" s="57" t="str">
        <f>'ICS2'!H128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'ICS2'!I129</f>
        <v>Camp</v>
      </c>
      <c r="B13" s="103">
        <f>'ICS2'!B129</f>
        <v>46239</v>
      </c>
      <c r="C13" s="104">
        <f>'ICS2'!C129</f>
        <v>0.375</v>
      </c>
      <c r="D13" s="57" t="str">
        <f>'ICS2'!E129</f>
        <v>NEUFELD</v>
      </c>
      <c r="E13" s="57" t="str">
        <f>'ICS2'!H129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'ICS2'!I22</f>
        <v>KM</v>
      </c>
      <c r="B20" s="103">
        <f>'ICS2'!B22</f>
        <v>46250</v>
      </c>
      <c r="C20" s="104">
        <f>'ICS2'!C22</f>
        <v>0.72916666666666663</v>
      </c>
      <c r="D20" s="57" t="str">
        <f>'ICS2'!E22</f>
        <v>KITTSEE</v>
      </c>
      <c r="E20" s="57" t="str">
        <f>'ICS2'!H22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'ICS2'!I23</f>
        <v>KM</v>
      </c>
      <c r="B21" s="103">
        <f>'ICS2'!B23</f>
        <v>46255</v>
      </c>
      <c r="C21" s="104">
        <f>'ICS2'!C23</f>
        <v>0.83333333333333337</v>
      </c>
      <c r="D21" s="57" t="str">
        <f>'ICS2'!E23</f>
        <v>DEUTSCH JAHRNDORF</v>
      </c>
      <c r="E21" s="57" t="str">
        <f>'ICS2'!H23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'ICS2'!I25</f>
        <v>KM</v>
      </c>
      <c r="B23" s="103">
        <f>'ICS2'!B25</f>
        <v>46270</v>
      </c>
      <c r="C23" s="104">
        <f>'ICS2'!C25</f>
        <v>0.6875</v>
      </c>
      <c r="D23" s="57" t="str">
        <f>'ICS2'!E25</f>
        <v>MÖNCHHOF</v>
      </c>
      <c r="E23" s="57" t="str">
        <f>'ICS2'!H25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'ICS2'!I15</f>
        <v>U14</v>
      </c>
      <c r="B24" s="103">
        <f>'ICS2'!B15</f>
        <v>46255</v>
      </c>
      <c r="C24" s="104">
        <f>'ICS2'!C15</f>
        <v>0.75</v>
      </c>
      <c r="D24" s="57" t="str">
        <f>'ICS2'!E15</f>
        <v>GROßHÖFLEIN</v>
      </c>
      <c r="E24" s="57" t="str">
        <f>'ICS2'!H15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'ICS2'!I27</f>
        <v>KM</v>
      </c>
      <c r="B25" s="103">
        <f>'ICS2'!B27</f>
        <v>46284</v>
      </c>
      <c r="C25" s="104">
        <f>'ICS2'!C27</f>
        <v>0.66666666666666663</v>
      </c>
      <c r="D25" s="57" t="str">
        <f>'ICS2'!E27</f>
        <v>GATTENDORF</v>
      </c>
      <c r="E25" s="57" t="str">
        <f>'ICS2'!H27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'ICS2'!I133</f>
        <v>Turnier</v>
      </c>
      <c r="B26" s="103">
        <f>'ICS2'!B133</f>
        <v>46256</v>
      </c>
      <c r="C26" s="104">
        <f>'ICS2'!C133</f>
        <v>0.375</v>
      </c>
      <c r="D26" s="57" t="str">
        <f>'ICS2'!E133</f>
        <v>NEUFELD</v>
      </c>
      <c r="E26" s="57" t="str">
        <f>'ICS2'!H133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'ICS2'!I29</f>
        <v>KM</v>
      </c>
      <c r="B27" s="103">
        <f>'ICS2'!B29</f>
        <v>46297</v>
      </c>
      <c r="C27" s="104">
        <f>'ICS2'!C29</f>
        <v>0.79166666666666663</v>
      </c>
      <c r="D27" s="57" t="str">
        <f>'ICS2'!E29</f>
        <v>SIEGENDORF</v>
      </c>
      <c r="E27" s="57" t="str">
        <f>'ICS2'!H29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'ICS2'!I17</f>
        <v>U16</v>
      </c>
      <c r="B28" s="103">
        <f>'ICS2'!B17</f>
        <v>46260</v>
      </c>
      <c r="C28" s="104">
        <f>'ICS2'!C17</f>
        <v>0.41666666666666669</v>
      </c>
      <c r="D28" s="57" t="str">
        <f>'ICS2'!E17</f>
        <v>NEUFELD</v>
      </c>
      <c r="E28" s="57" t="str">
        <f>'ICS2'!H17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'ICS2'!I31</f>
        <v>KM</v>
      </c>
      <c r="B29" s="103">
        <f>'ICS2'!B31</f>
        <v>46311</v>
      </c>
      <c r="C29" s="104">
        <f>'ICS2'!C31</f>
        <v>0.8125</v>
      </c>
      <c r="D29" s="57" t="str">
        <f>'ICS2'!E31</f>
        <v>HORNSTEIN</v>
      </c>
      <c r="E29" s="57" t="str">
        <f>'ICS2'!H31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'ICS2'!I18</f>
        <v>U14</v>
      </c>
      <c r="B30" s="103">
        <f>'ICS2'!B18</f>
        <v>46260</v>
      </c>
      <c r="C30" s="104">
        <f>'ICS2'!C18</f>
        <v>0.79166666666666663</v>
      </c>
      <c r="D30" s="57" t="str">
        <f>'ICS2'!E18</f>
        <v>GROßHÖFLEIN</v>
      </c>
      <c r="E30" s="57" t="str">
        <f>'ICS2'!H18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'ICS2'!I33</f>
        <v>KM</v>
      </c>
      <c r="B31" s="103">
        <f>'ICS2'!B33</f>
        <v>46326</v>
      </c>
      <c r="C31" s="104">
        <f>'ICS2'!C33</f>
        <v>0.75</v>
      </c>
      <c r="D31" s="57" t="str">
        <f>'ICS2'!E33</f>
        <v>ILLMITZ</v>
      </c>
      <c r="E31" s="57" t="str">
        <f>'ICS2'!H33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'ICS2'!I19</f>
        <v>U14</v>
      </c>
      <c r="B32" s="103">
        <f>'ICS2'!B19</f>
        <v>46263</v>
      </c>
      <c r="C32" s="104">
        <f>'ICS2'!C19</f>
        <v>0.4375</v>
      </c>
      <c r="D32" s="57" t="str">
        <f>'ICS2'!E19</f>
        <v>GROßHÖFLEIN</v>
      </c>
      <c r="E32" s="57" t="str">
        <f>'ICS2'!H19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'ICS2'!I21</f>
        <v>KM</v>
      </c>
      <c r="B33" s="103">
        <f>'ICS2'!B21</f>
        <v>46445</v>
      </c>
      <c r="C33" s="104">
        <f>'ICS2'!C21</f>
        <v>0.5</v>
      </c>
      <c r="D33" s="57" t="str">
        <f>'ICS2'!E21</f>
        <v>BAD ERLACH</v>
      </c>
      <c r="E33" s="57" t="str">
        <f>'ICS2'!H21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'ICS2'!I37</f>
        <v>U23</v>
      </c>
      <c r="B34" s="103">
        <f>'ICS2'!B37</f>
        <v>46263</v>
      </c>
      <c r="C34" s="104">
        <f>'ICS2'!C37</f>
        <v>0.66666666666666663</v>
      </c>
      <c r="D34" s="57" t="str">
        <f>'ICS2'!E37</f>
        <v>NEUFELD</v>
      </c>
      <c r="E34" s="57" t="str">
        <f>'ICS2'!H37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'ICS2'!I24</f>
        <v>KM</v>
      </c>
      <c r="B35" s="103">
        <f>'ICS2'!B24</f>
        <v>46263</v>
      </c>
      <c r="C35" s="104">
        <f>'ICS2'!C24</f>
        <v>0.75</v>
      </c>
      <c r="D35" s="57" t="str">
        <f>'ICS2'!E24</f>
        <v>NEUFELD</v>
      </c>
      <c r="E35" s="57" t="str">
        <f>'ICS2'!H24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'ICS2'!I68</f>
        <v>U12_1</v>
      </c>
      <c r="B36" s="118">
        <f>'ICS2'!B68</f>
        <v>46269</v>
      </c>
      <c r="C36" s="119">
        <f>'ICS2'!C68</f>
        <v>0</v>
      </c>
      <c r="D36" s="117" t="str">
        <f>'ICS2'!E68</f>
        <v>STEINBRUNN</v>
      </c>
      <c r="E36" s="117" t="str">
        <f>'ICS2'!H68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'ICS2'!I102</f>
        <v>U9</v>
      </c>
      <c r="B37" s="110">
        <f>'ICS2'!B102</f>
        <v>46269</v>
      </c>
      <c r="C37" s="111">
        <f>'ICS2'!C102</f>
        <v>0</v>
      </c>
      <c r="D37" s="109" t="str">
        <f>'ICS2'!E102</f>
        <v>GROßHÖFLEIN</v>
      </c>
      <c r="E37" s="109" t="str">
        <f>'ICS2'!H102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'ICS2'!I88</f>
        <v>U11</v>
      </c>
      <c r="B38" s="110">
        <f>'ICS2'!B88</f>
        <v>46270</v>
      </c>
      <c r="C38" s="111">
        <f>'ICS2'!C88</f>
        <v>0.41666666666666669</v>
      </c>
      <c r="D38" s="109" t="str">
        <f>'ICS2'!E88</f>
        <v>STEINBRUNN</v>
      </c>
      <c r="E38" s="109" t="str">
        <f>'ICS2'!H88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'ICS2'!I78</f>
        <v>U12_2</v>
      </c>
      <c r="B39" s="110">
        <f>'ICS2'!B78</f>
        <v>46270</v>
      </c>
      <c r="C39" s="111">
        <f>'ICS2'!C78</f>
        <v>0.5</v>
      </c>
      <c r="D39" s="109" t="str">
        <f>'ICS2'!E78</f>
        <v>STEINBRUNN</v>
      </c>
      <c r="E39" s="109" t="str">
        <f>'ICS2'!H78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'ICS2'!I59</f>
        <v>U14</v>
      </c>
      <c r="B40" s="118">
        <f>'ICS2'!B59</f>
        <v>46271</v>
      </c>
      <c r="C40" s="119">
        <f>'ICS2'!C59</f>
        <v>0.625</v>
      </c>
      <c r="D40" s="117" t="str">
        <f>'ICS2'!E59</f>
        <v>GROßHÖFLEIN</v>
      </c>
      <c r="E40" s="117" t="str">
        <f>'ICS2'!H59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'ICS2'!I98</f>
        <v>U10</v>
      </c>
      <c r="B41" s="110">
        <f>'ICS2'!B98</f>
        <v>46277</v>
      </c>
      <c r="C41" s="111">
        <f>'ICS2'!C98</f>
        <v>0</v>
      </c>
      <c r="D41" s="109" t="str">
        <f>'ICS2'!E98</f>
        <v>SIEGENDORF</v>
      </c>
      <c r="E41" s="109" t="str">
        <f>'ICS2'!H98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'ICS2'!I99</f>
        <v>U10</v>
      </c>
      <c r="B42" s="103">
        <f>'ICS2'!B99</f>
        <v>46305</v>
      </c>
      <c r="C42" s="104">
        <f>'ICS2'!C99</f>
        <v>0</v>
      </c>
      <c r="D42" s="57" t="str">
        <f>'ICS2'!E99</f>
        <v>TRAUSDORF</v>
      </c>
      <c r="E42" s="57" t="str">
        <f>'ICS2'!H99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'ICS2'!I59</f>
        <v>U14</v>
      </c>
      <c r="B43" s="103">
        <f>'ICS2'!B59</f>
        <v>46271</v>
      </c>
      <c r="C43" s="104">
        <f>'ICS2'!C59</f>
        <v>0.625</v>
      </c>
      <c r="D43" s="57" t="str">
        <f>'ICS2'!E59</f>
        <v>GROßHÖFLEIN</v>
      </c>
      <c r="E43" s="57" t="str">
        <f>'ICS2'!H59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'ICS2'!I100</f>
        <v>U10</v>
      </c>
      <c r="B44" s="103" t="str">
        <f>'ICS2'!B100</f>
        <v>XXX</v>
      </c>
      <c r="C44" s="104">
        <f>'ICS2'!C100</f>
        <v>0</v>
      </c>
      <c r="D44" s="57" t="str">
        <f>'ICS2'!E100</f>
        <v>RUST</v>
      </c>
      <c r="E44" s="57" t="str">
        <f>'ICS2'!H100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'ICS2'!I101</f>
        <v>U10</v>
      </c>
      <c r="B45" s="103" t="str">
        <f>'ICS2'!B101</f>
        <v>XXX</v>
      </c>
      <c r="C45" s="104">
        <f>'ICS2'!C101</f>
        <v>0</v>
      </c>
      <c r="D45" s="57" t="str">
        <f>'ICS2'!E101</f>
        <v>ST.GEORGEN</v>
      </c>
      <c r="E45" s="57" t="str">
        <f>'ICS2'!H101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'ICS2'!I39</f>
        <v>U23</v>
      </c>
      <c r="B46" s="121">
        <f>'ICS2'!B39</f>
        <v>46276</v>
      </c>
      <c r="C46" s="122">
        <f>'ICS2'!C39</f>
        <v>0.72916666666666663</v>
      </c>
      <c r="D46" s="120" t="str">
        <f>'ICS2'!E39</f>
        <v>NEUFELD</v>
      </c>
      <c r="E46" s="120" t="str">
        <f>'ICS2'!H39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'ICS2'!I89</f>
        <v>U11</v>
      </c>
      <c r="B47" s="106">
        <f>'ICS2'!B89</f>
        <v>46276</v>
      </c>
      <c r="C47" s="107">
        <f>'ICS2'!C89</f>
        <v>0</v>
      </c>
      <c r="D47" s="105" t="str">
        <f>'ICS2'!E89</f>
        <v>HORNSTEIN</v>
      </c>
      <c r="E47" s="105" t="str">
        <f>'ICS2'!H89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'ICS2'!I90</f>
        <v>U11</v>
      </c>
      <c r="B48" s="103">
        <f>'ICS2'!B90</f>
        <v>46283</v>
      </c>
      <c r="C48" s="104">
        <f>'ICS2'!C90</f>
        <v>0</v>
      </c>
      <c r="D48" s="57" t="str">
        <f>'ICS2'!E90</f>
        <v>WULKAPRODERSDORF</v>
      </c>
      <c r="E48" s="57" t="str">
        <f>'ICS2'!H90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'ICS2'!I26</f>
        <v>KM</v>
      </c>
      <c r="B49" s="121">
        <f>'ICS2'!B26</f>
        <v>46276</v>
      </c>
      <c r="C49" s="122">
        <f>'ICS2'!C26</f>
        <v>0.8125</v>
      </c>
      <c r="D49" s="120" t="str">
        <f>'ICS2'!E26</f>
        <v>NEUFELD</v>
      </c>
      <c r="E49" s="120" t="str">
        <f>'ICS2'!H26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'ICS2'!I103</f>
        <v>U9</v>
      </c>
      <c r="B50" s="121">
        <f>'ICS2'!B103</f>
        <v>46278</v>
      </c>
      <c r="C50" s="122">
        <f>'ICS2'!C103</f>
        <v>0.45833333333333331</v>
      </c>
      <c r="D50" s="120" t="str">
        <f>'ICS2'!E103</f>
        <v>NEUFELD</v>
      </c>
      <c r="E50" s="120" t="str">
        <f>'ICS2'!H103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'ICS2'!I93</f>
        <v>U11</v>
      </c>
      <c r="B51" s="103">
        <f>'ICS2'!B93</f>
        <v>46304</v>
      </c>
      <c r="C51" s="104">
        <f>'ICS2'!C93</f>
        <v>0</v>
      </c>
      <c r="D51" s="57" t="str">
        <f>'ICS2'!E93</f>
        <v>LEITHAPRODERSDORF</v>
      </c>
      <c r="E51" s="57" t="str">
        <f>'ICS2'!H93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'ICS2'!I80</f>
        <v>U12_2</v>
      </c>
      <c r="B52" s="118">
        <f>'ICS2'!B80</f>
        <v>46283</v>
      </c>
      <c r="C52" s="119">
        <f>'ICS2'!C80</f>
        <v>0</v>
      </c>
      <c r="D52" s="117" t="str">
        <f>'ICS2'!E80</f>
        <v>GROßHÖFLEIN</v>
      </c>
      <c r="E52" s="117" t="str">
        <f>'ICS2'!H80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'ICS2'!I95</f>
        <v>U11</v>
      </c>
      <c r="B53" s="106">
        <f>'ICS2'!B95</f>
        <v>46318</v>
      </c>
      <c r="C53" s="107">
        <f>'ICS2'!C95</f>
        <v>0</v>
      </c>
      <c r="D53" s="105" t="str">
        <f>'ICS2'!E95</f>
        <v>HORNSTEIN</v>
      </c>
      <c r="E53" s="105" t="str">
        <f>'ICS2'!H95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'ICS2'!I96</f>
        <v>U11</v>
      </c>
      <c r="B54" s="114">
        <f>'ICS2'!B96</f>
        <v>46325</v>
      </c>
      <c r="C54" s="115">
        <f>'ICS2'!C96</f>
        <v>0</v>
      </c>
      <c r="D54" s="113" t="str">
        <f>'ICS2'!E96</f>
        <v>WULKAPRODERSDORF</v>
      </c>
      <c r="E54" s="113" t="str">
        <f>'ICS2'!H96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'ICS2'!I113</f>
        <v>U8</v>
      </c>
      <c r="B55" s="118">
        <f>'ICS2'!B113</f>
        <v>46284</v>
      </c>
      <c r="C55" s="119">
        <f>'ICS2'!C113</f>
        <v>0</v>
      </c>
      <c r="D55" s="117" t="str">
        <f>'ICS2'!E113</f>
        <v>WIMPASSING</v>
      </c>
      <c r="E55" s="117" t="str">
        <f>'ICS2'!H113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'ICS2'!I69</f>
        <v>U12_1</v>
      </c>
      <c r="B56" s="103">
        <f>'ICS2'!B69</f>
        <v>46276</v>
      </c>
      <c r="C56" s="104">
        <f>'ICS2'!C69</f>
        <v>0</v>
      </c>
      <c r="D56" s="57" t="str">
        <f>'ICS2'!E69</f>
        <v>KLINGENBACH</v>
      </c>
      <c r="E56" s="57" t="str">
        <f>'ICS2'!H69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'ICS2'!I70</f>
        <v>U12_1</v>
      </c>
      <c r="B57" s="121">
        <f>'ICS2'!B70</f>
        <v>46284</v>
      </c>
      <c r="C57" s="122">
        <f>'ICS2'!C70</f>
        <v>0.4375</v>
      </c>
      <c r="D57" s="120" t="str">
        <f>'ICS2'!E70</f>
        <v>NEUFELD</v>
      </c>
      <c r="E57" s="120" t="str">
        <f>'ICS2'!H70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'ICS2'!I71</f>
        <v>U12_1</v>
      </c>
      <c r="B58" s="103">
        <f>'ICS2'!B71</f>
        <v>46290</v>
      </c>
      <c r="C58" s="104">
        <f>'ICS2'!C71</f>
        <v>0</v>
      </c>
      <c r="D58" s="57" t="str">
        <f>'ICS2'!E71</f>
        <v>RUST</v>
      </c>
      <c r="E58" s="57" t="str">
        <f>'ICS2'!H71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'ICS2'!I61</f>
        <v>U14</v>
      </c>
      <c r="B59" s="121">
        <f>'ICS2'!B61</f>
        <v>46284</v>
      </c>
      <c r="C59" s="122">
        <f>'ICS2'!C61</f>
        <v>0.52083333333333337</v>
      </c>
      <c r="D59" s="120" t="str">
        <f>'ICS2'!E61</f>
        <v>NEUFELD</v>
      </c>
      <c r="E59" s="120" t="str">
        <f>'ICS2'!H61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'ICS2'!I73</f>
        <v>U12_1</v>
      </c>
      <c r="B60" s="103">
        <f>'ICS2'!B73</f>
        <v>46304</v>
      </c>
      <c r="C60" s="104">
        <f>'ICS2'!C73</f>
        <v>0</v>
      </c>
      <c r="D60" s="57" t="str">
        <f>'ICS2'!E73</f>
        <v>STOTZING</v>
      </c>
      <c r="E60" s="57" t="str">
        <f>'ICS2'!H73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'ICS2'!I61</f>
        <v>U14</v>
      </c>
      <c r="B61" s="103">
        <f>'ICS2'!B61</f>
        <v>46284</v>
      </c>
      <c r="C61" s="104">
        <f>'ICS2'!C61</f>
        <v>0.52083333333333337</v>
      </c>
      <c r="D61" s="57" t="str">
        <f>'ICS2'!E61</f>
        <v>NEUFELD</v>
      </c>
      <c r="E61" s="57" t="str">
        <f>'ICS2'!H61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'ICS2'!I75</f>
        <v>U12_1</v>
      </c>
      <c r="B62" s="103">
        <f>'ICS2'!B75</f>
        <v>46318</v>
      </c>
      <c r="C62" s="104">
        <f>'ICS2'!C75</f>
        <v>0</v>
      </c>
      <c r="D62" s="57" t="str">
        <f>'ICS2'!E75</f>
        <v>LEITHAPRODERSDORF</v>
      </c>
      <c r="E62" s="57" t="str">
        <f>'ICS2'!H75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'ICS2'!I50</f>
        <v>U16</v>
      </c>
      <c r="B63" s="118">
        <f>'ICS2'!B50</f>
        <v>46284</v>
      </c>
      <c r="C63" s="119">
        <f>'ICS2'!C50</f>
        <v>0.70833333333333337</v>
      </c>
      <c r="D63" s="117" t="str">
        <f>'ICS2'!E50</f>
        <v>WIMPASSING</v>
      </c>
      <c r="E63" s="117" t="str">
        <f>'ICS2'!H50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'ICS2'!I77</f>
        <v>U12_1</v>
      </c>
      <c r="B64" s="103">
        <f>'ICS2'!B77</f>
        <v>46332</v>
      </c>
      <c r="C64" s="104">
        <f>'ICS2'!C77</f>
        <v>0</v>
      </c>
      <c r="D64" s="57" t="str">
        <f>'ICS2'!E77</f>
        <v>HORNSTEIN</v>
      </c>
      <c r="E64" s="57" t="str">
        <f>'ICS2'!H77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'ICS2'!I41</f>
        <v>U23</v>
      </c>
      <c r="B65" s="121">
        <f>'ICS2'!B41</f>
        <v>46291</v>
      </c>
      <c r="C65" s="122">
        <f>'ICS2'!C41</f>
        <v>0.66666666666666663</v>
      </c>
      <c r="D65" s="120" t="str">
        <f>'ICS2'!E41</f>
        <v>NEUFELD</v>
      </c>
      <c r="E65" s="120" t="str">
        <f>'ICS2'!H41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'ICS2'!I79</f>
        <v>U12_2</v>
      </c>
      <c r="B66" s="103">
        <f>'ICS2'!B79</f>
        <v>46278</v>
      </c>
      <c r="C66" s="104">
        <f>'ICS2'!C79</f>
        <v>0.41666666666666669</v>
      </c>
      <c r="D66" s="57" t="str">
        <f>'ICS2'!E79</f>
        <v>ST. GEORGEN</v>
      </c>
      <c r="E66" s="57" t="str">
        <f>'ICS2'!H79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'ICS2'!I141</f>
        <v>Fest ASV Neufeld</v>
      </c>
      <c r="B67" s="103">
        <f>'ICS2'!B141</f>
        <v>46291</v>
      </c>
      <c r="C67" s="104">
        <f>'ICS2'!C141</f>
        <v>0.75</v>
      </c>
      <c r="D67" s="57" t="str">
        <f>'ICS2'!E141</f>
        <v>NEUFELD</v>
      </c>
      <c r="E67" s="57" t="str">
        <f>'ICS2'!H141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'ICS2'!I28</f>
        <v>KM</v>
      </c>
      <c r="B68" s="121">
        <f>'ICS2'!B28</f>
        <v>46291</v>
      </c>
      <c r="C68" s="122">
        <f>'ICS2'!C28</f>
        <v>0.75</v>
      </c>
      <c r="D68" s="120" t="str">
        <f>'ICS2'!E28</f>
        <v>NEUFELD</v>
      </c>
      <c r="E68" s="120" t="str">
        <f>'ICS2'!H28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'ICS2'!I82</f>
        <v>U12_2</v>
      </c>
      <c r="B69" s="106">
        <f>'ICS2'!B82</f>
        <v>46297</v>
      </c>
      <c r="C69" s="107">
        <f>'ICS2'!C82</f>
        <v>0</v>
      </c>
      <c r="D69" s="105" t="str">
        <f>'ICS2'!E82</f>
        <v>OGGAU</v>
      </c>
      <c r="E69" s="105" t="str">
        <f>'ICS2'!H82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'ICS2'!I83</f>
        <v>U12_2</v>
      </c>
      <c r="B70" s="103">
        <f>'ICS2'!B83</f>
        <v>46304</v>
      </c>
      <c r="C70" s="104">
        <f>'ICS2'!C83</f>
        <v>0</v>
      </c>
      <c r="D70" s="57" t="str">
        <f>'ICS2'!E83</f>
        <v>ST. MARGARETHEN</v>
      </c>
      <c r="E70" s="57" t="str">
        <f>'ICS2'!H83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'ICS2'!I51</f>
        <v>U16</v>
      </c>
      <c r="B71" s="118">
        <f>'ICS2'!B51</f>
        <v>46292</v>
      </c>
      <c r="C71" s="119">
        <f>'ICS2'!C51</f>
        <v>0</v>
      </c>
      <c r="D71" s="117" t="str">
        <f>'ICS2'!E51</f>
        <v>GROßHÖFLEIN</v>
      </c>
      <c r="E71" s="117" t="str">
        <f>'ICS2'!H51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'ICS2'!I91</f>
        <v>U11</v>
      </c>
      <c r="B72" s="121">
        <f>'ICS2'!B91</f>
        <v>46292</v>
      </c>
      <c r="C72" s="122">
        <f>'ICS2'!C91</f>
        <v>0.54166666666666663</v>
      </c>
      <c r="D72" s="120" t="str">
        <f>'ICS2'!E91</f>
        <v>NEUFELD</v>
      </c>
      <c r="E72" s="120" t="str">
        <f>'ICS2'!H91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'ICS2'!I86</f>
        <v>U12_2</v>
      </c>
      <c r="B73" s="103">
        <f>'ICS2'!B86</f>
        <v>46325</v>
      </c>
      <c r="C73" s="104">
        <f>'ICS2'!C86</f>
        <v>0</v>
      </c>
      <c r="D73" s="57" t="str">
        <f>'ICS2'!E86</f>
        <v>PURBACH</v>
      </c>
      <c r="E73" s="57" t="str">
        <f>'ICS2'!H86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'ICS2'!I81</f>
        <v>U12_2</v>
      </c>
      <c r="B74" s="121">
        <f>'ICS2'!B81</f>
        <v>46292</v>
      </c>
      <c r="C74" s="122">
        <f>'ICS2'!C81</f>
        <v>0.625</v>
      </c>
      <c r="D74" s="120" t="str">
        <f>'ICS2'!E81</f>
        <v>NEUFELD</v>
      </c>
      <c r="E74" s="120" t="str">
        <f>'ICS2'!H81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'ICS2'!I62</f>
        <v>U14</v>
      </c>
      <c r="B75" s="118">
        <f>'ICS2'!B62</f>
        <v>46292</v>
      </c>
      <c r="C75" s="119">
        <f>'ICS2'!C62</f>
        <v>0.625</v>
      </c>
      <c r="D75" s="117" t="str">
        <f>'ICS2'!E62</f>
        <v>GROßHÖFLEIN</v>
      </c>
      <c r="E75" s="117" t="str">
        <f>'ICS2'!H62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'ICS2'!I14</f>
        <v>U14</v>
      </c>
      <c r="B76" s="103">
        <f>'ICS2'!B14</f>
        <v>46247</v>
      </c>
      <c r="C76" s="104">
        <f>'ICS2'!C14</f>
        <v>0.79166666666666663</v>
      </c>
      <c r="D76" s="57" t="str">
        <f>'ICS2'!E14</f>
        <v>OGGAU</v>
      </c>
      <c r="E76" s="57" t="str">
        <f>'ICS2'!H14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'ICS2'!I106</f>
        <v>U9</v>
      </c>
      <c r="B77" s="121">
        <f>'ICS2'!B106</f>
        <v>46298</v>
      </c>
      <c r="C77" s="122">
        <f>'ICS2'!C106</f>
        <v>0.39583333333333331</v>
      </c>
      <c r="D77" s="120" t="str">
        <f>'ICS2'!E106</f>
        <v>NEUFELD</v>
      </c>
      <c r="E77" s="120" t="str">
        <f>'ICS2'!H106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'ICS2'!I92</f>
        <v>U11</v>
      </c>
      <c r="B78" s="118">
        <f>'ICS2'!B92</f>
        <v>46298</v>
      </c>
      <c r="C78" s="119">
        <f>'ICS2'!C92</f>
        <v>0.41666666666666669</v>
      </c>
      <c r="D78" s="117" t="str">
        <f>'ICS2'!E92</f>
        <v>STEINBRUNN</v>
      </c>
      <c r="E78" s="117" t="str">
        <f>'ICS2'!H92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'ICS2'!I72</f>
        <v>U12_1</v>
      </c>
      <c r="B79" s="118">
        <f>'ICS2'!B72</f>
        <v>46298</v>
      </c>
      <c r="C79" s="119">
        <f>'ICS2'!C72</f>
        <v>0.5</v>
      </c>
      <c r="D79" s="117" t="str">
        <f>'ICS2'!E72</f>
        <v>STEINBRUNN</v>
      </c>
      <c r="E79" s="117" t="str">
        <f>'ICS2'!H72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'ICS2'!I52</f>
        <v>U16</v>
      </c>
      <c r="B80" s="114">
        <f>'ICS2'!B52</f>
        <v>46298</v>
      </c>
      <c r="C80" s="115">
        <f>'ICS2'!C52</f>
        <v>0.58333333333333337</v>
      </c>
      <c r="D80" s="113" t="str">
        <f>'ICS2'!E52</f>
        <v>NEUFELD</v>
      </c>
      <c r="E80" s="113" t="str">
        <f>'ICS2'!H52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'ICS2'!I60</f>
        <v>U14</v>
      </c>
      <c r="B81" s="103">
        <f>'ICS2'!B60</f>
        <v>46278</v>
      </c>
      <c r="C81" s="104">
        <f>'ICS2'!C60</f>
        <v>0.625</v>
      </c>
      <c r="D81" s="57" t="str">
        <f>'ICS2'!E60</f>
        <v>NEUDÖRFL</v>
      </c>
      <c r="E81" s="57" t="str">
        <f>'ICS2'!H60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'ICS2'!I43</f>
        <v>U23</v>
      </c>
      <c r="B82" s="121">
        <f>'ICS2'!B43</f>
        <v>46304</v>
      </c>
      <c r="C82" s="122">
        <f>'ICS2'!C43</f>
        <v>0.72916666666666663</v>
      </c>
      <c r="D82" s="120" t="str">
        <f>'ICS2'!E43</f>
        <v>NEUFELD</v>
      </c>
      <c r="E82" s="120" t="str">
        <f>'ICS2'!H43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'ICS2'!I30</f>
        <v>KM</v>
      </c>
      <c r="B83" s="121">
        <f>'ICS2'!B30</f>
        <v>46304</v>
      </c>
      <c r="C83" s="122">
        <f>'ICS2'!C30</f>
        <v>0.8125</v>
      </c>
      <c r="D83" s="120" t="str">
        <f>'ICS2'!E30</f>
        <v>NEUFELD</v>
      </c>
      <c r="E83" s="120" t="str">
        <f>'ICS2'!H30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'ICS2'!I63</f>
        <v>U14</v>
      </c>
      <c r="B84" s="103">
        <f>'ICS2'!B63</f>
        <v>46299</v>
      </c>
      <c r="C84" s="104">
        <f>'ICS2'!C63</f>
        <v>0.625</v>
      </c>
      <c r="D84" s="57" t="str">
        <f>'ICS2'!E63</f>
        <v>DRAßBURG</v>
      </c>
      <c r="E84" s="57" t="str">
        <f>'ICS2'!H63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'ICS2'!I107</f>
        <v>U9</v>
      </c>
      <c r="B85" s="121">
        <f>'ICS2'!B107</f>
        <v>46305</v>
      </c>
      <c r="C85" s="122">
        <f>'ICS2'!C107</f>
        <v>0.58333333333333337</v>
      </c>
      <c r="D85" s="120" t="str">
        <f>'ICS2'!E107</f>
        <v>NEUFELD</v>
      </c>
      <c r="E85" s="120" t="str">
        <f>'ICS2'!H107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'ICS2'!I65</f>
        <v>U14</v>
      </c>
      <c r="B86" s="103">
        <f>'ICS2'!B65</f>
        <v>46313</v>
      </c>
      <c r="C86" s="104">
        <f>'ICS2'!C65</f>
        <v>0.625</v>
      </c>
      <c r="D86" s="57" t="str">
        <f>'ICS2'!E65</f>
        <v>KEMETEN</v>
      </c>
      <c r="E86" s="57" t="str">
        <f>'ICS2'!H65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'ICS2'!I53</f>
        <v>U16</v>
      </c>
      <c r="B87" s="121">
        <f>'ICS2'!B53</f>
        <v>46305</v>
      </c>
      <c r="C87" s="122">
        <f>'ICS2'!C53</f>
        <v>0.66666666666666663</v>
      </c>
      <c r="D87" s="120" t="str">
        <f>'ICS2'!E53</f>
        <v>NEUFELD</v>
      </c>
      <c r="E87" s="120" t="str">
        <f>'ICS2'!H53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'ICS2'!I67</f>
        <v>U14</v>
      </c>
      <c r="B88" s="103">
        <f>'ICS2'!B67</f>
        <v>46327</v>
      </c>
      <c r="C88" s="104">
        <f>'ICS2'!C67</f>
        <v>0.625</v>
      </c>
      <c r="D88" s="57" t="str">
        <f>'ICS2'!E67</f>
        <v>GOLS</v>
      </c>
      <c r="E88" s="57" t="str">
        <f>'ICS2'!H67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'ICS2'!I64</f>
        <v>U14</v>
      </c>
      <c r="B89" s="118">
        <f>'ICS2'!B64</f>
        <v>46306</v>
      </c>
      <c r="C89" s="119">
        <f>'ICS2'!C64</f>
        <v>0.625</v>
      </c>
      <c r="D89" s="117" t="str">
        <f>'ICS2'!E64</f>
        <v>GROßHÖFLEIN</v>
      </c>
      <c r="E89" s="117" t="str">
        <f>'ICS2'!H64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'ICS2'!I108</f>
        <v>U9</v>
      </c>
      <c r="B90" s="110">
        <f>'ICS2'!B108</f>
        <v>46311</v>
      </c>
      <c r="C90" s="111">
        <f>'ICS2'!C108</f>
        <v>0</v>
      </c>
      <c r="D90" s="109" t="str">
        <f>'ICS2'!E108</f>
        <v>STEINBRUNN</v>
      </c>
      <c r="E90" s="109" t="str">
        <f>'ICS2'!H108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'ICS2'!I97</f>
        <v>U10</v>
      </c>
      <c r="B91" s="121">
        <f>'ICS2'!B97</f>
        <v>46312</v>
      </c>
      <c r="C91" s="122">
        <f>'ICS2'!C97</f>
        <v>0.39583333333333331</v>
      </c>
      <c r="D91" s="120" t="str">
        <f>'ICS2'!E97</f>
        <v>NEUFELD</v>
      </c>
      <c r="E91" s="120" t="str">
        <f>'ICS2'!H97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'ICS2'!I16</f>
        <v>U16</v>
      </c>
      <c r="B93" s="103">
        <f>'ICS2'!B16</f>
        <v>46256</v>
      </c>
      <c r="C93" s="104">
        <f>'ICS2'!C16</f>
        <v>0.70833333333333337</v>
      </c>
      <c r="D93" s="57" t="str">
        <f>'ICS2'!E16</f>
        <v>LAXENBURG</v>
      </c>
      <c r="E93" s="57" t="str">
        <f>'ICS2'!H16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'ICS2'!I112</f>
        <v>U8</v>
      </c>
      <c r="B94" s="121">
        <f>'ICS2'!B112</f>
        <v>46312</v>
      </c>
      <c r="C94" s="122">
        <f>'ICS2'!C112</f>
        <v>0.39583333333333331</v>
      </c>
      <c r="D94" s="120" t="str">
        <f>'ICS2'!E112</f>
        <v>NEUFELD</v>
      </c>
      <c r="E94" s="120" t="str">
        <f>'ICS2'!H112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'ICS2'!I20</f>
        <v>U16</v>
      </c>
      <c r="B95" s="103">
        <f>'ICS2'!B20</f>
        <v>46264</v>
      </c>
      <c r="C95" s="104">
        <f>'ICS2'!C20</f>
        <v>0.4375</v>
      </c>
      <c r="D95" s="57" t="str">
        <f>'ICS2'!E20</f>
        <v>THERESIENFELD</v>
      </c>
      <c r="E95" s="57" t="str">
        <f>'ICS2'!H20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'ICS2'!I48</f>
        <v>U16</v>
      </c>
      <c r="B96" s="103">
        <f>'ICS2'!B48</f>
        <v>46271</v>
      </c>
      <c r="C96" s="104">
        <f>'ICS2'!C48</f>
        <v>0</v>
      </c>
      <c r="D96" s="57" t="str">
        <f>'ICS2'!E48</f>
        <v/>
      </c>
      <c r="E96" s="57" t="str">
        <f>'ICS2'!H48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'ICS2'!I49</f>
        <v>U16</v>
      </c>
      <c r="B97" s="103">
        <f>'ICS2'!B49</f>
        <v>46278</v>
      </c>
      <c r="C97" s="104">
        <f>'ICS2'!C49</f>
        <v>0</v>
      </c>
      <c r="D97" s="57" t="str">
        <f>'ICS2'!E49</f>
        <v>GOLS</v>
      </c>
      <c r="E97" s="57" t="str">
        <f>'ICS2'!H49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'ICS2'!I94</f>
        <v>U11</v>
      </c>
      <c r="B98" s="121">
        <f>'ICS2'!B94</f>
        <v>46312</v>
      </c>
      <c r="C98" s="122">
        <f>'ICS2'!C94</f>
        <v>0.54166666666666663</v>
      </c>
      <c r="D98" s="120" t="str">
        <f>'ICS2'!E94</f>
        <v>NEUFELD</v>
      </c>
      <c r="E98" s="120" t="str">
        <f>'ICS2'!H94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'ICS2'!I84</f>
        <v>U12_2</v>
      </c>
      <c r="B99" s="121">
        <f>'ICS2'!B84</f>
        <v>46312</v>
      </c>
      <c r="C99" s="122">
        <f>'ICS2'!C84</f>
        <v>0.625</v>
      </c>
      <c r="D99" s="120" t="str">
        <f>'ICS2'!E84</f>
        <v>NEUFELD</v>
      </c>
      <c r="E99" s="120" t="str">
        <f>'ICS2'!H84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'ICS2'!I74</f>
        <v>U12_1</v>
      </c>
      <c r="B100" s="121">
        <f>'ICS2'!B74</f>
        <v>46312</v>
      </c>
      <c r="C100" s="122">
        <f>'ICS2'!C74</f>
        <v>0.70833333333333337</v>
      </c>
      <c r="D100" s="120" t="str">
        <f>'ICS2'!E74</f>
        <v>NEUFELD</v>
      </c>
      <c r="E100" s="120" t="str">
        <f>'ICS2'!H74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'ICS2'!I85</f>
        <v>U12_2</v>
      </c>
      <c r="B101" s="118">
        <f>'ICS2'!B85</f>
        <v>46318</v>
      </c>
      <c r="C101" s="119">
        <f>'ICS2'!C85</f>
        <v>0.70833333333333337</v>
      </c>
      <c r="D101" s="117" t="str">
        <f>'ICS2'!E85</f>
        <v>STEINBRUNN</v>
      </c>
      <c r="E101" s="117" t="str">
        <f>'ICS2'!H85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'ICS2'!I54</f>
        <v>U16</v>
      </c>
      <c r="B102" s="103">
        <f>'ICS2'!B54</f>
        <v>46313</v>
      </c>
      <c r="C102" s="104">
        <f>'ICS2'!C54</f>
        <v>0</v>
      </c>
      <c r="D102" s="57" t="str">
        <f>'ICS2'!E54</f>
        <v>ST. GEORGEN</v>
      </c>
      <c r="E102" s="57" t="str">
        <f>'ICS2'!H54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'ICS2'!I45</f>
        <v>U23</v>
      </c>
      <c r="B103" s="121">
        <f>'ICS2'!B45</f>
        <v>46319</v>
      </c>
      <c r="C103" s="122">
        <f>'ICS2'!C45</f>
        <v>0.625</v>
      </c>
      <c r="D103" s="120" t="str">
        <f>'ICS2'!E45</f>
        <v>NEUFELD</v>
      </c>
      <c r="E103" s="120" t="str">
        <f>'ICS2'!H45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'ICS2'!I60</f>
        <v>U14</v>
      </c>
      <c r="B104" s="103">
        <f>'ICS2'!B60</f>
        <v>46278</v>
      </c>
      <c r="C104" s="104">
        <f>'ICS2'!C60</f>
        <v>0.625</v>
      </c>
      <c r="D104" s="57" t="str">
        <f>'ICS2'!E60</f>
        <v>NEUDÖRFL</v>
      </c>
      <c r="E104" s="57" t="str">
        <f>'ICS2'!H60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'ICS2'!I32</f>
        <v>KM</v>
      </c>
      <c r="B105" s="121">
        <f>'ICS2'!B32</f>
        <v>46319</v>
      </c>
      <c r="C105" s="122">
        <f>'ICS2'!C32</f>
        <v>0.70833333333333337</v>
      </c>
      <c r="D105" s="120" t="str">
        <f>'ICS2'!E32</f>
        <v>NEUFELD</v>
      </c>
      <c r="E105" s="120" t="str">
        <f>'ICS2'!H32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'ICS2'!I35</f>
        <v>U23</v>
      </c>
      <c r="B107" s="103">
        <f>'ICS2'!B35</f>
        <v>46250</v>
      </c>
      <c r="C107" s="104">
        <f>'ICS2'!C35</f>
        <v>0.64583333333333337</v>
      </c>
      <c r="D107" s="57" t="str">
        <f>'ICS2'!E35</f>
        <v>KITTSEE</v>
      </c>
      <c r="E107" s="57" t="str">
        <f>'ICS2'!H35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'ICS2'!I36</f>
        <v>U23</v>
      </c>
      <c r="B108" s="103">
        <f>'ICS2'!B36</f>
        <v>46255</v>
      </c>
      <c r="C108" s="104">
        <f>'ICS2'!C36</f>
        <v>0.75</v>
      </c>
      <c r="D108" s="57" t="str">
        <f>'ICS2'!E36</f>
        <v>DEUTSCH JAHRNDORF</v>
      </c>
      <c r="E108" s="57" t="str">
        <f>'ICS2'!H36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'ICS2'!I66</f>
        <v>U14</v>
      </c>
      <c r="B109" s="121">
        <f>'ICS2'!B66</f>
        <v>46320</v>
      </c>
      <c r="C109" s="122">
        <f>'ICS2'!C66</f>
        <v>0.58333333333333337</v>
      </c>
      <c r="D109" s="120" t="str">
        <f>'ICS2'!E66</f>
        <v>NEUFELD</v>
      </c>
      <c r="E109" s="120" t="str">
        <f>'ICS2'!H66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'ICS2'!I38</f>
        <v>U23</v>
      </c>
      <c r="B110" s="103">
        <f>'ICS2'!B38</f>
        <v>46270</v>
      </c>
      <c r="C110" s="104">
        <f>'ICS2'!C38</f>
        <v>0.60416666666666663</v>
      </c>
      <c r="D110" s="57" t="str">
        <f>'ICS2'!E38</f>
        <v>MÖNCHHOF</v>
      </c>
      <c r="E110" s="57" t="str">
        <f>'ICS2'!H38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'ICS2'!I130</f>
        <v>Camp</v>
      </c>
      <c r="B111" s="103">
        <f>'ICS2'!B130</f>
        <v>46321</v>
      </c>
      <c r="C111" s="104">
        <f>'ICS2'!C130</f>
        <v>0.375</v>
      </c>
      <c r="D111" s="57" t="str">
        <f>'ICS2'!E130</f>
        <v>NEUFELD</v>
      </c>
      <c r="E111" s="57" t="str">
        <f>'ICS2'!H130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'ICS2'!I40</f>
        <v>U23</v>
      </c>
      <c r="B112" s="103">
        <f>'ICS2'!B40</f>
        <v>46284</v>
      </c>
      <c r="C112" s="104">
        <f>'ICS2'!C40</f>
        <v>0.58333333333333337</v>
      </c>
      <c r="D112" s="57" t="str">
        <f>'ICS2'!E40</f>
        <v>GATTENDORF</v>
      </c>
      <c r="E112" s="57" t="str">
        <f>'ICS2'!H40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'ICS2'!I131</f>
        <v>Camp</v>
      </c>
      <c r="B113" s="103">
        <f>'ICS2'!B131</f>
        <v>46322</v>
      </c>
      <c r="C113" s="104">
        <f>'ICS2'!C131</f>
        <v>0.375</v>
      </c>
      <c r="D113" s="57" t="str">
        <f>'ICS2'!E131</f>
        <v>NEUFELD</v>
      </c>
      <c r="E113" s="57" t="str">
        <f>'ICS2'!H131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'ICS2'!I42</f>
        <v>U23</v>
      </c>
      <c r="B114" s="103">
        <f>'ICS2'!B42</f>
        <v>46298</v>
      </c>
      <c r="C114" s="104">
        <f>'ICS2'!C42</f>
        <v>0.70833333333333337</v>
      </c>
      <c r="D114" s="57" t="str">
        <f>'ICS2'!E42</f>
        <v>SIEGENDORF</v>
      </c>
      <c r="E114" s="57" t="str">
        <f>'ICS2'!H42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'ICS2'!I132</f>
        <v>Camp</v>
      </c>
      <c r="B115" s="103">
        <f>'ICS2'!B132</f>
        <v>46323</v>
      </c>
      <c r="C115" s="104">
        <f>'ICS2'!C132</f>
        <v>0.375</v>
      </c>
      <c r="D115" s="57" t="str">
        <f>'ICS2'!E132</f>
        <v>NEUFELD</v>
      </c>
      <c r="E115" s="57" t="str">
        <f>'ICS2'!H132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'ICS2'!I44</f>
        <v>U23</v>
      </c>
      <c r="B116" s="103">
        <f>'ICS2'!B44</f>
        <v>46311</v>
      </c>
      <c r="C116" s="104">
        <f>'ICS2'!C44</f>
        <v>0.72916666666666663</v>
      </c>
      <c r="D116" s="57" t="str">
        <f>'ICS2'!E44</f>
        <v>HORNSTEIN</v>
      </c>
      <c r="E116" s="57" t="str">
        <f>'ICS2'!H44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'ICS2'!I110</f>
        <v>U9</v>
      </c>
      <c r="B117" s="121">
        <f>'ICS2'!B110</f>
        <v>46326</v>
      </c>
      <c r="C117" s="122">
        <f>'ICS2'!C110</f>
        <v>0.4375</v>
      </c>
      <c r="D117" s="120" t="str">
        <f>'ICS2'!E110</f>
        <v>NEUFELD</v>
      </c>
      <c r="E117" s="120" t="str">
        <f>'ICS2'!H110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'ICS2'!I46</f>
        <v>U23</v>
      </c>
      <c r="B118" s="103">
        <f>'ICS2'!B46</f>
        <v>46326</v>
      </c>
      <c r="C118" s="104">
        <f>'ICS2'!C46</f>
        <v>0.66666666666666663</v>
      </c>
      <c r="D118" s="57" t="str">
        <f>'ICS2'!E46</f>
        <v>ILLMITZ</v>
      </c>
      <c r="E118" s="57" t="str">
        <f>'ICS2'!H46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'ICS2'!I76</f>
        <v>U12_1</v>
      </c>
      <c r="B119" s="121">
        <f>'ICS2'!B76</f>
        <v>46326</v>
      </c>
      <c r="C119" s="122">
        <f>'ICS2'!C76</f>
        <v>0.52083333333333337</v>
      </c>
      <c r="D119" s="120" t="str">
        <f>'ICS2'!E76</f>
        <v>NEUFELD</v>
      </c>
      <c r="E119" s="120" t="str">
        <f>'ICS2'!H76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'ICS2'!I117</f>
        <v>U7</v>
      </c>
      <c r="B120" s="110">
        <f>'ICS2'!B117</f>
        <v>0</v>
      </c>
      <c r="C120" s="111">
        <f>'ICS2'!C117</f>
        <v>0</v>
      </c>
      <c r="D120" s="109" t="str">
        <f>'ICS2'!E117</f>
        <v/>
      </c>
      <c r="E120" s="109">
        <f>'ICS2'!H117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'ICS2'!I118</f>
        <v>U7</v>
      </c>
      <c r="B121" s="103">
        <f>'ICS2'!B118</f>
        <v>0</v>
      </c>
      <c r="C121" s="104">
        <f>'ICS2'!C118</f>
        <v>0</v>
      </c>
      <c r="D121" s="57" t="str">
        <f>'ICS2'!E118</f>
        <v/>
      </c>
      <c r="E121" s="57">
        <f>'ICS2'!H118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'ICS2'!I119</f>
        <v>U7</v>
      </c>
      <c r="B122" s="103">
        <f>'ICS2'!B119</f>
        <v>0</v>
      </c>
      <c r="C122" s="104">
        <f>'ICS2'!C119</f>
        <v>0</v>
      </c>
      <c r="D122" s="57" t="str">
        <f>'ICS2'!E119</f>
        <v/>
      </c>
      <c r="E122" s="57">
        <f>'ICS2'!H119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'ICS2'!I120</f>
        <v>U7</v>
      </c>
      <c r="B123" s="103">
        <f>'ICS2'!B120</f>
        <v>0</v>
      </c>
      <c r="C123" s="104">
        <f>'ICS2'!C120</f>
        <v>0</v>
      </c>
      <c r="D123" s="57" t="str">
        <f>'ICS2'!E120</f>
        <v/>
      </c>
      <c r="E123" s="57">
        <f>'ICS2'!H120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'ICS2'!I121</f>
        <v>U7</v>
      </c>
      <c r="B124" s="103">
        <f>'ICS2'!B121</f>
        <v>0</v>
      </c>
      <c r="C124" s="104">
        <f>'ICS2'!C121</f>
        <v>0</v>
      </c>
      <c r="D124" s="57" t="str">
        <f>'ICS2'!E121</f>
        <v/>
      </c>
      <c r="E124" s="57">
        <f>'ICS2'!H121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'ICS2'!I115</f>
        <v>U8</v>
      </c>
      <c r="B125" s="103">
        <f>'ICS2'!B115</f>
        <v>46091</v>
      </c>
      <c r="C125" s="104">
        <f>'ICS2'!C115</f>
        <v>0</v>
      </c>
      <c r="D125" s="57" t="str">
        <f>'ICS2'!E115</f>
        <v>HORNSTEIN</v>
      </c>
      <c r="E125" s="57" t="str">
        <f>'ICS2'!H115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'ICS2'!I56</f>
        <v>U16</v>
      </c>
      <c r="B126" s="121">
        <f>'ICS2'!B56</f>
        <v>46326</v>
      </c>
      <c r="C126" s="122">
        <f>'ICS2'!C56</f>
        <v>0.60416666666666663</v>
      </c>
      <c r="D126" s="120" t="str">
        <f>'ICS2'!E56</f>
        <v>NEUFELD</v>
      </c>
      <c r="E126" s="120" t="str">
        <f>'ICS2'!H56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'ICS2'!I87</f>
        <v>U12_2</v>
      </c>
      <c r="B127" s="118">
        <f>'ICS2'!B87</f>
        <v>46332</v>
      </c>
      <c r="C127" s="119">
        <f>'ICS2'!C87</f>
        <v>0.70833333333333337</v>
      </c>
      <c r="D127" s="117" t="str">
        <f>'ICS2'!E87</f>
        <v>STEINBRUNN</v>
      </c>
      <c r="E127" s="117" t="str">
        <f>'ICS2'!H87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'ICS2'!I114</f>
        <v>U8</v>
      </c>
      <c r="B128" s="103">
        <f>'ICS2'!B114</f>
        <v>46291</v>
      </c>
      <c r="C128" s="104">
        <f>'ICS2'!C114</f>
        <v>0</v>
      </c>
      <c r="D128" s="57" t="str">
        <f>'ICS2'!E114</f>
        <v>LEITHAPRODERSDORF</v>
      </c>
      <c r="E128" s="57" t="str">
        <f>'ICS2'!H114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'ICS2'!I47</f>
        <v>U23</v>
      </c>
      <c r="B129" s="121">
        <f>'ICS2'!B47</f>
        <v>46333</v>
      </c>
      <c r="C129" s="122">
        <f>'ICS2'!C47</f>
        <v>0.60416666666666663</v>
      </c>
      <c r="D129" s="120" t="str">
        <f>'ICS2'!E47</f>
        <v>NEUFELD</v>
      </c>
      <c r="E129" s="120" t="str">
        <f>'ICS2'!H47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'ICS2'!I34</f>
        <v>KM</v>
      </c>
      <c r="B130" s="121">
        <f>'ICS2'!B34</f>
        <v>46333</v>
      </c>
      <c r="C130" s="122">
        <f>'ICS2'!C34</f>
        <v>0.6875</v>
      </c>
      <c r="D130" s="120" t="str">
        <f>'ICS2'!E34</f>
        <v>NEUFELD</v>
      </c>
      <c r="E130" s="120" t="str">
        <f>'ICS2'!H34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'ICS2'!I58</f>
        <v>U16</v>
      </c>
      <c r="B131" s="121">
        <f>'ICS2'!B58</f>
        <v>46340</v>
      </c>
      <c r="C131" s="122">
        <f>'ICS2'!C58</f>
        <v>0.45833333333333331</v>
      </c>
      <c r="D131" s="120" t="str">
        <f>'ICS2'!E58</f>
        <v>NEUFELD</v>
      </c>
      <c r="E131" s="120" t="str">
        <f>'ICS2'!H58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'ICS2'!I104</f>
        <v>U9</v>
      </c>
      <c r="B132" s="103">
        <f>'ICS2'!B104</f>
        <v>46283</v>
      </c>
      <c r="C132" s="104">
        <f>'ICS2'!C104</f>
        <v>0</v>
      </c>
      <c r="D132" s="57" t="str">
        <f>'ICS2'!E104</f>
        <v/>
      </c>
      <c r="E132" s="57" t="str">
        <f>'ICS2'!H104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'ICS2'!I105</f>
        <v>U9</v>
      </c>
      <c r="B133" s="103">
        <f>'ICS2'!B105</f>
        <v>46291</v>
      </c>
      <c r="C133" s="104">
        <f>'ICS2'!C105</f>
        <v>0.41666666666666669</v>
      </c>
      <c r="D133" s="57" t="str">
        <f>'ICS2'!E105</f>
        <v>EISENSTADT</v>
      </c>
      <c r="E133" s="57" t="str">
        <f>'ICS2'!H105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'ICS2'!I137</f>
        <v>Weihnachtsfeier</v>
      </c>
      <c r="B134" s="110">
        <f>'ICS2'!B137</f>
        <v>46359</v>
      </c>
      <c r="C134" s="111">
        <f>'ICS2'!C137</f>
        <v>0.70833333333333337</v>
      </c>
      <c r="D134" s="109" t="str">
        <f>'ICS2'!E137</f>
        <v>STEINBRUNN</v>
      </c>
      <c r="E134" s="109" t="str">
        <f>'ICS2'!H137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'ICS2'!I134</f>
        <v>Turnier</v>
      </c>
      <c r="B135" s="103">
        <f>'ICS2'!B134</f>
        <v>46367</v>
      </c>
      <c r="C135" s="104">
        <f>'ICS2'!C134</f>
        <v>0.6875</v>
      </c>
      <c r="D135" s="57" t="str">
        <f>'ICS2'!E134</f>
        <v>STEINBRUNN</v>
      </c>
      <c r="E135" s="57" t="str">
        <f>'ICS2'!H134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'ICS2'!I135</f>
        <v>Turnier</v>
      </c>
      <c r="B136" s="110">
        <f>'ICS2'!B135</f>
        <v>46368</v>
      </c>
      <c r="C136" s="111">
        <f>'ICS2'!C135</f>
        <v>0.35416666666666669</v>
      </c>
      <c r="D136" s="109" t="str">
        <f>'ICS2'!E135</f>
        <v>STEINBRUNN</v>
      </c>
      <c r="E136" s="109" t="str">
        <f>'ICS2'!H135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'ICS2'!I109</f>
        <v>U9</v>
      </c>
      <c r="B137" s="103">
        <f>'ICS2'!B109</f>
        <v>46318</v>
      </c>
      <c r="C137" s="104">
        <f>'ICS2'!C109</f>
        <v>0</v>
      </c>
      <c r="D137" s="57" t="str">
        <f>'ICS2'!E109</f>
        <v/>
      </c>
      <c r="E137" s="57" t="str">
        <f>'ICS2'!H109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'ICS2'!I136</f>
        <v>Turnier</v>
      </c>
      <c r="B138" s="110">
        <f>'ICS2'!B136</f>
        <v>46369</v>
      </c>
      <c r="C138" s="111">
        <f>'ICS2'!C136</f>
        <v>0.375</v>
      </c>
      <c r="D138" s="109" t="str">
        <f>'ICS2'!E136</f>
        <v>STEINBRUNN</v>
      </c>
      <c r="E138" s="109" t="str">
        <f>'ICS2'!H136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'ICS2'!I111</f>
        <v>U9</v>
      </c>
      <c r="B139" s="114">
        <f>'ICS2'!B111</f>
        <v>46332</v>
      </c>
      <c r="C139" s="115">
        <f>'ICS2'!C111</f>
        <v>0</v>
      </c>
      <c r="D139" s="113" t="str">
        <f>'ICS2'!E111</f>
        <v>HORNSTEIN</v>
      </c>
      <c r="E139" s="113" t="str">
        <f>'ICS2'!H111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'ICS2'!I138</f>
        <v>Turnier</v>
      </c>
      <c r="B140" s="103">
        <f>'ICS2'!B138</f>
        <v>46402</v>
      </c>
      <c r="C140" s="104">
        <f>'ICS2'!C138</f>
        <v>0.6875</v>
      </c>
      <c r="D140" s="57" t="str">
        <f>'ICS2'!E138</f>
        <v>STEINBRUNN</v>
      </c>
      <c r="E140" s="57" t="str">
        <f>'ICS2'!H138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sortiert'!C55</f>
        <v>U16</v>
      </c>
      <c r="B141" s="125">
        <f>'Nach Mannschaften sortiert'!D55</f>
        <v>46320</v>
      </c>
      <c r="C141" s="126">
        <f>'Nach Mannschaften sortiert'!E55</f>
        <v>0</v>
      </c>
      <c r="D141" s="124">
        <f>'Nach Mannschaften sortiert'!F55</f>
        <v>0</v>
      </c>
      <c r="E141" s="124" t="str">
        <f>'Nach Mannschaften sortiert'!G55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'ICS2'!I139</f>
        <v>Turnier</v>
      </c>
      <c r="B142" s="103">
        <f>'ICS2'!B139</f>
        <v>46403</v>
      </c>
      <c r="C142" s="104">
        <f>'ICS2'!C139</f>
        <v>0.35416666666666669</v>
      </c>
      <c r="D142" s="57" t="str">
        <f>'ICS2'!E139</f>
        <v>STEINBRUNN</v>
      </c>
      <c r="E142" s="57" t="str">
        <f>'ICS2'!H139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sortiert'!C57</f>
        <v>U16</v>
      </c>
      <c r="B143" s="125">
        <f>'Nach Mannschaften sortiert'!D57</f>
        <v>46334</v>
      </c>
      <c r="C143" s="126">
        <f>'Nach Mannschaften sortiert'!E57</f>
        <v>0</v>
      </c>
      <c r="D143" s="124" t="str">
        <f>'Nach Mannschaften sortiert'!F57</f>
        <v>Eisenstadt</v>
      </c>
      <c r="E143" s="124" t="str">
        <f>'Nach Mannschaften sortiert'!G57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'ICS2'!I140</f>
        <v>Turnier</v>
      </c>
      <c r="B144" s="103">
        <f>'ICS2'!B140</f>
        <v>46404</v>
      </c>
      <c r="C144" s="104">
        <f>'ICS2'!C140</f>
        <v>0.375</v>
      </c>
      <c r="D144" s="57" t="str">
        <f>'ICS2'!E140</f>
        <v>STEINBRUNN</v>
      </c>
      <c r="E144" s="57" t="str">
        <f>'ICS2'!H140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5" t="s">
        <v>115</v>
      </c>
      <c r="B1" s="136"/>
      <c r="C1" s="136"/>
      <c r="D1" s="136"/>
      <c r="E1" s="136"/>
      <c r="F1" s="136"/>
      <c r="G1" s="136"/>
      <c r="H1" s="136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0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1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1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1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1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1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1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1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1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2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3" t="s">
        <v>150</v>
      </c>
      <c r="B15" s="128"/>
      <c r="C15" s="128"/>
      <c r="D15" s="128"/>
      <c r="E15" s="128"/>
      <c r="F15" s="128"/>
      <c r="G15" s="128"/>
      <c r="H15" s="129"/>
    </row>
    <row r="16" spans="1:10" ht="16.95" customHeight="1" thickTop="1" thickBot="1" x14ac:dyDescent="0.35">
      <c r="A16" s="134" t="s">
        <v>151</v>
      </c>
      <c r="B16" s="128"/>
      <c r="C16" s="128"/>
      <c r="D16" s="128"/>
      <c r="E16" s="128"/>
      <c r="F16" s="128"/>
      <c r="G16" s="128"/>
      <c r="H16" s="129"/>
    </row>
    <row r="17" spans="1:8" ht="16.95" customHeight="1" thickTop="1" thickBot="1" x14ac:dyDescent="0.35">
      <c r="A17" s="137" t="s">
        <v>152</v>
      </c>
      <c r="B17" s="128"/>
      <c r="C17" s="128"/>
      <c r="D17" s="128"/>
      <c r="E17" s="128"/>
      <c r="F17" s="128"/>
      <c r="G17" s="128"/>
      <c r="H17" s="129"/>
    </row>
    <row r="18" spans="1:8" ht="16.95" customHeight="1" thickTop="1" thickBot="1" x14ac:dyDescent="0.35">
      <c r="A18" s="127" t="s">
        <v>153</v>
      </c>
      <c r="B18" s="128"/>
      <c r="C18" s="128"/>
      <c r="D18" s="128"/>
      <c r="E18" s="128"/>
      <c r="F18" s="128"/>
      <c r="G18" s="128"/>
      <c r="H18" s="129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5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5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5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sortiert'!A59</f>
        <v>58</v>
      </c>
      <c r="B5" s="54">
        <f>'Nach Mannschaften sortiert'!B59</f>
        <v>1</v>
      </c>
      <c r="C5" s="54" t="str">
        <f>'Nach Mannschaften sortiert'!C59</f>
        <v>U14</v>
      </c>
      <c r="D5" s="55">
        <f>'Nach Mannschaften sortiert'!D59</f>
        <v>46271</v>
      </c>
      <c r="E5" s="95">
        <f>'Nach Mannschaften sortiert'!E59</f>
        <v>0.625</v>
      </c>
      <c r="F5" s="54" t="str">
        <f>'Nach Mannschaften sortiert'!F59</f>
        <v>Großhöflein</v>
      </c>
      <c r="G5" s="54" t="str">
        <f>'Nach Mannschaften sortiert'!G59</f>
        <v>St. Georgen/Eisenstadt</v>
      </c>
      <c r="H5" s="54" t="str">
        <f>'Nach Mannschaften sortiert'!H59</f>
        <v>Heim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5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>
        <f>'Nach Mannschaften sortiert'!A68</f>
        <v>67</v>
      </c>
      <c r="B7" s="54">
        <f>'Nach Mannschaften sortiert'!B68</f>
        <v>1</v>
      </c>
      <c r="C7" s="54" t="str">
        <f>'Nach Mannschaften sortiert'!C68</f>
        <v>U12_1</v>
      </c>
      <c r="D7" s="55">
        <f>'Nach Mannschaften sortiert'!D68</f>
        <v>46269</v>
      </c>
      <c r="E7" s="95">
        <f>'Nach Mannschaften sortiert'!E68</f>
        <v>0</v>
      </c>
      <c r="F7" s="54" t="str">
        <f>'Nach Mannschaften sortiert'!F68</f>
        <v>Steinbrunn</v>
      </c>
      <c r="G7" s="54" t="str">
        <f>'Nach Mannschaften sortiert'!G68</f>
        <v>Stotzing</v>
      </c>
      <c r="H7" s="54" t="str">
        <f>'Nach Mannschaften sortiert'!H68</f>
        <v>Heim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5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>
        <f>'Nach Mannschaften sortiert'!A122</f>
        <v>121</v>
      </c>
      <c r="B9" s="52">
        <f>'Nach Mannschaften sortiert'!B122</f>
        <v>1</v>
      </c>
      <c r="C9" s="52" t="str">
        <f>'Nach Mannschaften sortiert'!C122</f>
        <v>Camp</v>
      </c>
      <c r="D9" s="53">
        <f>'Nach Mannschaften sortiert'!D122</f>
        <v>46230</v>
      </c>
      <c r="E9" s="96">
        <f>'Nach Mannschaften sortiert'!E122</f>
        <v>0.375</v>
      </c>
      <c r="F9" s="52" t="str">
        <f>'Nach Mannschaften sortiert'!F122</f>
        <v>Neufeld</v>
      </c>
      <c r="G9" s="52" t="str">
        <f>'Nach Mannschaften sortiert'!G122</f>
        <v>REAL MADRID CAMP</v>
      </c>
      <c r="H9" s="52" t="str">
        <f>'Nach Mannschaften sortiert'!H122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5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>
        <f>'Nach Mannschaften sortiert'!A123</f>
        <v>122</v>
      </c>
      <c r="B11" s="52">
        <f>'Nach Mannschaften sortiert'!B123</f>
        <v>2</v>
      </c>
      <c r="C11" s="52" t="str">
        <f>'Nach Mannschaften sortiert'!C123</f>
        <v>Camp</v>
      </c>
      <c r="D11" s="53">
        <f>'Nach Mannschaften sortiert'!D123</f>
        <v>46231</v>
      </c>
      <c r="E11" s="96">
        <f>'Nach Mannschaften sortiert'!E123</f>
        <v>0.375</v>
      </c>
      <c r="F11" s="52" t="str">
        <f>'Nach Mannschaften sortiert'!F123</f>
        <v>Neufeld</v>
      </c>
      <c r="G11" s="52" t="str">
        <f>'Nach Mannschaften sortiert'!G123</f>
        <v>REAL MADRID CAMP</v>
      </c>
      <c r="H11" s="52" t="str">
        <f>'Nach Mannschaften sortiert'!H123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5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5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>
        <f>'Nach Mannschaften sortiert'!A124</f>
        <v>123</v>
      </c>
      <c r="B14" s="52">
        <f>'Nach Mannschaften sortiert'!B124</f>
        <v>3</v>
      </c>
      <c r="C14" s="52" t="str">
        <f>'Nach Mannschaften sortiert'!C124</f>
        <v>Camp</v>
      </c>
      <c r="D14" s="53">
        <f>'Nach Mannschaften sortiert'!D124</f>
        <v>46232</v>
      </c>
      <c r="E14" s="96">
        <f>'Nach Mannschaften sortiert'!E124</f>
        <v>0.375</v>
      </c>
      <c r="F14" s="52" t="str">
        <f>'Nach Mannschaften sortiert'!F124</f>
        <v>Neufeld</v>
      </c>
      <c r="G14" s="52" t="str">
        <f>'Nach Mannschaften sortiert'!G124</f>
        <v>REAL MADRID CAMP</v>
      </c>
      <c r="H14" s="52" t="str">
        <f>'Nach Mannschaften sortiert'!H124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46271</v>
      </c>
      <c r="E15" s="95">
        <f>'Nach Mannschaften sortiert'!E48</f>
        <v>0</v>
      </c>
      <c r="F15" s="54">
        <f>'Nach Mannschaften sortiert'!F48</f>
        <v>0</v>
      </c>
      <c r="G15" s="54" t="str">
        <f>'Nach Mannschaften sortiert'!G48</f>
        <v>Spielfrei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46278</v>
      </c>
      <c r="E16" s="97">
        <f>'Nach Mannschaften sortiert'!E49</f>
        <v>0</v>
      </c>
      <c r="F16" s="48" t="str">
        <f>'Nach Mannschaften sortiert'!F49</f>
        <v>Gols</v>
      </c>
      <c r="G16" s="48" t="str">
        <f>'Nach Mannschaften sortiert'!G49</f>
        <v>GMWP</v>
      </c>
      <c r="H16" s="48" t="str">
        <f>'Nach Mannschaften sortiert'!H49</f>
        <v>Auswärts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46284</v>
      </c>
      <c r="E17" s="95">
        <f>'Nach Mannschaften sortiert'!E50</f>
        <v>0.70833333333333337</v>
      </c>
      <c r="F17" s="54" t="str">
        <f>'Nach Mannschaften sortiert'!F50</f>
        <v>Wimpassing</v>
      </c>
      <c r="G17" s="54" t="str">
        <f>'Nach Mannschaften sortiert'!G50</f>
        <v>Eisenstadt</v>
      </c>
      <c r="H17" s="54" t="str">
        <f>'Nach Mannschaften sortiert'!H50</f>
        <v>Heim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5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46298</v>
      </c>
      <c r="E19" s="95">
        <f>'Nach Mannschaften sortiert'!E52</f>
        <v>0.58333333333333337</v>
      </c>
      <c r="F19" s="54" t="str">
        <f>'Nach Mannschaften sortiert'!F52</f>
        <v>Neufeld</v>
      </c>
      <c r="G19" s="54" t="str">
        <f>'Nach Mannschaften sortiert'!G52</f>
        <v>Neusiedl</v>
      </c>
      <c r="H19" s="54" t="str">
        <f>'Nach Mannschaften sortiert'!H52</f>
        <v>Heim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46305</v>
      </c>
      <c r="E20" s="98">
        <f>'Nach Mannschaften sortiert'!E53</f>
        <v>0.66666666666666663</v>
      </c>
      <c r="F20" s="46" t="str">
        <f>'Nach Mannschaften sortiert'!F53</f>
        <v>Neufeld</v>
      </c>
      <c r="G20" s="46" t="str">
        <f>'Nach Mannschaften sortiert'!G53</f>
        <v>Parndorf</v>
      </c>
      <c r="H20" s="46" t="str">
        <f>'Nach Mannschaften sortiert'!H53</f>
        <v>Heim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46313</v>
      </c>
      <c r="E21" s="95">
        <f>'Nach Mannschaften sortiert'!E54</f>
        <v>0</v>
      </c>
      <c r="F21" s="54" t="str">
        <f>'Nach Mannschaften sortiert'!F54</f>
        <v>St. Georgen</v>
      </c>
      <c r="G21" s="54" t="str">
        <f>'Nach Mannschaften sortiert'!G54</f>
        <v>St. Georgen/Eisenstadt</v>
      </c>
      <c r="H21" s="54" t="str">
        <f>'Nach Mannschaften sortiert'!H54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sortiert'!A102</f>
        <v>101</v>
      </c>
      <c r="B24" s="50">
        <f>'Nach Mannschaften sortiert'!B102</f>
        <v>1</v>
      </c>
      <c r="C24" s="50" t="str">
        <f>'Nach Mannschaften sortiert'!C102</f>
        <v>U9</v>
      </c>
      <c r="D24" s="51">
        <f>'Nach Mannschaften sortiert'!D102</f>
        <v>46269</v>
      </c>
      <c r="E24" s="99">
        <f>'Nach Mannschaften sortiert'!E102</f>
        <v>0</v>
      </c>
      <c r="F24" s="50" t="str">
        <f>'Nach Mannschaften sortiert'!F102</f>
        <v>Großhöflein</v>
      </c>
      <c r="G24" s="50" t="str">
        <f>'Nach Mannschaften sortiert'!G102</f>
        <v>Großhöflein</v>
      </c>
      <c r="H24" s="50" t="str">
        <f>'Nach Mannschaften sortiert'!H102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sortiert'!A112</f>
        <v>111</v>
      </c>
      <c r="B26" s="50">
        <f>'Nach Mannschaften sortiert'!B112</f>
        <v>1</v>
      </c>
      <c r="C26" s="50" t="str">
        <f>'Nach Mannschaften sortiert'!C112</f>
        <v>U8</v>
      </c>
      <c r="D26" s="51">
        <f>'Nach Mannschaften sortiert'!D112</f>
        <v>46312</v>
      </c>
      <c r="E26" s="99">
        <f>'Nach Mannschaften sortiert'!E112</f>
        <v>0.39583333333333331</v>
      </c>
      <c r="F26" s="50" t="str">
        <f>'Nach Mannschaften sortiert'!F112</f>
        <v>Neufeld</v>
      </c>
      <c r="G26" s="50" t="str">
        <f>'Nach Mannschaften sortiert'!G112</f>
        <v>Heimturnier</v>
      </c>
      <c r="H26" s="50" t="str">
        <f>'Nach Mannschaften sortiert'!H112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sortiert'!A117</f>
        <v>116</v>
      </c>
      <c r="B29" s="50">
        <f>'Nach Mannschaften sortiert'!B117</f>
        <v>1</v>
      </c>
      <c r="C29" s="50" t="str">
        <f>'Nach Mannschaften sortiert'!C117</f>
        <v>U7</v>
      </c>
      <c r="D29" s="51">
        <f>'Nach Mannschaften sortiert'!D117</f>
        <v>0</v>
      </c>
      <c r="E29" s="99">
        <f>'Nach Mannschaften sortiert'!E117</f>
        <v>0</v>
      </c>
      <c r="F29" s="50">
        <f>'Nach Mannschaften sortiert'!F117</f>
        <v>0</v>
      </c>
      <c r="G29" s="50">
        <f>'Nach Mannschaften sortiert'!G117</f>
        <v>0</v>
      </c>
      <c r="H29" s="50">
        <f>'Nach Mannschaften sortiert'!H117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sortiert'!A89</f>
        <v>88</v>
      </c>
      <c r="B35" s="50">
        <f>'Nach Mannschaften sortiert'!B89</f>
        <v>2</v>
      </c>
      <c r="C35" s="50" t="str">
        <f>'Nach Mannschaften sortiert'!C89</f>
        <v>U11</v>
      </c>
      <c r="D35" s="51">
        <f>'Nach Mannschaften sortiert'!D89</f>
        <v>46276</v>
      </c>
      <c r="E35" s="99">
        <f>'Nach Mannschaften sortiert'!E89</f>
        <v>0</v>
      </c>
      <c r="F35" s="50" t="str">
        <f>'Nach Mannschaften sortiert'!F89</f>
        <v>Hornstein</v>
      </c>
      <c r="G35" s="50" t="str">
        <f>'Nach Mannschaften sortiert'!G89</f>
        <v>Hornstein</v>
      </c>
      <c r="H35" s="50" t="str">
        <f>'Nach Mannschaften sortiert'!H89</f>
        <v>Auswärts</v>
      </c>
    </row>
    <row r="36" spans="1:8" hidden="1" x14ac:dyDescent="0.3">
      <c r="A36" s="54">
        <f>'Nach Mannschaften sortiert'!A60</f>
        <v>59</v>
      </c>
      <c r="B36" s="54">
        <f>'Nach Mannschaften sortiert'!B60</f>
        <v>2</v>
      </c>
      <c r="C36" s="54" t="str">
        <f>'Nach Mannschaften sortiert'!C60</f>
        <v>U14</v>
      </c>
      <c r="D36" s="55">
        <f>'Nach Mannschaften sortiert'!D60</f>
        <v>46278</v>
      </c>
      <c r="E36" s="95">
        <f>'Nach Mannschaften sortiert'!E60</f>
        <v>0.625</v>
      </c>
      <c r="F36" s="54" t="str">
        <f>'Nach Mannschaften sortiert'!F60</f>
        <v>Neudörfl</v>
      </c>
      <c r="G36" s="54" t="str">
        <f>'Nach Mannschaften sortiert'!G60</f>
        <v>Neudörfl</v>
      </c>
      <c r="H36" s="54" t="str">
        <f>'Nach Mannschaften sortiert'!H60</f>
        <v>Auswärts</v>
      </c>
    </row>
    <row r="37" spans="1:8" hidden="1" x14ac:dyDescent="0.3">
      <c r="A37" s="54">
        <f>'Nach Mannschaften sortiert'!A61</f>
        <v>60</v>
      </c>
      <c r="B37" s="54">
        <f>'Nach Mannschaften sortiert'!B61</f>
        <v>3</v>
      </c>
      <c r="C37" s="54" t="str">
        <f>'Nach Mannschaften sortiert'!C61</f>
        <v>U14</v>
      </c>
      <c r="D37" s="55">
        <f>'Nach Mannschaften sortiert'!D61</f>
        <v>46284</v>
      </c>
      <c r="E37" s="95">
        <f>'Nach Mannschaften sortiert'!E61</f>
        <v>0.52083333333333337</v>
      </c>
      <c r="F37" s="54" t="str">
        <f>'Nach Mannschaften sortiert'!F61</f>
        <v>Neufeld</v>
      </c>
      <c r="G37" s="54" t="str">
        <f>'Nach Mannschaften sortiert'!G61</f>
        <v>Parndorf</v>
      </c>
      <c r="H37" s="54" t="str">
        <f>'Nach Mannschaften sortiert'!H61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sortiert'!A63</f>
        <v>62</v>
      </c>
      <c r="B40" s="54">
        <f>'Nach Mannschaften sortiert'!B63</f>
        <v>5</v>
      </c>
      <c r="C40" s="54" t="str">
        <f>'Nach Mannschaften sortiert'!C63</f>
        <v>U14</v>
      </c>
      <c r="D40" s="55">
        <f>'Nach Mannschaften sortiert'!D63</f>
        <v>46299</v>
      </c>
      <c r="E40" s="95">
        <f>'Nach Mannschaften sortiert'!E63</f>
        <v>0.625</v>
      </c>
      <c r="F40" s="54" t="str">
        <f>'Nach Mannschaften sortiert'!F63</f>
        <v>Draßburg</v>
      </c>
      <c r="G40" s="54" t="str">
        <f>'Nach Mannschaften sortiert'!G63</f>
        <v>SPG Draßburg/ZSP/Kemeten</v>
      </c>
      <c r="H40" s="54" t="str">
        <f>'Nach Mannschaften sortiert'!H63</f>
        <v>Auswärts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7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>
        <f>'Nach Mannschaften sortiert'!A93</f>
        <v>92</v>
      </c>
      <c r="B42" s="54">
        <f>'Nach Mannschaften sortiert'!B93</f>
        <v>6</v>
      </c>
      <c r="C42" s="54" t="str">
        <f>'Nach Mannschaften sortiert'!C93</f>
        <v>U11</v>
      </c>
      <c r="D42" s="55">
        <f>'Nach Mannschaften sortiert'!D93</f>
        <v>46304</v>
      </c>
      <c r="E42" s="95">
        <f>'Nach Mannschaften sortiert'!E93</f>
        <v>0</v>
      </c>
      <c r="F42" s="54" t="str">
        <f>'Nach Mannschaften sortiert'!F93</f>
        <v>Leithaprodersdorf</v>
      </c>
      <c r="G42" s="54" t="str">
        <f>'Nach Mannschaften sortiert'!G93</f>
        <v>Leithaprodersdorf</v>
      </c>
      <c r="H42" s="54" t="str">
        <f>'Nach Mannschaften sortiert'!H93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sortiert'!A70</f>
        <v>69</v>
      </c>
      <c r="B44" s="50">
        <f>'Nach Mannschaften sortiert'!B70</f>
        <v>3</v>
      </c>
      <c r="C44" s="50" t="str">
        <f>'Nach Mannschaften sortiert'!C70</f>
        <v>U12_1</v>
      </c>
      <c r="D44" s="51">
        <f>'Nach Mannschaften sortiert'!D70</f>
        <v>46284</v>
      </c>
      <c r="E44" s="99">
        <f>'Nach Mannschaften sortiert'!E70</f>
        <v>0.4375</v>
      </c>
      <c r="F44" s="50" t="str">
        <f>'Nach Mannschaften sortiert'!F70</f>
        <v>Neufeld</v>
      </c>
      <c r="G44" s="50" t="str">
        <f>'Nach Mannschaften sortiert'!G70</f>
        <v>Leithaprodersdorf</v>
      </c>
      <c r="H44" s="50" t="str">
        <f>'Nach Mannschaften sortiert'!H70</f>
        <v>Heim</v>
      </c>
    </row>
    <row r="45" spans="1:8" x14ac:dyDescent="0.3">
      <c r="A45" s="50">
        <f>'Nach Mannschaften sortiert'!A62</f>
        <v>61</v>
      </c>
      <c r="B45" s="50">
        <f>'Nach Mannschaften sortiert'!B62</f>
        <v>4</v>
      </c>
      <c r="C45" s="50" t="str">
        <f>'Nach Mannschaften sortiert'!C62</f>
        <v>U14</v>
      </c>
      <c r="D45" s="51">
        <f>'Nach Mannschaften sortiert'!D62</f>
        <v>46292</v>
      </c>
      <c r="E45" s="99">
        <f>'Nach Mannschaften sortiert'!E62</f>
        <v>0.625</v>
      </c>
      <c r="F45" s="50" t="str">
        <f>'Nach Mannschaften sortiert'!F62</f>
        <v>Großhöflein</v>
      </c>
      <c r="G45" s="50" t="str">
        <f>'Nach Mannschaften sortiert'!G62</f>
        <v>SPG Seewinkel</v>
      </c>
      <c r="H45" s="50" t="str">
        <f>'Nach Mannschaften sortiert'!H62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sortiert'!A69</f>
        <v>68</v>
      </c>
      <c r="B47" s="54">
        <f>'Nach Mannschaften sortiert'!B69</f>
        <v>2</v>
      </c>
      <c r="C47" s="54" t="str">
        <f>'Nach Mannschaften sortiert'!C69</f>
        <v>U12_1</v>
      </c>
      <c r="D47" s="55">
        <f>'Nach Mannschaften sortiert'!D69</f>
        <v>46276</v>
      </c>
      <c r="E47" s="95">
        <f>'Nach Mannschaften sortiert'!E69</f>
        <v>0</v>
      </c>
      <c r="F47" s="54" t="str">
        <f>'Nach Mannschaften sortiert'!F69</f>
        <v>Klingenbach</v>
      </c>
      <c r="G47" s="54" t="str">
        <f>'Nach Mannschaften sortiert'!G69</f>
        <v>SPG Klimpuh Juniors</v>
      </c>
      <c r="H47" s="54" t="str">
        <f>'Nach Mannschaften sortiert'!H69</f>
        <v>Auswärts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46292</v>
      </c>
      <c r="E48" s="97">
        <f>'Nach Mannschaften sortiert'!E51</f>
        <v>0</v>
      </c>
      <c r="F48" s="48" t="str">
        <f>'Nach Mannschaften sortiert'!F51</f>
        <v>Großhöflein</v>
      </c>
      <c r="G48" s="48" t="str">
        <f>'Nach Mannschaften sortiert'!G51</f>
        <v>Großhöflein</v>
      </c>
      <c r="H48" s="48" t="str">
        <f>'Nach Mannschaften sortiert'!H51</f>
        <v>Auswärts</v>
      </c>
    </row>
    <row r="49" spans="1:8" hidden="1" x14ac:dyDescent="0.3">
      <c r="A49" s="54">
        <f>'Nach Mannschaften sortiert'!A71</f>
        <v>70</v>
      </c>
      <c r="B49" s="54">
        <f>'Nach Mannschaften sortiert'!B71</f>
        <v>4</v>
      </c>
      <c r="C49" s="54" t="str">
        <f>'Nach Mannschaften sortiert'!C71</f>
        <v>U12_1</v>
      </c>
      <c r="D49" s="55">
        <f>'Nach Mannschaften sortiert'!D71</f>
        <v>46290</v>
      </c>
      <c r="E49" s="95">
        <f>'Nach Mannschaften sortiert'!E71</f>
        <v>0</v>
      </c>
      <c r="F49" s="54" t="str">
        <f>'Nach Mannschaften sortiert'!F71</f>
        <v>Rust</v>
      </c>
      <c r="G49" s="54" t="str">
        <f>'Nach Mannschaften sortiert'!G71</f>
        <v>SC "muki" Eisenstadt/Rust</v>
      </c>
      <c r="H49" s="54" t="str">
        <f>'Nach Mannschaften sortiert'!H71</f>
        <v>Auswärts</v>
      </c>
    </row>
    <row r="50" spans="1:8" hidden="1" x14ac:dyDescent="0.3">
      <c r="A50" s="54">
        <f>'Nach Mannschaften sortiert'!A72</f>
        <v>71</v>
      </c>
      <c r="B50" s="54">
        <f>'Nach Mannschaften sortiert'!B72</f>
        <v>5</v>
      </c>
      <c r="C50" s="54" t="str">
        <f>'Nach Mannschaften sortiert'!C72</f>
        <v>U12_1</v>
      </c>
      <c r="D50" s="55">
        <f>'Nach Mannschaften sortiert'!D72</f>
        <v>46298</v>
      </c>
      <c r="E50" s="95">
        <f>'Nach Mannschaften sortiert'!E72</f>
        <v>0.5</v>
      </c>
      <c r="F50" s="54" t="str">
        <f>'Nach Mannschaften sortiert'!F72</f>
        <v>Steinbrunn</v>
      </c>
      <c r="G50" s="54" t="str">
        <f>'Nach Mannschaften sortiert'!G72</f>
        <v>Hornstein/Wimpasing</v>
      </c>
      <c r="H50" s="54" t="str">
        <f>'Nach Mannschaften sortiert'!H72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7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>
        <f>'Nach Mannschaften sortiert'!A74</f>
        <v>73</v>
      </c>
      <c r="B53" s="54">
        <f>'Nach Mannschaften sortiert'!B74</f>
        <v>7</v>
      </c>
      <c r="C53" s="54" t="str">
        <f>'Nach Mannschaften sortiert'!C74</f>
        <v>U12_1</v>
      </c>
      <c r="D53" s="55">
        <f>'Nach Mannschaften sortiert'!D74</f>
        <v>46312</v>
      </c>
      <c r="E53" s="95">
        <f>'Nach Mannschaften sortiert'!E74</f>
        <v>0.70833333333333337</v>
      </c>
      <c r="F53" s="54" t="str">
        <f>'Nach Mannschaften sortiert'!F74</f>
        <v>Neufeld</v>
      </c>
      <c r="G53" s="54" t="str">
        <f>'Nach Mannschaften sortiert'!G74</f>
        <v>SPG Klimpuh Juniors</v>
      </c>
      <c r="H53" s="54" t="str">
        <f>'Nach Mannschaften sortiert'!H74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sortiert'!A88</f>
        <v>87</v>
      </c>
      <c r="B55" s="54">
        <f>'Nach Mannschaften sortiert'!B88</f>
        <v>1</v>
      </c>
      <c r="C55" s="54" t="str">
        <f>'Nach Mannschaften sortiert'!C88</f>
        <v>U11</v>
      </c>
      <c r="D55" s="55">
        <f>'Nach Mannschaften sortiert'!D88</f>
        <v>46270</v>
      </c>
      <c r="E55" s="95">
        <f>'Nach Mannschaften sortiert'!E88</f>
        <v>0.41666666666666669</v>
      </c>
      <c r="F55" s="54" t="str">
        <f>'Nach Mannschaften sortiert'!F88</f>
        <v>Steinbrunn</v>
      </c>
      <c r="G55" s="54" t="str">
        <f>'Nach Mannschaften sortiert'!G88</f>
        <v>Leithaprodersdorf</v>
      </c>
      <c r="H55" s="54" t="str">
        <f>'Nach Mannschaften sortiert'!H88</f>
        <v>Heim</v>
      </c>
    </row>
    <row r="56" spans="1:8" x14ac:dyDescent="0.3">
      <c r="A56" s="48">
        <f>'Nach Mannschaften sortiert'!A94</f>
        <v>93</v>
      </c>
      <c r="B56" s="48">
        <f>'Nach Mannschaften sortiert'!B94</f>
        <v>7</v>
      </c>
      <c r="C56" s="48" t="str">
        <f>'Nach Mannschaften sortiert'!C94</f>
        <v>U11</v>
      </c>
      <c r="D56" s="49">
        <f>'Nach Mannschaften sortiert'!D94</f>
        <v>46312</v>
      </c>
      <c r="E56" s="97">
        <f>'Nach Mannschaften sortiert'!E94</f>
        <v>0.54166666666666663</v>
      </c>
      <c r="F56" s="48" t="str">
        <f>'Nach Mannschaften sortiert'!F94</f>
        <v>Neufeld</v>
      </c>
      <c r="G56" s="48" t="str">
        <f>'Nach Mannschaften sortiert'!G94</f>
        <v>Leithaprodersdorf</v>
      </c>
      <c r="H56" s="48" t="str">
        <f>'Nach Mannschaften sortiert'!H94</f>
        <v>Heim</v>
      </c>
    </row>
    <row r="57" spans="1:8" hidden="1" x14ac:dyDescent="0.3">
      <c r="A57" s="54">
        <f>'Nach Mannschaften sortiert'!A91</f>
        <v>90</v>
      </c>
      <c r="B57" s="54">
        <f>'Nach Mannschaften sortiert'!B91</f>
        <v>4</v>
      </c>
      <c r="C57" s="54" t="str">
        <f>'Nach Mannschaften sortiert'!C91</f>
        <v>U11</v>
      </c>
      <c r="D57" s="55">
        <f>'Nach Mannschaften sortiert'!D91</f>
        <v>46292</v>
      </c>
      <c r="E57" s="95">
        <f>'Nach Mannschaften sortiert'!E91</f>
        <v>0.54166666666666663</v>
      </c>
      <c r="F57" s="54" t="str">
        <f>'Nach Mannschaften sortiert'!F91</f>
        <v>Neufeld</v>
      </c>
      <c r="G57" s="54" t="str">
        <f>'Nach Mannschaften sortiert'!G91</f>
        <v>Wulkaprodersdorf</v>
      </c>
      <c r="H57" s="54" t="str">
        <f>'Nach Mannschaften sortiert'!H91</f>
        <v>Heim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7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sortiert'!A66</f>
        <v>65</v>
      </c>
      <c r="B60" s="48">
        <f>'Nach Mannschaften sortiert'!B66</f>
        <v>8</v>
      </c>
      <c r="C60" s="48" t="str">
        <f>'Nach Mannschaften sortiert'!C66</f>
        <v>U14</v>
      </c>
      <c r="D60" s="49">
        <f>'Nach Mannschaften sortiert'!D66</f>
        <v>46320</v>
      </c>
      <c r="E60" s="97">
        <f>'Nach Mannschaften sortiert'!E66</f>
        <v>0.58333333333333337</v>
      </c>
      <c r="F60" s="48" t="str">
        <f>'Nach Mannschaften sortiert'!F66</f>
        <v>Neufeld</v>
      </c>
      <c r="G60" s="48" t="str">
        <f>'Nach Mannschaften sortiert'!G66</f>
        <v>MSV 2020</v>
      </c>
      <c r="H60" s="48" t="str">
        <f>'Nach Mannschaften sortiert'!H66</f>
        <v>Heim</v>
      </c>
    </row>
    <row r="61" spans="1:8" hidden="1" x14ac:dyDescent="0.3">
      <c r="A61" s="54">
        <f>'Nach Mannschaften sortiert'!A95</f>
        <v>94</v>
      </c>
      <c r="B61" s="54">
        <f>'Nach Mannschaften sortiert'!B95</f>
        <v>8</v>
      </c>
      <c r="C61" s="54" t="str">
        <f>'Nach Mannschaften sortiert'!C95</f>
        <v>U11</v>
      </c>
      <c r="D61" s="55">
        <f>'Nach Mannschaften sortiert'!D95</f>
        <v>46318</v>
      </c>
      <c r="E61" s="95">
        <f>'Nach Mannschaften sortiert'!E95</f>
        <v>0</v>
      </c>
      <c r="F61" s="54" t="str">
        <f>'Nach Mannschaften sortiert'!F95</f>
        <v>Hornstein</v>
      </c>
      <c r="G61" s="54" t="str">
        <f>'Nach Mannschaften sortiert'!G95</f>
        <v>Hornstein</v>
      </c>
      <c r="H61" s="54" t="str">
        <f>'Nach Mannschaften sortiert'!H95</f>
        <v>Auswärts</v>
      </c>
    </row>
    <row r="62" spans="1:8" x14ac:dyDescent="0.3">
      <c r="A62" s="46">
        <f>'Nach Mannschaften sortiert'!A67</f>
        <v>66</v>
      </c>
      <c r="B62" s="46">
        <f>'Nach Mannschaften sortiert'!B67</f>
        <v>9</v>
      </c>
      <c r="C62" s="46" t="str">
        <f>'Nach Mannschaften sortiert'!C67</f>
        <v>U14</v>
      </c>
      <c r="D62" s="47">
        <f>'Nach Mannschaften sortiert'!D67</f>
        <v>46327</v>
      </c>
      <c r="E62" s="98">
        <f>'Nach Mannschaften sortiert'!E67</f>
        <v>0.625</v>
      </c>
      <c r="F62" s="46" t="str">
        <f>'Nach Mannschaften sortiert'!F67</f>
        <v>Gols</v>
      </c>
      <c r="G62" s="46" t="str">
        <f>'Nach Mannschaften sortiert'!G67</f>
        <v>GMWP</v>
      </c>
      <c r="H62" s="46" t="str">
        <f>'Nach Mannschaften sortiert'!H67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sortiert'!A96</f>
        <v>95</v>
      </c>
      <c r="B65" s="48">
        <f>'Nach Mannschaften sortiert'!B96</f>
        <v>9</v>
      </c>
      <c r="C65" s="48" t="str">
        <f>'Nach Mannschaften sortiert'!C96</f>
        <v>U11</v>
      </c>
      <c r="D65" s="49">
        <v>46164</v>
      </c>
      <c r="E65" s="97">
        <v>0.70833333333333337</v>
      </c>
      <c r="F65" s="48" t="str">
        <f>'Nach Mannschaften sortiert'!F96</f>
        <v>Wulkaprodersdorf</v>
      </c>
      <c r="G65" s="48" t="str">
        <f>'Nach Mannschaften sortiert'!G96</f>
        <v>Wulkaprodersdorf</v>
      </c>
      <c r="H65" s="48" t="str">
        <f>'Nach Mannschaften sortiert'!H96</f>
        <v>Auswärts</v>
      </c>
    </row>
    <row r="66" spans="1:8" hidden="1" x14ac:dyDescent="0.3">
      <c r="A66" s="54">
        <f>'Nach Mannschaften sortiert'!A103</f>
        <v>102</v>
      </c>
      <c r="B66" s="54">
        <f>'Nach Mannschaften sortiert'!B103</f>
        <v>2</v>
      </c>
      <c r="C66" s="54" t="str">
        <f>'Nach Mannschaften sortiert'!C103</f>
        <v>U9</v>
      </c>
      <c r="D66" s="55">
        <f>'Nach Mannschaften sortiert'!D103</f>
        <v>46278</v>
      </c>
      <c r="E66" s="95">
        <f>'Nach Mannschaften sortiert'!E103</f>
        <v>0.45833333333333331</v>
      </c>
      <c r="F66" s="54" t="str">
        <f>'Nach Mannschaften sortiert'!F103</f>
        <v>Neufeld</v>
      </c>
      <c r="G66" s="54" t="str">
        <f>'Nach Mannschaften sortiert'!G103</f>
        <v>Steinbrunn</v>
      </c>
      <c r="H66" s="54" t="str">
        <f>'Nach Mannschaften sortiert'!H103</f>
        <v>Heim</v>
      </c>
    </row>
    <row r="67" spans="1:8" hidden="1" x14ac:dyDescent="0.3">
      <c r="A67" s="54">
        <f>'Nach Mannschaften sortiert'!A104</f>
        <v>103</v>
      </c>
      <c r="B67" s="54">
        <f>'Nach Mannschaften sortiert'!B104</f>
        <v>3</v>
      </c>
      <c r="C67" s="54" t="str">
        <f>'Nach Mannschaften sortiert'!C104</f>
        <v>U9</v>
      </c>
      <c r="D67" s="55">
        <f>'Nach Mannschaften sortiert'!D104</f>
        <v>46283</v>
      </c>
      <c r="E67" s="95">
        <f>'Nach Mannschaften sortiert'!E104</f>
        <v>0</v>
      </c>
      <c r="F67" s="54">
        <f>'Nach Mannschaften sortiert'!F104</f>
        <v>0</v>
      </c>
      <c r="G67" s="54" t="str">
        <f>'Nach Mannschaften sortiert'!G104</f>
        <v>Spielfrei</v>
      </c>
      <c r="H67" s="54">
        <f>'Nach Mannschaften sortiert'!H104</f>
        <v>0</v>
      </c>
    </row>
    <row r="68" spans="1:8" hidden="1" x14ac:dyDescent="0.3">
      <c r="A68" s="54">
        <f>'Nach Mannschaften sortiert'!A105</f>
        <v>104</v>
      </c>
      <c r="B68" s="54">
        <f>'Nach Mannschaften sortiert'!B105</f>
        <v>4</v>
      </c>
      <c r="C68" s="54" t="str">
        <f>'Nach Mannschaften sortiert'!C105</f>
        <v>U9</v>
      </c>
      <c r="D68" s="55">
        <f>'Nach Mannschaften sortiert'!D105</f>
        <v>46291</v>
      </c>
      <c r="E68" s="95">
        <f>'Nach Mannschaften sortiert'!E105</f>
        <v>0.41666666666666669</v>
      </c>
      <c r="F68" s="54" t="str">
        <f>'Nach Mannschaften sortiert'!F105</f>
        <v>Eisenstadt</v>
      </c>
      <c r="G68" s="54" t="str">
        <f>'Nach Mannschaften sortiert'!G105</f>
        <v>Eisenstadt</v>
      </c>
      <c r="H68" s="54" t="str">
        <f>'Nach Mannschaften sortiert'!H105</f>
        <v>Auswärts</v>
      </c>
    </row>
    <row r="69" spans="1:8" hidden="1" x14ac:dyDescent="0.3">
      <c r="A69" s="54">
        <f>'Nach Mannschaften sortiert'!A111</f>
        <v>110</v>
      </c>
      <c r="B69" s="54">
        <f>'Nach Mannschaften sortiert'!B111</f>
        <v>10</v>
      </c>
      <c r="C69" s="54" t="str">
        <f>'Nach Mannschaften sortiert'!C111</f>
        <v>U9</v>
      </c>
      <c r="D69" s="55">
        <f>'Nach Mannschaften sortiert'!D111</f>
        <v>46332</v>
      </c>
      <c r="E69" s="95">
        <f>'Nach Mannschaften sortiert'!E111</f>
        <v>0</v>
      </c>
      <c r="F69" s="54" t="str">
        <f>'Nach Mannschaften sortiert'!F111</f>
        <v>Hornstein</v>
      </c>
      <c r="G69" s="54" t="str">
        <f>'Nach Mannschaften sortiert'!G111</f>
        <v>Hornstein</v>
      </c>
      <c r="H69" s="54" t="str">
        <f>'Nach Mannschaften sortiert'!H111</f>
        <v>Auswärts</v>
      </c>
    </row>
    <row r="70" spans="1:8" x14ac:dyDescent="0.3">
      <c r="A70" s="48">
        <f>'Nach Mannschaften sortiert'!A73</f>
        <v>72</v>
      </c>
      <c r="B70" s="48">
        <f>'Nach Mannschaften sortiert'!B73</f>
        <v>6</v>
      </c>
      <c r="C70" s="48" t="str">
        <f>'Nach Mannschaften sortiert'!C73</f>
        <v>U12_1</v>
      </c>
      <c r="D70" s="49">
        <f>'Nach Mannschaften sortiert'!D73</f>
        <v>46304</v>
      </c>
      <c r="E70" s="97">
        <f>'Nach Mannschaften sortiert'!E73</f>
        <v>0</v>
      </c>
      <c r="F70" s="48" t="str">
        <f>'Nach Mannschaften sortiert'!F73</f>
        <v>Stotzing</v>
      </c>
      <c r="G70" s="48" t="str">
        <f>'Nach Mannschaften sortiert'!G73</f>
        <v>Stotzing</v>
      </c>
      <c r="H70" s="48" t="str">
        <f>'Nach Mannschaften sortiert'!H73</f>
        <v>Auswärts</v>
      </c>
    </row>
    <row r="71" spans="1:8" hidden="1" x14ac:dyDescent="0.3">
      <c r="A71" s="54">
        <f>'Nach Mannschaften sortiert'!A113</f>
        <v>112</v>
      </c>
      <c r="B71" s="54">
        <f>'Nach Mannschaften sortiert'!B113</f>
        <v>2</v>
      </c>
      <c r="C71" s="54" t="str">
        <f>'Nach Mannschaften sortiert'!C113</f>
        <v>U8</v>
      </c>
      <c r="D71" s="55">
        <f>'Nach Mannschaften sortiert'!D113</f>
        <v>46284</v>
      </c>
      <c r="E71" s="95">
        <f>'Nach Mannschaften sortiert'!E113</f>
        <v>0</v>
      </c>
      <c r="F71" s="54" t="str">
        <f>'Nach Mannschaften sortiert'!F113</f>
        <v>Wimpassing</v>
      </c>
      <c r="G71" s="54" t="str">
        <f>'Nach Mannschaften sortiert'!G113</f>
        <v>Turnier</v>
      </c>
      <c r="H71" s="54" t="str">
        <f>'Nach Mannschaften sortiert'!H113</f>
        <v>Auswärts</v>
      </c>
    </row>
    <row r="72" spans="1:8" hidden="1" x14ac:dyDescent="0.3">
      <c r="A72" s="54">
        <f>'Nach Mannschaften sortiert'!A114</f>
        <v>113</v>
      </c>
      <c r="B72" s="54">
        <f>'Nach Mannschaften sortiert'!B114</f>
        <v>3</v>
      </c>
      <c r="C72" s="54" t="str">
        <f>'Nach Mannschaften sortiert'!C114</f>
        <v>U8</v>
      </c>
      <c r="D72" s="55">
        <f>'Nach Mannschaften sortiert'!D114</f>
        <v>46291</v>
      </c>
      <c r="E72" s="95">
        <f>'Nach Mannschaften sortiert'!E114</f>
        <v>0</v>
      </c>
      <c r="F72" s="54" t="str">
        <f>'Nach Mannschaften sortiert'!F114</f>
        <v>Leithaprodersdorf</v>
      </c>
      <c r="G72" s="54" t="str">
        <f>'Nach Mannschaften sortiert'!G114</f>
        <v>Turnier</v>
      </c>
      <c r="H72" s="54" t="str">
        <f>'Nach Mannschaften sortiert'!H114</f>
        <v>Auswärts</v>
      </c>
    </row>
    <row r="73" spans="1:8" hidden="1" x14ac:dyDescent="0.3">
      <c r="A73" s="54">
        <f>'Nach Mannschaften sortiert'!A115</f>
        <v>114</v>
      </c>
      <c r="B73" s="54">
        <f>'Nach Mannschaften sortiert'!B115</f>
        <v>4</v>
      </c>
      <c r="C73" s="54" t="str">
        <f>'Nach Mannschaften sortiert'!C115</f>
        <v>U8</v>
      </c>
      <c r="D73" s="55">
        <f>'Nach Mannschaften sortiert'!D115</f>
        <v>46091</v>
      </c>
      <c r="E73" s="95">
        <f>'Nach Mannschaften sortiert'!E115</f>
        <v>0</v>
      </c>
      <c r="F73" s="54" t="str">
        <f>'Nach Mannschaften sortiert'!F115</f>
        <v>Hornstein</v>
      </c>
      <c r="G73" s="54" t="str">
        <f>'Nach Mannschaften sortiert'!G115</f>
        <v>Turnier</v>
      </c>
      <c r="H73" s="54" t="str">
        <f>'Nach Mannschaften sortiert'!H115</f>
        <v>Auswärts</v>
      </c>
    </row>
    <row r="74" spans="1:8" hidden="1" x14ac:dyDescent="0.3">
      <c r="A74" s="54">
        <f>'Nach Mannschaften sortiert'!A116</f>
        <v>115</v>
      </c>
      <c r="B74" s="54">
        <f>'Nach Mannschaften sortiert'!B116</f>
        <v>5</v>
      </c>
      <c r="C74" s="54" t="str">
        <f>'Nach Mannschaften sortiert'!C116</f>
        <v>U8</v>
      </c>
      <c r="D74" s="55">
        <f>'Nach Mannschaften sortiert'!D116</f>
        <v>46092</v>
      </c>
      <c r="E74" s="95">
        <f>'Nach Mannschaften sortiert'!E116</f>
        <v>0</v>
      </c>
      <c r="F74" s="54" t="str">
        <f>'Nach Mannschaften sortiert'!F116</f>
        <v>Steinbrunn</v>
      </c>
      <c r="G74" s="54" t="str">
        <f>'Nach Mannschaften sortiert'!G116</f>
        <v>Turnier</v>
      </c>
      <c r="H74" s="54" t="str">
        <f>'Nach Mannschaften sortiert'!H116</f>
        <v>Auswärts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7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>
        <f>'Nach Mannschaften sortiert'!A118</f>
        <v>117</v>
      </c>
      <c r="B76" s="54">
        <f>'Nach Mannschaften sortiert'!B118</f>
        <v>2</v>
      </c>
      <c r="C76" s="54" t="str">
        <f>'Nach Mannschaften sortiert'!C118</f>
        <v>U7</v>
      </c>
      <c r="D76" s="55">
        <f>'Nach Mannschaften sortiert'!D118</f>
        <v>0</v>
      </c>
      <c r="E76" s="95">
        <f>'Nach Mannschaften sortiert'!E118</f>
        <v>0</v>
      </c>
      <c r="F76" s="54">
        <f>'Nach Mannschaften sortiert'!F118</f>
        <v>0</v>
      </c>
      <c r="G76" s="54">
        <f>'Nach Mannschaften sortiert'!G118</f>
        <v>0</v>
      </c>
      <c r="H76" s="54">
        <f>'Nach Mannschaften sortiert'!H118</f>
        <v>0</v>
      </c>
    </row>
    <row r="77" spans="1:8" hidden="1" x14ac:dyDescent="0.3">
      <c r="A77" s="54">
        <f>'Nach Mannschaften sortiert'!A119</f>
        <v>118</v>
      </c>
      <c r="B77" s="54">
        <f>'Nach Mannschaften sortiert'!B119</f>
        <v>3</v>
      </c>
      <c r="C77" s="54" t="str">
        <f>'Nach Mannschaften sortiert'!C119</f>
        <v>U7</v>
      </c>
      <c r="D77" s="55">
        <f>'Nach Mannschaften sortiert'!D119</f>
        <v>0</v>
      </c>
      <c r="E77" s="95">
        <f>'Nach Mannschaften sortiert'!E119</f>
        <v>0</v>
      </c>
      <c r="F77" s="54">
        <f>'Nach Mannschaften sortiert'!F119</f>
        <v>0</v>
      </c>
      <c r="G77" s="54">
        <f>'Nach Mannschaften sortiert'!G119</f>
        <v>0</v>
      </c>
      <c r="H77" s="54">
        <f>'Nach Mannschaften sortiert'!H119</f>
        <v>0</v>
      </c>
    </row>
    <row r="78" spans="1:8" hidden="1" x14ac:dyDescent="0.3">
      <c r="A78" s="54">
        <f>'Nach Mannschaften sortiert'!A120</f>
        <v>119</v>
      </c>
      <c r="B78" s="54">
        <f>'Nach Mannschaften sortiert'!B120</f>
        <v>4</v>
      </c>
      <c r="C78" s="54" t="str">
        <f>'Nach Mannschaften sortiert'!C120</f>
        <v>U7</v>
      </c>
      <c r="D78" s="55">
        <f>'Nach Mannschaften sortiert'!D120</f>
        <v>0</v>
      </c>
      <c r="E78" s="95">
        <f>'Nach Mannschaften sortiert'!E120</f>
        <v>0</v>
      </c>
      <c r="F78" s="54">
        <f>'Nach Mannschaften sortiert'!F120</f>
        <v>0</v>
      </c>
      <c r="G78" s="54">
        <f>'Nach Mannschaften sortiert'!G120</f>
        <v>0</v>
      </c>
      <c r="H78" s="54">
        <f>'Nach Mannschaften sortiert'!H120</f>
        <v>0</v>
      </c>
    </row>
    <row r="79" spans="1:8" hidden="1" x14ac:dyDescent="0.3">
      <c r="A79" s="54">
        <f>'Nach Mannschaften sortiert'!A121</f>
        <v>120</v>
      </c>
      <c r="B79" s="54">
        <f>'Nach Mannschaften sortiert'!B121</f>
        <v>5</v>
      </c>
      <c r="C79" s="54" t="str">
        <f>'Nach Mannschaften sortiert'!C121</f>
        <v>U7</v>
      </c>
      <c r="D79" s="55">
        <f>'Nach Mannschaften sortiert'!D121</f>
        <v>0</v>
      </c>
      <c r="E79" s="95">
        <f>'Nach Mannschaften sortiert'!E121</f>
        <v>0</v>
      </c>
      <c r="F79" s="54">
        <f>'Nach Mannschaften sortiert'!F121</f>
        <v>0</v>
      </c>
      <c r="G79" s="54">
        <f>'Nach Mannschaften sortiert'!G121</f>
        <v>0</v>
      </c>
      <c r="H79" s="54">
        <f>'Nach Mannschaften sortiert'!H121</f>
        <v>0</v>
      </c>
    </row>
    <row r="80" spans="1:8" x14ac:dyDescent="0.3">
      <c r="A80" s="48">
        <f>'Nach Mannschaften sortiert'!A75</f>
        <v>74</v>
      </c>
      <c r="B80" s="48">
        <f>'Nach Mannschaften sortiert'!B75</f>
        <v>8</v>
      </c>
      <c r="C80" s="48" t="str">
        <f>'Nach Mannschaften sortiert'!C75</f>
        <v>U12_1</v>
      </c>
      <c r="D80" s="49">
        <f>'Nach Mannschaften sortiert'!D75</f>
        <v>46318</v>
      </c>
      <c r="E80" s="97">
        <f>'Nach Mannschaften sortiert'!E75</f>
        <v>0</v>
      </c>
      <c r="F80" s="48" t="str">
        <f>'Nach Mannschaften sortiert'!F75</f>
        <v>Leithaprodersdorf</v>
      </c>
      <c r="G80" s="48" t="str">
        <f>'Nach Mannschaften sortiert'!G75</f>
        <v>Leithaprodersdorf</v>
      </c>
      <c r="H80" s="48" t="str">
        <f>'Nach Mannschaften sortiert'!H75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sortiert'!A133</f>
        <v>132</v>
      </c>
      <c r="B84" s="54">
        <f>'Nach Mannschaften sortiert'!B133</f>
        <v>2</v>
      </c>
      <c r="C84" s="54" t="str">
        <f>'Nach Mannschaften sortiert'!C133</f>
        <v>Turnier</v>
      </c>
      <c r="D84" s="55">
        <f>'Nach Mannschaften sortiert'!D133</f>
        <v>46256</v>
      </c>
      <c r="E84" s="95">
        <f>'Nach Mannschaften sortiert'!E133</f>
        <v>0.375</v>
      </c>
      <c r="F84" s="54" t="str">
        <f>'Nach Mannschaften sortiert'!F133</f>
        <v>Neufeld</v>
      </c>
      <c r="G84" s="54" t="str">
        <f>'Nach Mannschaften sortiert'!G133</f>
        <v>viele Gegner</v>
      </c>
      <c r="H84" s="54" t="str">
        <f>'Nach Mannschaften sortiert'!H133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2026-08-05T15:42:30Z</dcterms:modified>
</cp:coreProperties>
</file>
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TB\asv-neufeld\Excel2\"/>
    </mc:Choice>
  </mc:AlternateContent>
  <xr:revisionPtr revIDLastSave="0" documentId="13_ncr:1_{E36A51D8-C693-427D-B01B-4102D068EDDF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Nach Mannschaften sortiert" sheetId="1" r:id="rId1"/>
    <sheet name="ICS2" sheetId="2" r:id="rId2"/>
    <sheet name="Stefans Liste 2026" sheetId="7" r:id="rId3"/>
    <sheet name="Kalendernamen" sheetId="3" r:id="rId4"/>
    <sheet name="Trainingsplan" sheetId="4" r:id="rId5"/>
    <sheet name="Heimspiele" sheetId="5" r:id="rId6"/>
  </sheets>
  <definedNames>
    <definedName name="_xlnm._FilterDatabase" localSheetId="5" hidden="1">Heimspiele!$A$1:$H$84</definedName>
    <definedName name="_xlnm._FilterDatabase" localSheetId="0" hidden="1">'Nach Mannschaften sortiert'!$A$1:$H$117</definedName>
    <definedName name="_xlnm._FilterDatabase" localSheetId="2" hidden="1">'Stefans Liste 2026'!$A$1:$K$144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3" i="2" l="1"/>
  <c r="C73" i="2"/>
  <c r="E72" i="2"/>
  <c r="D58" i="7" s="1"/>
  <c r="B14" i="2"/>
  <c r="C14" i="2"/>
  <c r="E14" i="2"/>
  <c r="G14" i="2"/>
  <c r="H14" i="2"/>
  <c r="I14" i="2"/>
  <c r="D14" i="2" s="1"/>
  <c r="B59" i="2"/>
  <c r="B131" i="7" s="1"/>
  <c r="C59" i="2"/>
  <c r="C131" i="7" s="1"/>
  <c r="E59" i="2"/>
  <c r="D131" i="7" s="1"/>
  <c r="G59" i="2"/>
  <c r="H59" i="2"/>
  <c r="E131" i="7" s="1"/>
  <c r="I59" i="2"/>
  <c r="A131" i="7" s="1"/>
  <c r="F131" i="7" s="1"/>
  <c r="B56" i="2"/>
  <c r="C56" i="2"/>
  <c r="E56" i="2"/>
  <c r="G56" i="2"/>
  <c r="H56" i="2"/>
  <c r="I56" i="2"/>
  <c r="D56" i="2" s="1"/>
  <c r="B57" i="2"/>
  <c r="B126" i="7" s="1"/>
  <c r="C57" i="2"/>
  <c r="C126" i="7" s="1"/>
  <c r="E57" i="2"/>
  <c r="D126" i="7" s="1"/>
  <c r="G57" i="2"/>
  <c r="H57" i="2"/>
  <c r="E126" i="7" s="1"/>
  <c r="I57" i="2"/>
  <c r="D57" i="2" s="1"/>
  <c r="B58" i="2"/>
  <c r="C58" i="2"/>
  <c r="E58" i="2"/>
  <c r="G58" i="2"/>
  <c r="H58" i="2"/>
  <c r="I58" i="2"/>
  <c r="D58" i="2" s="1"/>
  <c r="A143" i="7"/>
  <c r="F143" i="7" s="1"/>
  <c r="I143" i="7" s="1"/>
  <c r="B143" i="7"/>
  <c r="C143" i="7"/>
  <c r="D143" i="7"/>
  <c r="E143" i="7"/>
  <c r="E141" i="7"/>
  <c r="D141" i="7"/>
  <c r="C141" i="7"/>
  <c r="B141" i="7"/>
  <c r="A141" i="7"/>
  <c r="F141" i="7" s="1"/>
  <c r="B3" i="2"/>
  <c r="B4" i="7" s="1"/>
  <c r="C3" i="2"/>
  <c r="C4" i="7" s="1"/>
  <c r="E3" i="2"/>
  <c r="D4" i="7" s="1"/>
  <c r="G3" i="2"/>
  <c r="H3" i="2"/>
  <c r="I3" i="2"/>
  <c r="D3" i="2" s="1"/>
  <c r="B4" i="2"/>
  <c r="B14" i="7" s="1"/>
  <c r="C4" i="2"/>
  <c r="E4" i="2"/>
  <c r="D14" i="7" s="1"/>
  <c r="G4" i="2"/>
  <c r="H4" i="2"/>
  <c r="E14" i="7" s="1"/>
  <c r="I4" i="2"/>
  <c r="D4" i="2" s="1"/>
  <c r="B5" i="2"/>
  <c r="B15" i="7" s="1"/>
  <c r="C5" i="2"/>
  <c r="C15" i="7" s="1"/>
  <c r="E5" i="2"/>
  <c r="D15" i="7" s="1"/>
  <c r="G5" i="2"/>
  <c r="H5" i="2"/>
  <c r="E15" i="7" s="1"/>
  <c r="I5" i="2"/>
  <c r="D5" i="2" s="1"/>
  <c r="B6" i="2"/>
  <c r="B16" i="7" s="1"/>
  <c r="C6" i="2"/>
  <c r="C16" i="7" s="1"/>
  <c r="E6" i="2"/>
  <c r="D16" i="7" s="1"/>
  <c r="G6" i="2"/>
  <c r="H6" i="2"/>
  <c r="E16" i="7" s="1"/>
  <c r="I6" i="2"/>
  <c r="D6" i="2" s="1"/>
  <c r="B7" i="2"/>
  <c r="B17" i="7" s="1"/>
  <c r="C7" i="2"/>
  <c r="C17" i="7" s="1"/>
  <c r="E7" i="2"/>
  <c r="D17" i="7" s="1"/>
  <c r="G7" i="2"/>
  <c r="H7" i="2"/>
  <c r="E17" i="7" s="1"/>
  <c r="I7" i="2"/>
  <c r="D7" i="2" s="1"/>
  <c r="B8" i="2"/>
  <c r="B106" i="7" s="1"/>
  <c r="C8" i="2"/>
  <c r="C106" i="7" s="1"/>
  <c r="E8" i="2"/>
  <c r="D106" i="7" s="1"/>
  <c r="G8" i="2"/>
  <c r="H8" i="2"/>
  <c r="E106" i="7" s="1"/>
  <c r="I8" i="2"/>
  <c r="D8" i="2" s="1"/>
  <c r="B9" i="2"/>
  <c r="B18" i="7" s="1"/>
  <c r="C9" i="2"/>
  <c r="C18" i="7" s="1"/>
  <c r="E9" i="2"/>
  <c r="G9" i="2"/>
  <c r="H9" i="2"/>
  <c r="E18" i="7" s="1"/>
  <c r="I9" i="2"/>
  <c r="D9" i="2" s="1"/>
  <c r="B10" i="2"/>
  <c r="B10" i="7" s="1"/>
  <c r="C10" i="2"/>
  <c r="C10" i="7" s="1"/>
  <c r="E10" i="2"/>
  <c r="D10" i="7" s="1"/>
  <c r="G10" i="2"/>
  <c r="H10" i="2"/>
  <c r="E10" i="7" s="1"/>
  <c r="I10" i="2"/>
  <c r="D10" i="2" s="1"/>
  <c r="B11" i="2"/>
  <c r="B19" i="7" s="1"/>
  <c r="C11" i="2"/>
  <c r="C19" i="7" s="1"/>
  <c r="E11" i="2"/>
  <c r="D19" i="7" s="1"/>
  <c r="G11" i="2"/>
  <c r="H11" i="2"/>
  <c r="E19" i="7" s="1"/>
  <c r="I11" i="2"/>
  <c r="D11" i="2" s="1"/>
  <c r="B12" i="2"/>
  <c r="B92" i="7" s="1"/>
  <c r="C12" i="2"/>
  <c r="C92" i="7" s="1"/>
  <c r="E12" i="2"/>
  <c r="D92" i="7" s="1"/>
  <c r="G12" i="2"/>
  <c r="H12" i="2"/>
  <c r="E92" i="7" s="1"/>
  <c r="I12" i="2"/>
  <c r="D12" i="2" s="1"/>
  <c r="B13" i="2"/>
  <c r="B22" i="7" s="1"/>
  <c r="C13" i="2"/>
  <c r="C22" i="7" s="1"/>
  <c r="E13" i="2"/>
  <c r="D22" i="7" s="1"/>
  <c r="G13" i="2"/>
  <c r="H13" i="2"/>
  <c r="E22" i="7" s="1"/>
  <c r="I13" i="2"/>
  <c r="D13" i="2" s="1"/>
  <c r="B15" i="2"/>
  <c r="B76" i="7" s="1"/>
  <c r="C15" i="2"/>
  <c r="C76" i="7" s="1"/>
  <c r="E15" i="2"/>
  <c r="D76" i="7" s="1"/>
  <c r="G15" i="2"/>
  <c r="H15" i="2"/>
  <c r="E76" i="7" s="1"/>
  <c r="I15" i="2"/>
  <c r="D15" i="2" s="1"/>
  <c r="B16" i="2"/>
  <c r="B24" i="7" s="1"/>
  <c r="C16" i="2"/>
  <c r="C24" i="7" s="1"/>
  <c r="E16" i="2"/>
  <c r="D24" i="7" s="1"/>
  <c r="G16" i="2"/>
  <c r="H16" i="2"/>
  <c r="E24" i="7" s="1"/>
  <c r="I16" i="2"/>
  <c r="D16" i="2" s="1"/>
  <c r="B17" i="2"/>
  <c r="B93" i="7" s="1"/>
  <c r="C17" i="2"/>
  <c r="E17" i="2"/>
  <c r="D93" i="7" s="1"/>
  <c r="G17" i="2"/>
  <c r="H17" i="2"/>
  <c r="E93" i="7" s="1"/>
  <c r="I17" i="2"/>
  <c r="D17" i="2" s="1"/>
  <c r="B18" i="2"/>
  <c r="B28" i="7" s="1"/>
  <c r="C18" i="2"/>
  <c r="C28" i="7" s="1"/>
  <c r="E18" i="2"/>
  <c r="D28" i="7" s="1"/>
  <c r="G18" i="2"/>
  <c r="H18" i="2"/>
  <c r="E28" i="7" s="1"/>
  <c r="I18" i="2"/>
  <c r="D18" i="2" s="1"/>
  <c r="B19" i="2"/>
  <c r="B30" i="7" s="1"/>
  <c r="C19" i="2"/>
  <c r="C30" i="7" s="1"/>
  <c r="E19" i="2"/>
  <c r="D30" i="7" s="1"/>
  <c r="G19" i="2"/>
  <c r="H19" i="2"/>
  <c r="E30" i="7" s="1"/>
  <c r="I19" i="2"/>
  <c r="D19" i="2" s="1"/>
  <c r="B20" i="2"/>
  <c r="B32" i="7" s="1"/>
  <c r="C20" i="2"/>
  <c r="C32" i="7" s="1"/>
  <c r="E20" i="2"/>
  <c r="D32" i="7" s="1"/>
  <c r="G20" i="2"/>
  <c r="H20" i="2"/>
  <c r="E32" i="7" s="1"/>
  <c r="I20" i="2"/>
  <c r="D20" i="2" s="1"/>
  <c r="B21" i="2"/>
  <c r="B95" i="7" s="1"/>
  <c r="C21" i="2"/>
  <c r="C95" i="7" s="1"/>
  <c r="E21" i="2"/>
  <c r="D95" i="7" s="1"/>
  <c r="G21" i="2"/>
  <c r="H21" i="2"/>
  <c r="E95" i="7" s="1"/>
  <c r="I21" i="2"/>
  <c r="D21" i="2" s="1"/>
  <c r="B22" i="2"/>
  <c r="C22" i="2"/>
  <c r="C33" i="7" s="1"/>
  <c r="E22" i="2"/>
  <c r="D33" i="7" s="1"/>
  <c r="G22" i="2"/>
  <c r="H22" i="2"/>
  <c r="E33" i="7" s="1"/>
  <c r="I22" i="2"/>
  <c r="D22" i="2" s="1"/>
  <c r="B23" i="2"/>
  <c r="B20" i="7" s="1"/>
  <c r="C23" i="2"/>
  <c r="E23" i="2"/>
  <c r="D20" i="7" s="1"/>
  <c r="G23" i="2"/>
  <c r="H23" i="2"/>
  <c r="E20" i="7" s="1"/>
  <c r="I23" i="2"/>
  <c r="D23" i="2" s="1"/>
  <c r="B24" i="2"/>
  <c r="B21" i="7" s="1"/>
  <c r="C24" i="2"/>
  <c r="C21" i="7" s="1"/>
  <c r="E24" i="2"/>
  <c r="D21" i="7" s="1"/>
  <c r="G24" i="2"/>
  <c r="H24" i="2"/>
  <c r="E21" i="7" s="1"/>
  <c r="I24" i="2"/>
  <c r="D24" i="2" s="1"/>
  <c r="B25" i="2"/>
  <c r="B35" i="7" s="1"/>
  <c r="C25" i="2"/>
  <c r="E25" i="2"/>
  <c r="D35" i="7" s="1"/>
  <c r="G25" i="2"/>
  <c r="H25" i="2"/>
  <c r="I25" i="2"/>
  <c r="D25" i="2" s="1"/>
  <c r="B26" i="2"/>
  <c r="B23" i="7" s="1"/>
  <c r="C26" i="2"/>
  <c r="E26" i="2"/>
  <c r="D23" i="7" s="1"/>
  <c r="G26" i="2"/>
  <c r="H26" i="2"/>
  <c r="E23" i="7" s="1"/>
  <c r="I26" i="2"/>
  <c r="A23" i="7" s="1"/>
  <c r="F23" i="7" s="1"/>
  <c r="B27" i="2"/>
  <c r="B49" i="7" s="1"/>
  <c r="C27" i="2"/>
  <c r="E27" i="2"/>
  <c r="D49" i="7" s="1"/>
  <c r="G27" i="2"/>
  <c r="H27" i="2"/>
  <c r="E49" i="7" s="1"/>
  <c r="I27" i="2"/>
  <c r="D27" i="2" s="1"/>
  <c r="B28" i="2"/>
  <c r="B25" i="7" s="1"/>
  <c r="C28" i="2"/>
  <c r="E28" i="2"/>
  <c r="D25" i="7" s="1"/>
  <c r="G28" i="2"/>
  <c r="H28" i="2"/>
  <c r="E25" i="7" s="1"/>
  <c r="I28" i="2"/>
  <c r="A25" i="7" s="1"/>
  <c r="F25" i="7" s="1"/>
  <c r="B29" i="2"/>
  <c r="B68" i="7" s="1"/>
  <c r="C29" i="2"/>
  <c r="E29" i="2"/>
  <c r="D68" i="7" s="1"/>
  <c r="G29" i="2"/>
  <c r="H29" i="2"/>
  <c r="E68" i="7" s="1"/>
  <c r="I29" i="2"/>
  <c r="D29" i="2" s="1"/>
  <c r="B30" i="2"/>
  <c r="B27" i="7" s="1"/>
  <c r="C30" i="2"/>
  <c r="C27" i="7" s="1"/>
  <c r="E30" i="2"/>
  <c r="D27" i="7" s="1"/>
  <c r="G30" i="2"/>
  <c r="H30" i="2"/>
  <c r="E27" i="7" s="1"/>
  <c r="I30" i="2"/>
  <c r="A27" i="7" s="1"/>
  <c r="F27" i="7" s="1"/>
  <c r="B31" i="2"/>
  <c r="B83" i="7" s="1"/>
  <c r="C31" i="2"/>
  <c r="E31" i="2"/>
  <c r="D83" i="7" s="1"/>
  <c r="G31" i="2"/>
  <c r="H31" i="2"/>
  <c r="E83" i="7" s="1"/>
  <c r="I31" i="2"/>
  <c r="D31" i="2" s="1"/>
  <c r="B32" i="2"/>
  <c r="B29" i="7" s="1"/>
  <c r="C32" i="2"/>
  <c r="E32" i="2"/>
  <c r="D29" i="7" s="1"/>
  <c r="G32" i="2"/>
  <c r="H32" i="2"/>
  <c r="E29" i="7" s="1"/>
  <c r="I32" i="2"/>
  <c r="A29" i="7" s="1"/>
  <c r="F29" i="7" s="1"/>
  <c r="B33" i="2"/>
  <c r="B105" i="7" s="1"/>
  <c r="C33" i="2"/>
  <c r="C105" i="7" s="1"/>
  <c r="E33" i="2"/>
  <c r="D105" i="7" s="1"/>
  <c r="G33" i="2"/>
  <c r="H33" i="2"/>
  <c r="E105" i="7" s="1"/>
  <c r="I33" i="2"/>
  <c r="D33" i="2" s="1"/>
  <c r="B34" i="2"/>
  <c r="B31" i="7" s="1"/>
  <c r="C34" i="2"/>
  <c r="E34" i="2"/>
  <c r="D31" i="7" s="1"/>
  <c r="G34" i="2"/>
  <c r="H34" i="2"/>
  <c r="E31" i="7" s="1"/>
  <c r="I34" i="2"/>
  <c r="B35" i="2"/>
  <c r="B130" i="7" s="1"/>
  <c r="C35" i="2"/>
  <c r="E35" i="2"/>
  <c r="D130" i="7" s="1"/>
  <c r="G35" i="2"/>
  <c r="H35" i="2"/>
  <c r="E130" i="7" s="1"/>
  <c r="I35" i="2"/>
  <c r="D35" i="2" s="1"/>
  <c r="B36" i="2"/>
  <c r="B107" i="7" s="1"/>
  <c r="C36" i="2"/>
  <c r="E36" i="2"/>
  <c r="D107" i="7" s="1"/>
  <c r="G36" i="2"/>
  <c r="H36" i="2"/>
  <c r="I36" i="2"/>
  <c r="A107" i="7" s="1"/>
  <c r="F107" i="7" s="1"/>
  <c r="B37" i="2"/>
  <c r="B108" i="7" s="1"/>
  <c r="C37" i="2"/>
  <c r="E37" i="2"/>
  <c r="D108" i="7" s="1"/>
  <c r="G37" i="2"/>
  <c r="H37" i="2"/>
  <c r="E108" i="7" s="1"/>
  <c r="I37" i="2"/>
  <c r="D37" i="2" s="1"/>
  <c r="B38" i="2"/>
  <c r="B34" i="7" s="1"/>
  <c r="C38" i="2"/>
  <c r="E38" i="2"/>
  <c r="G38" i="2"/>
  <c r="H38" i="2"/>
  <c r="E34" i="7" s="1"/>
  <c r="I38" i="2"/>
  <c r="A34" i="7" s="1"/>
  <c r="F34" i="7" s="1"/>
  <c r="B39" i="2"/>
  <c r="B110" i="7" s="1"/>
  <c r="C39" i="2"/>
  <c r="C110" i="7" s="1"/>
  <c r="E39" i="2"/>
  <c r="D110" i="7" s="1"/>
  <c r="G39" i="2"/>
  <c r="H39" i="2"/>
  <c r="E110" i="7" s="1"/>
  <c r="I39" i="2"/>
  <c r="A110" i="7" s="1"/>
  <c r="F110" i="7" s="1"/>
  <c r="B40" i="2"/>
  <c r="B46" i="7" s="1"/>
  <c r="C40" i="2"/>
  <c r="E40" i="2"/>
  <c r="D46" i="7" s="1"/>
  <c r="G40" i="2"/>
  <c r="H40" i="2"/>
  <c r="E46" i="7" s="1"/>
  <c r="I40" i="2"/>
  <c r="A46" i="7" s="1"/>
  <c r="F46" i="7" s="1"/>
  <c r="B41" i="2"/>
  <c r="B112" i="7" s="1"/>
  <c r="C41" i="2"/>
  <c r="E41" i="2"/>
  <c r="D112" i="7" s="1"/>
  <c r="G41" i="2"/>
  <c r="H41" i="2"/>
  <c r="E112" i="7" s="1"/>
  <c r="I41" i="2"/>
  <c r="D41" i="2" s="1"/>
  <c r="B42" i="2"/>
  <c r="B65" i="7" s="1"/>
  <c r="C42" i="2"/>
  <c r="C65" i="7" s="1"/>
  <c r="E42" i="2"/>
  <c r="G42" i="2"/>
  <c r="H42" i="2"/>
  <c r="E65" i="7" s="1"/>
  <c r="I42" i="2"/>
  <c r="D42" i="2" s="1"/>
  <c r="B43" i="2"/>
  <c r="B114" i="7" s="1"/>
  <c r="C43" i="2"/>
  <c r="E43" i="2"/>
  <c r="D114" i="7" s="1"/>
  <c r="G43" i="2"/>
  <c r="H43" i="2"/>
  <c r="E114" i="7" s="1"/>
  <c r="I43" i="2"/>
  <c r="D43" i="2" s="1"/>
  <c r="B44" i="2"/>
  <c r="B82" i="7" s="1"/>
  <c r="C44" i="2"/>
  <c r="C82" i="7" s="1"/>
  <c r="E44" i="2"/>
  <c r="D82" i="7" s="1"/>
  <c r="G44" i="2"/>
  <c r="H44" i="2"/>
  <c r="E82" i="7" s="1"/>
  <c r="I44" i="2"/>
  <c r="D44" i="2" s="1"/>
  <c r="B45" i="2"/>
  <c r="B116" i="7" s="1"/>
  <c r="C45" i="2"/>
  <c r="E45" i="2"/>
  <c r="D116" i="7" s="1"/>
  <c r="G45" i="2"/>
  <c r="H45" i="2"/>
  <c r="E116" i="7" s="1"/>
  <c r="I45" i="2"/>
  <c r="D45" i="2" s="1"/>
  <c r="B46" i="2"/>
  <c r="B103" i="7" s="1"/>
  <c r="C46" i="2"/>
  <c r="E46" i="2"/>
  <c r="D103" i="7" s="1"/>
  <c r="G46" i="2"/>
  <c r="H46" i="2"/>
  <c r="E103" i="7" s="1"/>
  <c r="I46" i="2"/>
  <c r="D46" i="2" s="1"/>
  <c r="B47" i="2"/>
  <c r="B118" i="7" s="1"/>
  <c r="C47" i="2"/>
  <c r="C118" i="7" s="1"/>
  <c r="E47" i="2"/>
  <c r="D118" i="7" s="1"/>
  <c r="G47" i="2"/>
  <c r="H47" i="2"/>
  <c r="E118" i="7" s="1"/>
  <c r="I47" i="2"/>
  <c r="D47" i="2" s="1"/>
  <c r="B48" i="2"/>
  <c r="B129" i="7" s="1"/>
  <c r="C48" i="2"/>
  <c r="E48" i="2"/>
  <c r="D129" i="7" s="1"/>
  <c r="G48" i="2"/>
  <c r="H48" i="2"/>
  <c r="E129" i="7" s="1"/>
  <c r="I48" i="2"/>
  <c r="D48" i="2" s="1"/>
  <c r="B49" i="2"/>
  <c r="B96" i="7" s="1"/>
  <c r="C49" i="2"/>
  <c r="C96" i="7" s="1"/>
  <c r="E49" i="2"/>
  <c r="D96" i="7" s="1"/>
  <c r="G49" i="2"/>
  <c r="H49" i="2"/>
  <c r="E96" i="7" s="1"/>
  <c r="I49" i="2"/>
  <c r="D49" i="2" s="1"/>
  <c r="B50" i="2"/>
  <c r="B97" i="7" s="1"/>
  <c r="C50" i="2"/>
  <c r="E50" i="2"/>
  <c r="D97" i="7" s="1"/>
  <c r="G50" i="2"/>
  <c r="H50" i="2"/>
  <c r="E97" i="7" s="1"/>
  <c r="I50" i="2"/>
  <c r="D50" i="2" s="1"/>
  <c r="B51" i="2"/>
  <c r="B63" i="7" s="1"/>
  <c r="C51" i="2"/>
  <c r="E51" i="2"/>
  <c r="D63" i="7" s="1"/>
  <c r="G51" i="2"/>
  <c r="H51" i="2"/>
  <c r="E63" i="7" s="1"/>
  <c r="I51" i="2"/>
  <c r="D51" i="2" s="1"/>
  <c r="B52" i="2"/>
  <c r="C52" i="2"/>
  <c r="C71" i="7" s="1"/>
  <c r="E52" i="2"/>
  <c r="D71" i="7" s="1"/>
  <c r="G52" i="2"/>
  <c r="H52" i="2"/>
  <c r="E71" i="7" s="1"/>
  <c r="I52" i="2"/>
  <c r="D52" i="2" s="1"/>
  <c r="B53" i="2"/>
  <c r="B80" i="7" s="1"/>
  <c r="C53" i="2"/>
  <c r="E53" i="2"/>
  <c r="D80" i="7" s="1"/>
  <c r="G53" i="2"/>
  <c r="H53" i="2"/>
  <c r="E80" i="7" s="1"/>
  <c r="I53" i="2"/>
  <c r="D53" i="2" s="1"/>
  <c r="B54" i="2"/>
  <c r="B87" i="7" s="1"/>
  <c r="C54" i="2"/>
  <c r="C87" i="7" s="1"/>
  <c r="E54" i="2"/>
  <c r="D87" i="7" s="1"/>
  <c r="G54" i="2"/>
  <c r="H54" i="2"/>
  <c r="E87" i="7" s="1"/>
  <c r="I54" i="2"/>
  <c r="A87" i="7" s="1"/>
  <c r="F87" i="7" s="1"/>
  <c r="B55" i="2"/>
  <c r="B102" i="7" s="1"/>
  <c r="C55" i="2"/>
  <c r="C102" i="7" s="1"/>
  <c r="E55" i="2"/>
  <c r="D102" i="7" s="1"/>
  <c r="G55" i="2"/>
  <c r="H55" i="2"/>
  <c r="E102" i="7" s="1"/>
  <c r="I55" i="2"/>
  <c r="A102" i="7" s="1"/>
  <c r="F102" i="7" s="1"/>
  <c r="B60" i="2"/>
  <c r="B43" i="7" s="1"/>
  <c r="C60" i="2"/>
  <c r="C43" i="7" s="1"/>
  <c r="E60" i="2"/>
  <c r="D43" i="7" s="1"/>
  <c r="G60" i="2"/>
  <c r="H60" i="2"/>
  <c r="E40" i="7" s="1"/>
  <c r="I60" i="2"/>
  <c r="A43" i="7" s="1"/>
  <c r="F43" i="7" s="1"/>
  <c r="G43" i="7" s="1"/>
  <c r="B61" i="2"/>
  <c r="B81" i="7" s="1"/>
  <c r="C61" i="2"/>
  <c r="C81" i="7" s="1"/>
  <c r="E61" i="2"/>
  <c r="D81" i="7" s="1"/>
  <c r="G61" i="2"/>
  <c r="H61" i="2"/>
  <c r="E81" i="7" s="1"/>
  <c r="I61" i="2"/>
  <c r="A81" i="7" s="1"/>
  <c r="F81" i="7" s="1"/>
  <c r="H81" i="7" s="1"/>
  <c r="B62" i="2"/>
  <c r="B61" i="7" s="1"/>
  <c r="C62" i="2"/>
  <c r="C61" i="7" s="1"/>
  <c r="E62" i="2"/>
  <c r="D59" i="7" s="1"/>
  <c r="G62" i="2"/>
  <c r="H62" i="2"/>
  <c r="E59" i="7" s="1"/>
  <c r="I62" i="2"/>
  <c r="A59" i="7" s="1"/>
  <c r="F59" i="7" s="1"/>
  <c r="B63" i="2"/>
  <c r="B75" i="7" s="1"/>
  <c r="C63" i="2"/>
  <c r="C75" i="7" s="1"/>
  <c r="E63" i="2"/>
  <c r="D75" i="7" s="1"/>
  <c r="G63" i="2"/>
  <c r="H63" i="2"/>
  <c r="E75" i="7" s="1"/>
  <c r="I63" i="2"/>
  <c r="D63" i="2" s="1"/>
  <c r="B64" i="2"/>
  <c r="B84" i="7" s="1"/>
  <c r="C64" i="2"/>
  <c r="E64" i="2"/>
  <c r="D84" i="7" s="1"/>
  <c r="G64" i="2"/>
  <c r="H64" i="2"/>
  <c r="E84" i="7" s="1"/>
  <c r="I64" i="2"/>
  <c r="A84" i="7" s="1"/>
  <c r="F84" i="7" s="1"/>
  <c r="B65" i="2"/>
  <c r="B89" i="7" s="1"/>
  <c r="C65" i="2"/>
  <c r="C89" i="7" s="1"/>
  <c r="E65" i="2"/>
  <c r="D89" i="7" s="1"/>
  <c r="G65" i="2"/>
  <c r="H65" i="2"/>
  <c r="E89" i="7" s="1"/>
  <c r="I65" i="2"/>
  <c r="A89" i="7" s="1"/>
  <c r="F89" i="7" s="1"/>
  <c r="B66" i="2"/>
  <c r="B86" i="7" s="1"/>
  <c r="C66" i="2"/>
  <c r="E66" i="2"/>
  <c r="D86" i="7" s="1"/>
  <c r="G66" i="2"/>
  <c r="H66" i="2"/>
  <c r="E86" i="7" s="1"/>
  <c r="I66" i="2"/>
  <c r="D66" i="2" s="1"/>
  <c r="B67" i="2"/>
  <c r="B109" i="7" s="1"/>
  <c r="C67" i="2"/>
  <c r="C109" i="7" s="1"/>
  <c r="E67" i="2"/>
  <c r="D109" i="7" s="1"/>
  <c r="G67" i="2"/>
  <c r="H67" i="2"/>
  <c r="E109" i="7" s="1"/>
  <c r="I67" i="2"/>
  <c r="A109" i="7" s="1"/>
  <c r="F109" i="7" s="1"/>
  <c r="B68" i="2"/>
  <c r="B88" i="7" s="1"/>
  <c r="C68" i="2"/>
  <c r="E68" i="2"/>
  <c r="D88" i="7" s="1"/>
  <c r="G68" i="2"/>
  <c r="H68" i="2"/>
  <c r="E88" i="7" s="1"/>
  <c r="I68" i="2"/>
  <c r="D68" i="2" s="1"/>
  <c r="B69" i="2"/>
  <c r="B36" i="7" s="1"/>
  <c r="C69" i="2"/>
  <c r="C36" i="7" s="1"/>
  <c r="E69" i="2"/>
  <c r="D36" i="7" s="1"/>
  <c r="G69" i="2"/>
  <c r="H69" i="2"/>
  <c r="E36" i="7" s="1"/>
  <c r="I69" i="2"/>
  <c r="A36" i="7" s="1"/>
  <c r="F36" i="7" s="1"/>
  <c r="I36" i="7" s="1"/>
  <c r="B70" i="2"/>
  <c r="B56" i="7" s="1"/>
  <c r="C70" i="2"/>
  <c r="E70" i="2"/>
  <c r="D56" i="7" s="1"/>
  <c r="G70" i="2"/>
  <c r="H70" i="2"/>
  <c r="E56" i="7" s="1"/>
  <c r="I70" i="2"/>
  <c r="D70" i="2" s="1"/>
  <c r="B71" i="2"/>
  <c r="B57" i="7" s="1"/>
  <c r="C71" i="2"/>
  <c r="E71" i="2"/>
  <c r="D57" i="7" s="1"/>
  <c r="G71" i="2"/>
  <c r="H71" i="2"/>
  <c r="E57" i="7" s="1"/>
  <c r="I71" i="2"/>
  <c r="A57" i="7" s="1"/>
  <c r="F57" i="7" s="1"/>
  <c r="B72" i="2"/>
  <c r="B58" i="7" s="1"/>
  <c r="C72" i="2"/>
  <c r="G72" i="2"/>
  <c r="H72" i="2"/>
  <c r="E58" i="7" s="1"/>
  <c r="I72" i="2"/>
  <c r="B79" i="7"/>
  <c r="E73" i="2"/>
  <c r="D79" i="7" s="1"/>
  <c r="G73" i="2"/>
  <c r="H73" i="2"/>
  <c r="E79" i="7" s="1"/>
  <c r="I73" i="2"/>
  <c r="A79" i="7" s="1"/>
  <c r="F79" i="7" s="1"/>
  <c r="B74" i="2"/>
  <c r="B60" i="7" s="1"/>
  <c r="C74" i="2"/>
  <c r="E74" i="2"/>
  <c r="D60" i="7" s="1"/>
  <c r="G74" i="2"/>
  <c r="H74" i="2"/>
  <c r="E60" i="7" s="1"/>
  <c r="I74" i="2"/>
  <c r="D74" i="2" s="1"/>
  <c r="B75" i="2"/>
  <c r="B100" i="7" s="1"/>
  <c r="C75" i="2"/>
  <c r="C100" i="7" s="1"/>
  <c r="E75" i="2"/>
  <c r="D100" i="7" s="1"/>
  <c r="G75" i="2"/>
  <c r="H75" i="2"/>
  <c r="E100" i="7" s="1"/>
  <c r="I75" i="2"/>
  <c r="D75" i="2" s="1"/>
  <c r="B76" i="2"/>
  <c r="B62" i="7" s="1"/>
  <c r="C76" i="2"/>
  <c r="E76" i="2"/>
  <c r="D62" i="7" s="1"/>
  <c r="G76" i="2"/>
  <c r="H76" i="2"/>
  <c r="E62" i="7" s="1"/>
  <c r="I76" i="2"/>
  <c r="D76" i="2" s="1"/>
  <c r="B77" i="2"/>
  <c r="B119" i="7" s="1"/>
  <c r="C77" i="2"/>
  <c r="E77" i="2"/>
  <c r="D119" i="7" s="1"/>
  <c r="G77" i="2"/>
  <c r="H77" i="2"/>
  <c r="E119" i="7" s="1"/>
  <c r="I77" i="2"/>
  <c r="D77" i="2" s="1"/>
  <c r="B78" i="2"/>
  <c r="B64" i="7" s="1"/>
  <c r="C78" i="2"/>
  <c r="C64" i="7" s="1"/>
  <c r="E78" i="2"/>
  <c r="D64" i="7" s="1"/>
  <c r="G78" i="2"/>
  <c r="H78" i="2"/>
  <c r="E64" i="7" s="1"/>
  <c r="I78" i="2"/>
  <c r="D78" i="2" s="1"/>
  <c r="B79" i="2"/>
  <c r="B39" i="7" s="1"/>
  <c r="C79" i="2"/>
  <c r="E79" i="2"/>
  <c r="D39" i="7" s="1"/>
  <c r="G79" i="2"/>
  <c r="H79" i="2"/>
  <c r="E39" i="7" s="1"/>
  <c r="I79" i="2"/>
  <c r="D79" i="2" s="1"/>
  <c r="B80" i="2"/>
  <c r="B66" i="7" s="1"/>
  <c r="C80" i="2"/>
  <c r="E80" i="2"/>
  <c r="D66" i="7" s="1"/>
  <c r="G80" i="2"/>
  <c r="H80" i="2"/>
  <c r="E66" i="7" s="1"/>
  <c r="I80" i="2"/>
  <c r="D80" i="2" s="1"/>
  <c r="B81" i="2"/>
  <c r="B52" i="7" s="1"/>
  <c r="C81" i="2"/>
  <c r="E81" i="2"/>
  <c r="D52" i="7" s="1"/>
  <c r="G81" i="2"/>
  <c r="H81" i="2"/>
  <c r="E52" i="7" s="1"/>
  <c r="I81" i="2"/>
  <c r="D81" i="2" s="1"/>
  <c r="B82" i="2"/>
  <c r="B74" i="7" s="1"/>
  <c r="C82" i="2"/>
  <c r="C74" i="7" s="1"/>
  <c r="E82" i="2"/>
  <c r="D74" i="7" s="1"/>
  <c r="G82" i="2"/>
  <c r="H82" i="2"/>
  <c r="E74" i="7" s="1"/>
  <c r="I82" i="2"/>
  <c r="B83" i="2"/>
  <c r="B69" i="7" s="1"/>
  <c r="C83" i="2"/>
  <c r="E83" i="2"/>
  <c r="D69" i="7" s="1"/>
  <c r="G83" i="2"/>
  <c r="H83" i="2"/>
  <c r="E69" i="7" s="1"/>
  <c r="I83" i="2"/>
  <c r="D83" i="2" s="1"/>
  <c r="B84" i="2"/>
  <c r="B70" i="7" s="1"/>
  <c r="C84" i="2"/>
  <c r="C70" i="7" s="1"/>
  <c r="E84" i="2"/>
  <c r="D70" i="7" s="1"/>
  <c r="G84" i="2"/>
  <c r="H84" i="2"/>
  <c r="I84" i="2"/>
  <c r="A70" i="7" s="1"/>
  <c r="F70" i="7" s="1"/>
  <c r="B85" i="2"/>
  <c r="B99" i="7" s="1"/>
  <c r="C85" i="2"/>
  <c r="E85" i="2"/>
  <c r="D99" i="7" s="1"/>
  <c r="G85" i="2"/>
  <c r="H85" i="2"/>
  <c r="E99" i="7" s="1"/>
  <c r="I85" i="2"/>
  <c r="D85" i="2" s="1"/>
  <c r="B86" i="2"/>
  <c r="B101" i="7" s="1"/>
  <c r="C86" i="2"/>
  <c r="E86" i="2"/>
  <c r="D101" i="7" s="1"/>
  <c r="G86" i="2"/>
  <c r="H86" i="2"/>
  <c r="E101" i="7" s="1"/>
  <c r="I86" i="2"/>
  <c r="A101" i="7" s="1"/>
  <c r="F101" i="7" s="1"/>
  <c r="B87" i="2"/>
  <c r="B73" i="7" s="1"/>
  <c r="C87" i="2"/>
  <c r="E87" i="2"/>
  <c r="D73" i="7" s="1"/>
  <c r="G87" i="2"/>
  <c r="H87" i="2"/>
  <c r="E73" i="7" s="1"/>
  <c r="I87" i="2"/>
  <c r="D87" i="2" s="1"/>
  <c r="B88" i="2"/>
  <c r="B127" i="7" s="1"/>
  <c r="C88" i="2"/>
  <c r="E88" i="2"/>
  <c r="D127" i="7" s="1"/>
  <c r="G88" i="2"/>
  <c r="H88" i="2"/>
  <c r="E127" i="7" s="1"/>
  <c r="I88" i="2"/>
  <c r="A127" i="7" s="1"/>
  <c r="F127" i="7" s="1"/>
  <c r="B89" i="2"/>
  <c r="B38" i="7" s="1"/>
  <c r="C89" i="2"/>
  <c r="E89" i="2"/>
  <c r="D38" i="7" s="1"/>
  <c r="G89" i="2"/>
  <c r="H89" i="2"/>
  <c r="E38" i="7" s="1"/>
  <c r="I89" i="2"/>
  <c r="D89" i="2" s="1"/>
  <c r="B90" i="2"/>
  <c r="B47" i="7" s="1"/>
  <c r="C90" i="2"/>
  <c r="E90" i="2"/>
  <c r="D47" i="7" s="1"/>
  <c r="G90" i="2"/>
  <c r="H90" i="2"/>
  <c r="E47" i="7" s="1"/>
  <c r="I90" i="2"/>
  <c r="A47" i="7" s="1"/>
  <c r="F47" i="7" s="1"/>
  <c r="B91" i="2"/>
  <c r="B48" i="7" s="1"/>
  <c r="C91" i="2"/>
  <c r="E91" i="2"/>
  <c r="D48" i="7" s="1"/>
  <c r="G91" i="2"/>
  <c r="H91" i="2"/>
  <c r="E48" i="7" s="1"/>
  <c r="I91" i="2"/>
  <c r="D91" i="2" s="1"/>
  <c r="B92" i="2"/>
  <c r="B72" i="7" s="1"/>
  <c r="C92" i="2"/>
  <c r="C72" i="7" s="1"/>
  <c r="E92" i="2"/>
  <c r="D72" i="7" s="1"/>
  <c r="G92" i="2"/>
  <c r="H92" i="2"/>
  <c r="E72" i="7" s="1"/>
  <c r="I92" i="2"/>
  <c r="A72" i="7" s="1"/>
  <c r="F72" i="7" s="1"/>
  <c r="B93" i="2"/>
  <c r="B78" i="7" s="1"/>
  <c r="C93" i="2"/>
  <c r="E93" i="2"/>
  <c r="D78" i="7" s="1"/>
  <c r="G93" i="2"/>
  <c r="H93" i="2"/>
  <c r="E78" i="7" s="1"/>
  <c r="I93" i="2"/>
  <c r="A78" i="7" s="1"/>
  <c r="F78" i="7" s="1"/>
  <c r="B94" i="2"/>
  <c r="B51" i="7" s="1"/>
  <c r="C94" i="2"/>
  <c r="E94" i="2"/>
  <c r="D51" i="7" s="1"/>
  <c r="G94" i="2"/>
  <c r="H94" i="2"/>
  <c r="E51" i="7" s="1"/>
  <c r="I94" i="2"/>
  <c r="A51" i="7" s="1"/>
  <c r="F51" i="7" s="1"/>
  <c r="B95" i="2"/>
  <c r="B98" i="7" s="1"/>
  <c r="C95" i="2"/>
  <c r="E95" i="2"/>
  <c r="D98" i="7" s="1"/>
  <c r="G95" i="2"/>
  <c r="H95" i="2"/>
  <c r="E98" i="7" s="1"/>
  <c r="I95" i="2"/>
  <c r="D95" i="2" s="1"/>
  <c r="B96" i="2"/>
  <c r="C96" i="2"/>
  <c r="E96" i="2"/>
  <c r="D53" i="7" s="1"/>
  <c r="G96" i="2"/>
  <c r="H96" i="2"/>
  <c r="E53" i="7" s="1"/>
  <c r="I96" i="2"/>
  <c r="A53" i="7" s="1"/>
  <c r="F53" i="7" s="1"/>
  <c r="B97" i="2"/>
  <c r="B54" i="7" s="1"/>
  <c r="C97" i="2"/>
  <c r="E97" i="2"/>
  <c r="D54" i="7" s="1"/>
  <c r="G97" i="2"/>
  <c r="H97" i="2"/>
  <c r="E54" i="7" s="1"/>
  <c r="I97" i="2"/>
  <c r="A54" i="7" s="1"/>
  <c r="F54" i="7" s="1"/>
  <c r="G54" i="7" s="1"/>
  <c r="B98" i="2"/>
  <c r="B91" i="7" s="1"/>
  <c r="C98" i="2"/>
  <c r="C91" i="7" s="1"/>
  <c r="E98" i="2"/>
  <c r="D91" i="7" s="1"/>
  <c r="G98" i="2"/>
  <c r="H98" i="2"/>
  <c r="E91" i="7" s="1"/>
  <c r="I98" i="2"/>
  <c r="D98" i="2" s="1"/>
  <c r="B99" i="2"/>
  <c r="B41" i="7" s="1"/>
  <c r="C99" i="2"/>
  <c r="E99" i="2"/>
  <c r="D41" i="7" s="1"/>
  <c r="G99" i="2"/>
  <c r="H99" i="2"/>
  <c r="E41" i="7" s="1"/>
  <c r="I99" i="2"/>
  <c r="A41" i="7" s="1"/>
  <c r="F41" i="7" s="1"/>
  <c r="B100" i="2"/>
  <c r="B42" i="7" s="1"/>
  <c r="C100" i="2"/>
  <c r="C42" i="7" s="1"/>
  <c r="E100" i="2"/>
  <c r="D42" i="7" s="1"/>
  <c r="G100" i="2"/>
  <c r="H100" i="2"/>
  <c r="E42" i="7" s="1"/>
  <c r="I100" i="2"/>
  <c r="A42" i="7" s="1"/>
  <c r="F42" i="7" s="1"/>
  <c r="B101" i="2"/>
  <c r="B44" i="7" s="1"/>
  <c r="C101" i="2"/>
  <c r="E101" i="2"/>
  <c r="D44" i="7" s="1"/>
  <c r="G101" i="2"/>
  <c r="H101" i="2"/>
  <c r="E44" i="7" s="1"/>
  <c r="I101" i="2"/>
  <c r="A44" i="7" s="1"/>
  <c r="F44" i="7" s="1"/>
  <c r="B102" i="2"/>
  <c r="B45" i="7" s="1"/>
  <c r="C102" i="2"/>
  <c r="C45" i="7" s="1"/>
  <c r="E102" i="2"/>
  <c r="D45" i="7" s="1"/>
  <c r="G102" i="2"/>
  <c r="H102" i="2"/>
  <c r="E45" i="7" s="1"/>
  <c r="I102" i="2"/>
  <c r="A45" i="7" s="1"/>
  <c r="F45" i="7" s="1"/>
  <c r="B103" i="2"/>
  <c r="B37" i="7" s="1"/>
  <c r="C103" i="2"/>
  <c r="C37" i="7" s="1"/>
  <c r="E103" i="2"/>
  <c r="D37" i="7" s="1"/>
  <c r="G103" i="2"/>
  <c r="H103" i="2"/>
  <c r="E37" i="7" s="1"/>
  <c r="I103" i="2"/>
  <c r="D103" i="2" s="1"/>
  <c r="B104" i="2"/>
  <c r="B50" i="7" s="1"/>
  <c r="C104" i="2"/>
  <c r="C50" i="7" s="1"/>
  <c r="E104" i="2"/>
  <c r="D50" i="7" s="1"/>
  <c r="G104" i="2"/>
  <c r="H104" i="2"/>
  <c r="E50" i="7" s="1"/>
  <c r="I104" i="2"/>
  <c r="D104" i="2" s="1"/>
  <c r="B105" i="2"/>
  <c r="B132" i="7" s="1"/>
  <c r="C105" i="2"/>
  <c r="E105" i="2"/>
  <c r="D132" i="7" s="1"/>
  <c r="G105" i="2"/>
  <c r="H105" i="2"/>
  <c r="E132" i="7" s="1"/>
  <c r="I105" i="2"/>
  <c r="A132" i="7" s="1"/>
  <c r="F132" i="7" s="1"/>
  <c r="B106" i="2"/>
  <c r="B133" i="7" s="1"/>
  <c r="C106" i="2"/>
  <c r="C133" i="7" s="1"/>
  <c r="E106" i="2"/>
  <c r="D133" i="7" s="1"/>
  <c r="G106" i="2"/>
  <c r="H106" i="2"/>
  <c r="E133" i="7" s="1"/>
  <c r="I106" i="2"/>
  <c r="D106" i="2" s="1"/>
  <c r="B107" i="2"/>
  <c r="B77" i="7" s="1"/>
  <c r="C107" i="2"/>
  <c r="E107" i="2"/>
  <c r="D77" i="7" s="1"/>
  <c r="G107" i="2"/>
  <c r="H107" i="2"/>
  <c r="E77" i="7" s="1"/>
  <c r="I107" i="2"/>
  <c r="D107" i="2" s="1"/>
  <c r="B108" i="2"/>
  <c r="B85" i="7" s="1"/>
  <c r="C108" i="2"/>
  <c r="C85" i="7" s="1"/>
  <c r="E108" i="2"/>
  <c r="D85" i="7" s="1"/>
  <c r="G108" i="2"/>
  <c r="H108" i="2"/>
  <c r="E85" i="7" s="1"/>
  <c r="I108" i="2"/>
  <c r="D108" i="2" s="1"/>
  <c r="B109" i="2"/>
  <c r="B90" i="7" s="1"/>
  <c r="C109" i="2"/>
  <c r="E109" i="2"/>
  <c r="D90" i="7" s="1"/>
  <c r="G109" i="2"/>
  <c r="H109" i="2"/>
  <c r="E90" i="7" s="1"/>
  <c r="I109" i="2"/>
  <c r="D109" i="2" s="1"/>
  <c r="B110" i="2"/>
  <c r="B137" i="7" s="1"/>
  <c r="C110" i="2"/>
  <c r="C137" i="7" s="1"/>
  <c r="E110" i="2"/>
  <c r="D137" i="7" s="1"/>
  <c r="G110" i="2"/>
  <c r="H110" i="2"/>
  <c r="E137" i="7" s="1"/>
  <c r="I110" i="2"/>
  <c r="A137" i="7" s="1"/>
  <c r="F137" i="7" s="1"/>
  <c r="B111" i="2"/>
  <c r="B117" i="7" s="1"/>
  <c r="C111" i="2"/>
  <c r="E111" i="2"/>
  <c r="D117" i="7" s="1"/>
  <c r="G111" i="2"/>
  <c r="H111" i="2"/>
  <c r="E117" i="7" s="1"/>
  <c r="I111" i="2"/>
  <c r="D111" i="2" s="1"/>
  <c r="B112" i="2"/>
  <c r="B139" i="7" s="1"/>
  <c r="C112" i="2"/>
  <c r="C139" i="7" s="1"/>
  <c r="E112" i="2"/>
  <c r="D139" i="7" s="1"/>
  <c r="G112" i="2"/>
  <c r="H112" i="2"/>
  <c r="E139" i="7" s="1"/>
  <c r="I112" i="2"/>
  <c r="A139" i="7" s="1"/>
  <c r="F139" i="7" s="1"/>
  <c r="B113" i="2"/>
  <c r="B94" i="7" s="1"/>
  <c r="C113" i="2"/>
  <c r="E113" i="2"/>
  <c r="D94" i="7" s="1"/>
  <c r="G113" i="2"/>
  <c r="H113" i="2"/>
  <c r="E94" i="7" s="1"/>
  <c r="I113" i="2"/>
  <c r="A94" i="7" s="1"/>
  <c r="F94" i="7" s="1"/>
  <c r="B114" i="2"/>
  <c r="B55" i="7" s="1"/>
  <c r="C114" i="2"/>
  <c r="E114" i="2"/>
  <c r="D55" i="7" s="1"/>
  <c r="G114" i="2"/>
  <c r="H114" i="2"/>
  <c r="E55" i="7" s="1"/>
  <c r="I114" i="2"/>
  <c r="D114" i="2" s="1"/>
  <c r="B115" i="2"/>
  <c r="B128" i="7" s="1"/>
  <c r="C115" i="2"/>
  <c r="E115" i="2"/>
  <c r="D128" i="7" s="1"/>
  <c r="G115" i="2"/>
  <c r="H115" i="2"/>
  <c r="E128" i="7" s="1"/>
  <c r="I115" i="2"/>
  <c r="A128" i="7" s="1"/>
  <c r="F128" i="7" s="1"/>
  <c r="B116" i="2"/>
  <c r="B125" i="7" s="1"/>
  <c r="C116" i="2"/>
  <c r="E116" i="2"/>
  <c r="D125" i="7" s="1"/>
  <c r="G116" i="2"/>
  <c r="H116" i="2"/>
  <c r="E125" i="7" s="1"/>
  <c r="I116" i="2"/>
  <c r="A125" i="7" s="1"/>
  <c r="F125" i="7" s="1"/>
  <c r="B117" i="2"/>
  <c r="B2" i="7" s="1"/>
  <c r="C117" i="2"/>
  <c r="C2" i="7" s="1"/>
  <c r="E117" i="2"/>
  <c r="D2" i="7" s="1"/>
  <c r="G117" i="2"/>
  <c r="H117" i="2"/>
  <c r="E2" i="7" s="1"/>
  <c r="I117" i="2"/>
  <c r="A2" i="7" s="1"/>
  <c r="F2" i="7" s="1"/>
  <c r="B118" i="2"/>
  <c r="B120" i="7" s="1"/>
  <c r="C118" i="2"/>
  <c r="C120" i="7" s="1"/>
  <c r="E118" i="2"/>
  <c r="D120" i="7" s="1"/>
  <c r="G118" i="2"/>
  <c r="H118" i="2"/>
  <c r="E120" i="7" s="1"/>
  <c r="I118" i="2"/>
  <c r="D118" i="2" s="1"/>
  <c r="B119" i="2"/>
  <c r="B121" i="7" s="1"/>
  <c r="C119" i="2"/>
  <c r="C121" i="7" s="1"/>
  <c r="E119" i="2"/>
  <c r="D121" i="7" s="1"/>
  <c r="G119" i="2"/>
  <c r="H119" i="2"/>
  <c r="E121" i="7" s="1"/>
  <c r="I119" i="2"/>
  <c r="D119" i="2" s="1"/>
  <c r="B120" i="2"/>
  <c r="B122" i="7" s="1"/>
  <c r="C120" i="2"/>
  <c r="E120" i="2"/>
  <c r="D122" i="7" s="1"/>
  <c r="G120" i="2"/>
  <c r="H120" i="2"/>
  <c r="E122" i="7" s="1"/>
  <c r="I120" i="2"/>
  <c r="D120" i="2" s="1"/>
  <c r="B121" i="2"/>
  <c r="B123" i="7" s="1"/>
  <c r="C121" i="2"/>
  <c r="E121" i="2"/>
  <c r="D123" i="7" s="1"/>
  <c r="G121" i="2"/>
  <c r="H121" i="2"/>
  <c r="E123" i="7" s="1"/>
  <c r="I121" i="2"/>
  <c r="A123" i="7" s="1"/>
  <c r="F123" i="7" s="1"/>
  <c r="B122" i="2"/>
  <c r="B124" i="7" s="1"/>
  <c r="C122" i="2"/>
  <c r="E122" i="2"/>
  <c r="D124" i="7" s="1"/>
  <c r="G122" i="2"/>
  <c r="H122" i="2"/>
  <c r="E124" i="7" s="1"/>
  <c r="I122" i="2"/>
  <c r="A124" i="7" s="1"/>
  <c r="F124" i="7" s="1"/>
  <c r="B123" i="2"/>
  <c r="B5" i="7" s="1"/>
  <c r="C123" i="2"/>
  <c r="E123" i="2"/>
  <c r="D5" i="7" s="1"/>
  <c r="G123" i="2"/>
  <c r="H123" i="2"/>
  <c r="E5" i="7" s="1"/>
  <c r="I123" i="2"/>
  <c r="D123" i="2" s="1"/>
  <c r="B124" i="2"/>
  <c r="B6" i="7" s="1"/>
  <c r="C124" i="2"/>
  <c r="E124" i="2"/>
  <c r="D6" i="7" s="1"/>
  <c r="G124" i="2"/>
  <c r="H124" i="2"/>
  <c r="E6" i="7" s="1"/>
  <c r="I124" i="2"/>
  <c r="A6" i="7" s="1"/>
  <c r="F6" i="7" s="1"/>
  <c r="B125" i="2"/>
  <c r="B7" i="7" s="1"/>
  <c r="C125" i="2"/>
  <c r="E125" i="2"/>
  <c r="D7" i="7" s="1"/>
  <c r="G125" i="2"/>
  <c r="H125" i="2"/>
  <c r="E7" i="7" s="1"/>
  <c r="I125" i="2"/>
  <c r="D125" i="2" s="1"/>
  <c r="B126" i="2"/>
  <c r="B8" i="7" s="1"/>
  <c r="C126" i="2"/>
  <c r="C8" i="7" s="1"/>
  <c r="E126" i="2"/>
  <c r="D8" i="7" s="1"/>
  <c r="G126" i="2"/>
  <c r="H126" i="2"/>
  <c r="E8" i="7" s="1"/>
  <c r="I126" i="2"/>
  <c r="A8" i="7" s="1"/>
  <c r="F8" i="7" s="1"/>
  <c r="B127" i="2"/>
  <c r="B9" i="7" s="1"/>
  <c r="C127" i="2"/>
  <c r="E127" i="2"/>
  <c r="D9" i="7" s="1"/>
  <c r="G127" i="2"/>
  <c r="H127" i="2"/>
  <c r="E9" i="7" s="1"/>
  <c r="I127" i="2"/>
  <c r="A9" i="7" s="1"/>
  <c r="F9" i="7" s="1"/>
  <c r="B128" i="2"/>
  <c r="B11" i="7" s="1"/>
  <c r="C128" i="2"/>
  <c r="E128" i="2"/>
  <c r="D11" i="7" s="1"/>
  <c r="G128" i="2"/>
  <c r="H128" i="2"/>
  <c r="E11" i="7" s="1"/>
  <c r="I128" i="2"/>
  <c r="A11" i="7" s="1"/>
  <c r="F11" i="7" s="1"/>
  <c r="B129" i="2"/>
  <c r="B12" i="7" s="1"/>
  <c r="C129" i="2"/>
  <c r="C12" i="7" s="1"/>
  <c r="E129" i="2"/>
  <c r="D12" i="7" s="1"/>
  <c r="G129" i="2"/>
  <c r="H129" i="2"/>
  <c r="E12" i="7" s="1"/>
  <c r="I129" i="2"/>
  <c r="A12" i="7" s="1"/>
  <c r="F12" i="7" s="1"/>
  <c r="B130" i="2"/>
  <c r="B13" i="7" s="1"/>
  <c r="C130" i="2"/>
  <c r="C13" i="7" s="1"/>
  <c r="E130" i="2"/>
  <c r="D13" i="7" s="1"/>
  <c r="G130" i="2"/>
  <c r="H130" i="2"/>
  <c r="E13" i="7" s="1"/>
  <c r="I130" i="2"/>
  <c r="D130" i="2" s="1"/>
  <c r="B131" i="2"/>
  <c r="B111" i="7" s="1"/>
  <c r="C131" i="2"/>
  <c r="E131" i="2"/>
  <c r="D111" i="7" s="1"/>
  <c r="G131" i="2"/>
  <c r="H131" i="2"/>
  <c r="E111" i="7" s="1"/>
  <c r="I131" i="2"/>
  <c r="A111" i="7" s="1"/>
  <c r="F111" i="7" s="1"/>
  <c r="B132" i="2"/>
  <c r="B113" i="7" s="1"/>
  <c r="C132" i="2"/>
  <c r="C113" i="7" s="1"/>
  <c r="E132" i="2"/>
  <c r="D113" i="7" s="1"/>
  <c r="G132" i="2"/>
  <c r="H132" i="2"/>
  <c r="E113" i="7" s="1"/>
  <c r="I132" i="2"/>
  <c r="D132" i="2" s="1"/>
  <c r="B133" i="2"/>
  <c r="B115" i="7" s="1"/>
  <c r="C133" i="2"/>
  <c r="E133" i="2"/>
  <c r="D115" i="7" s="1"/>
  <c r="G133" i="2"/>
  <c r="H133" i="2"/>
  <c r="E115" i="7" s="1"/>
  <c r="I133" i="2"/>
  <c r="A115" i="7" s="1"/>
  <c r="F115" i="7" s="1"/>
  <c r="B134" i="2"/>
  <c r="B26" i="7" s="1"/>
  <c r="C134" i="2"/>
  <c r="E134" i="2"/>
  <c r="D26" i="7" s="1"/>
  <c r="G134" i="2"/>
  <c r="H134" i="2"/>
  <c r="E26" i="7" s="1"/>
  <c r="I134" i="2"/>
  <c r="A26" i="7" s="1"/>
  <c r="F26" i="7" s="1"/>
  <c r="B135" i="2"/>
  <c r="B135" i="7" s="1"/>
  <c r="C135" i="2"/>
  <c r="E135" i="2"/>
  <c r="D135" i="7" s="1"/>
  <c r="G135" i="2"/>
  <c r="H135" i="2"/>
  <c r="E135" i="7" s="1"/>
  <c r="I135" i="2"/>
  <c r="A135" i="7" s="1"/>
  <c r="F135" i="7" s="1"/>
  <c r="K135" i="7" s="1"/>
  <c r="B136" i="2"/>
  <c r="B136" i="7" s="1"/>
  <c r="C136" i="2"/>
  <c r="E136" i="2"/>
  <c r="D136" i="7" s="1"/>
  <c r="G136" i="2"/>
  <c r="H136" i="2"/>
  <c r="E136" i="7" s="1"/>
  <c r="I136" i="2"/>
  <c r="A136" i="7" s="1"/>
  <c r="F136" i="7" s="1"/>
  <c r="B137" i="2"/>
  <c r="B138" i="7" s="1"/>
  <c r="C137" i="2"/>
  <c r="E137" i="2"/>
  <c r="D138" i="7" s="1"/>
  <c r="G137" i="2"/>
  <c r="H137" i="2"/>
  <c r="E138" i="7" s="1"/>
  <c r="I137" i="2"/>
  <c r="D137" i="2" s="1"/>
  <c r="B138" i="2"/>
  <c r="B134" i="7" s="1"/>
  <c r="C138" i="2"/>
  <c r="C134" i="7" s="1"/>
  <c r="E138" i="2"/>
  <c r="D134" i="7" s="1"/>
  <c r="G138" i="2"/>
  <c r="H138" i="2"/>
  <c r="E134" i="7" s="1"/>
  <c r="I138" i="2"/>
  <c r="A134" i="7" s="1"/>
  <c r="F134" i="7" s="1"/>
  <c r="B139" i="2"/>
  <c r="B140" i="7" s="1"/>
  <c r="C139" i="2"/>
  <c r="E139" i="2"/>
  <c r="D140" i="7" s="1"/>
  <c r="G139" i="2"/>
  <c r="H139" i="2"/>
  <c r="E140" i="7" s="1"/>
  <c r="I139" i="2"/>
  <c r="D139" i="2" s="1"/>
  <c r="B140" i="2"/>
  <c r="B142" i="7" s="1"/>
  <c r="C140" i="2"/>
  <c r="C142" i="7" s="1"/>
  <c r="E140" i="2"/>
  <c r="D142" i="7" s="1"/>
  <c r="G140" i="2"/>
  <c r="H140" i="2"/>
  <c r="E142" i="7" s="1"/>
  <c r="I140" i="2"/>
  <c r="A142" i="7" s="1"/>
  <c r="B141" i="2"/>
  <c r="B144" i="7" s="1"/>
  <c r="C141" i="2"/>
  <c r="E141" i="2"/>
  <c r="D144" i="7" s="1"/>
  <c r="G141" i="2"/>
  <c r="H141" i="2"/>
  <c r="E144" i="7" s="1"/>
  <c r="I141" i="2"/>
  <c r="A144" i="7" s="1"/>
  <c r="B67" i="7"/>
  <c r="C67" i="7"/>
  <c r="D67" i="7"/>
  <c r="E67" i="7"/>
  <c r="A67" i="7"/>
  <c r="D18" i="7"/>
  <c r="A35" i="7"/>
  <c r="F35" i="7" s="1"/>
  <c r="I35" i="7" s="1"/>
  <c r="A96" i="7"/>
  <c r="F96" i="7" s="1"/>
  <c r="E70" i="7"/>
  <c r="B33" i="7"/>
  <c r="E4" i="7"/>
  <c r="C14" i="7"/>
  <c r="H84" i="5"/>
  <c r="G84" i="5"/>
  <c r="F84" i="5"/>
  <c r="E84" i="5"/>
  <c r="D84" i="5"/>
  <c r="C84" i="5"/>
  <c r="B84" i="5"/>
  <c r="H83" i="5"/>
  <c r="G83" i="5"/>
  <c r="F83" i="5"/>
  <c r="E83" i="5"/>
  <c r="D83" i="5"/>
  <c r="C83" i="5"/>
  <c r="B83" i="5"/>
  <c r="A83" i="5"/>
  <c r="H82" i="5"/>
  <c r="G82" i="5"/>
  <c r="F82" i="5"/>
  <c r="E82" i="5"/>
  <c r="D82" i="5"/>
  <c r="C82" i="5"/>
  <c r="B82" i="5"/>
  <c r="H81" i="5"/>
  <c r="G81" i="5"/>
  <c r="F81" i="5"/>
  <c r="E81" i="5"/>
  <c r="D81" i="5"/>
  <c r="C81" i="5"/>
  <c r="B81" i="5"/>
  <c r="A81" i="5"/>
  <c r="H80" i="5"/>
  <c r="G80" i="5"/>
  <c r="F80" i="5"/>
  <c r="E80" i="5"/>
  <c r="D80" i="5"/>
  <c r="C80" i="5"/>
  <c r="B80" i="5"/>
  <c r="H79" i="5"/>
  <c r="G79" i="5"/>
  <c r="F79" i="5"/>
  <c r="E79" i="5"/>
  <c r="D79" i="5"/>
  <c r="C79" i="5"/>
  <c r="B79" i="5"/>
  <c r="H78" i="5"/>
  <c r="G78" i="5"/>
  <c r="F78" i="5"/>
  <c r="E78" i="5"/>
  <c r="D78" i="5"/>
  <c r="C78" i="5"/>
  <c r="B78" i="5"/>
  <c r="H77" i="5"/>
  <c r="G77" i="5"/>
  <c r="F77" i="5"/>
  <c r="E77" i="5"/>
  <c r="D77" i="5"/>
  <c r="C77" i="5"/>
  <c r="B77" i="5"/>
  <c r="H76" i="5"/>
  <c r="G76" i="5"/>
  <c r="F76" i="5"/>
  <c r="E76" i="5"/>
  <c r="D76" i="5"/>
  <c r="C76" i="5"/>
  <c r="B76" i="5"/>
  <c r="H75" i="5"/>
  <c r="G75" i="5"/>
  <c r="F75" i="5"/>
  <c r="E75" i="5"/>
  <c r="D75" i="5"/>
  <c r="C75" i="5"/>
  <c r="B75" i="5"/>
  <c r="H74" i="5"/>
  <c r="G74" i="5"/>
  <c r="F74" i="5"/>
  <c r="E74" i="5"/>
  <c r="D74" i="5"/>
  <c r="C74" i="5"/>
  <c r="B74" i="5"/>
  <c r="H73" i="5"/>
  <c r="G73" i="5"/>
  <c r="F73" i="5"/>
  <c r="E73" i="5"/>
  <c r="D73" i="5"/>
  <c r="C73" i="5"/>
  <c r="B73" i="5"/>
  <c r="H72" i="5"/>
  <c r="G72" i="5"/>
  <c r="F72" i="5"/>
  <c r="E72" i="5"/>
  <c r="D72" i="5"/>
  <c r="C72" i="5"/>
  <c r="B72" i="5"/>
  <c r="H71" i="5"/>
  <c r="G71" i="5"/>
  <c r="F71" i="5"/>
  <c r="E71" i="5"/>
  <c r="D71" i="5"/>
  <c r="C71" i="5"/>
  <c r="B71" i="5"/>
  <c r="H70" i="5"/>
  <c r="G70" i="5"/>
  <c r="F70" i="5"/>
  <c r="E70" i="5"/>
  <c r="D70" i="5"/>
  <c r="C70" i="5"/>
  <c r="B70" i="5"/>
  <c r="H69" i="5"/>
  <c r="G69" i="5"/>
  <c r="F69" i="5"/>
  <c r="E69" i="5"/>
  <c r="D69" i="5"/>
  <c r="C69" i="5"/>
  <c r="B69" i="5"/>
  <c r="H68" i="5"/>
  <c r="G68" i="5"/>
  <c r="F68" i="5"/>
  <c r="E68" i="5"/>
  <c r="D68" i="5"/>
  <c r="C68" i="5"/>
  <c r="B68" i="5"/>
  <c r="H67" i="5"/>
  <c r="G67" i="5"/>
  <c r="F67" i="5"/>
  <c r="E67" i="5"/>
  <c r="D67" i="5"/>
  <c r="C67" i="5"/>
  <c r="B67" i="5"/>
  <c r="H66" i="5"/>
  <c r="G66" i="5"/>
  <c r="F66" i="5"/>
  <c r="E66" i="5"/>
  <c r="D66" i="5"/>
  <c r="C66" i="5"/>
  <c r="B66" i="5"/>
  <c r="H65" i="5"/>
  <c r="G65" i="5"/>
  <c r="F65" i="5"/>
  <c r="C65" i="5"/>
  <c r="B65" i="5"/>
  <c r="H64" i="5"/>
  <c r="G64" i="5"/>
  <c r="F64" i="5"/>
  <c r="E64" i="5"/>
  <c r="D64" i="5"/>
  <c r="C64" i="5"/>
  <c r="B64" i="5"/>
  <c r="A64" i="5"/>
  <c r="H63" i="5"/>
  <c r="G63" i="5"/>
  <c r="F63" i="5"/>
  <c r="E63" i="5"/>
  <c r="D63" i="5"/>
  <c r="C63" i="5"/>
  <c r="B63" i="5"/>
  <c r="H62" i="5"/>
  <c r="G62" i="5"/>
  <c r="F62" i="5"/>
  <c r="E62" i="5"/>
  <c r="D62" i="5"/>
  <c r="C62" i="5"/>
  <c r="B62" i="5"/>
  <c r="H61" i="5"/>
  <c r="G61" i="5"/>
  <c r="F61" i="5"/>
  <c r="E61" i="5"/>
  <c r="D61" i="5"/>
  <c r="C61" i="5"/>
  <c r="B61" i="5"/>
  <c r="H60" i="5"/>
  <c r="G60" i="5"/>
  <c r="F60" i="5"/>
  <c r="E60" i="5"/>
  <c r="D60" i="5"/>
  <c r="C60" i="5"/>
  <c r="B60" i="5"/>
  <c r="H59" i="5"/>
  <c r="G59" i="5"/>
  <c r="F59" i="5"/>
  <c r="E59" i="5"/>
  <c r="D59" i="5"/>
  <c r="C59" i="5"/>
  <c r="B59" i="5"/>
  <c r="A59" i="5"/>
  <c r="H58" i="5"/>
  <c r="G58" i="5"/>
  <c r="F58" i="5"/>
  <c r="E58" i="5"/>
  <c r="D58" i="5"/>
  <c r="C58" i="5"/>
  <c r="B58" i="5"/>
  <c r="H57" i="5"/>
  <c r="G57" i="5"/>
  <c r="F57" i="5"/>
  <c r="E57" i="5"/>
  <c r="D57" i="5"/>
  <c r="C57" i="5"/>
  <c r="B57" i="5"/>
  <c r="H56" i="5"/>
  <c r="G56" i="5"/>
  <c r="F56" i="5"/>
  <c r="E56" i="5"/>
  <c r="D56" i="5"/>
  <c r="C56" i="5"/>
  <c r="B56" i="5"/>
  <c r="H55" i="5"/>
  <c r="G55" i="5"/>
  <c r="F55" i="5"/>
  <c r="E55" i="5"/>
  <c r="D55" i="5"/>
  <c r="C55" i="5"/>
  <c r="B55" i="5"/>
  <c r="H54" i="5"/>
  <c r="G54" i="5"/>
  <c r="F54" i="5"/>
  <c r="E54" i="5"/>
  <c r="D54" i="5"/>
  <c r="C54" i="5"/>
  <c r="B54" i="5"/>
  <c r="A54" i="5"/>
  <c r="H53" i="5"/>
  <c r="G53" i="5"/>
  <c r="F53" i="5"/>
  <c r="E53" i="5"/>
  <c r="D53" i="5"/>
  <c r="C53" i="5"/>
  <c r="B53" i="5"/>
  <c r="H52" i="5"/>
  <c r="G52" i="5"/>
  <c r="F52" i="5"/>
  <c r="E52" i="5"/>
  <c r="D52" i="5"/>
  <c r="C52" i="5"/>
  <c r="B52" i="5"/>
  <c r="H51" i="5"/>
  <c r="G51" i="5"/>
  <c r="F51" i="5"/>
  <c r="E51" i="5"/>
  <c r="D51" i="5"/>
  <c r="C51" i="5"/>
  <c r="B51" i="5"/>
  <c r="A51" i="5"/>
  <c r="H50" i="5"/>
  <c r="G50" i="5"/>
  <c r="F50" i="5"/>
  <c r="E50" i="5"/>
  <c r="D50" i="5"/>
  <c r="C50" i="5"/>
  <c r="B50" i="5"/>
  <c r="H49" i="5"/>
  <c r="G49" i="5"/>
  <c r="F49" i="5"/>
  <c r="E49" i="5"/>
  <c r="D49" i="5"/>
  <c r="C49" i="5"/>
  <c r="B49" i="5"/>
  <c r="H48" i="5"/>
  <c r="G48" i="5"/>
  <c r="F48" i="5"/>
  <c r="E48" i="5"/>
  <c r="D48" i="5"/>
  <c r="C48" i="5"/>
  <c r="B48" i="5"/>
  <c r="H47" i="5"/>
  <c r="G47" i="5"/>
  <c r="F47" i="5"/>
  <c r="E47" i="5"/>
  <c r="D47" i="5"/>
  <c r="C47" i="5"/>
  <c r="B47" i="5"/>
  <c r="H46" i="5"/>
  <c r="G46" i="5"/>
  <c r="F46" i="5"/>
  <c r="E46" i="5"/>
  <c r="D46" i="5"/>
  <c r="C46" i="5"/>
  <c r="B46" i="5"/>
  <c r="A46" i="5"/>
  <c r="H45" i="5"/>
  <c r="G45" i="5"/>
  <c r="F45" i="5"/>
  <c r="E45" i="5"/>
  <c r="D45" i="5"/>
  <c r="C45" i="5"/>
  <c r="B45" i="5"/>
  <c r="H44" i="5"/>
  <c r="G44" i="5"/>
  <c r="F44" i="5"/>
  <c r="E44" i="5"/>
  <c r="D44" i="5"/>
  <c r="C44" i="5"/>
  <c r="B44" i="5"/>
  <c r="H43" i="5"/>
  <c r="G43" i="5"/>
  <c r="F43" i="5"/>
  <c r="E43" i="5"/>
  <c r="D43" i="5"/>
  <c r="C43" i="5"/>
  <c r="B43" i="5"/>
  <c r="H42" i="5"/>
  <c r="G42" i="5"/>
  <c r="F42" i="5"/>
  <c r="E42" i="5"/>
  <c r="D42" i="5"/>
  <c r="C42" i="5"/>
  <c r="B42" i="5"/>
  <c r="H41" i="5"/>
  <c r="G41" i="5"/>
  <c r="F41" i="5"/>
  <c r="E41" i="5"/>
  <c r="D41" i="5"/>
  <c r="C41" i="5"/>
  <c r="B41" i="5"/>
  <c r="H40" i="5"/>
  <c r="G40" i="5"/>
  <c r="F40" i="5"/>
  <c r="E40" i="5"/>
  <c r="D40" i="5"/>
  <c r="C40" i="5"/>
  <c r="B40" i="5"/>
  <c r="H39" i="5"/>
  <c r="G39" i="5"/>
  <c r="F39" i="5"/>
  <c r="E39" i="5"/>
  <c r="D39" i="5"/>
  <c r="C39" i="5"/>
  <c r="B39" i="5"/>
  <c r="A39" i="5"/>
  <c r="H38" i="5"/>
  <c r="G38" i="5"/>
  <c r="F38" i="5"/>
  <c r="E38" i="5"/>
  <c r="D38" i="5"/>
  <c r="C38" i="5"/>
  <c r="B38" i="5"/>
  <c r="A38" i="5"/>
  <c r="H37" i="5"/>
  <c r="G37" i="5"/>
  <c r="F37" i="5"/>
  <c r="E37" i="5"/>
  <c r="D37" i="5"/>
  <c r="C37" i="5"/>
  <c r="B37" i="5"/>
  <c r="H36" i="5"/>
  <c r="G36" i="5"/>
  <c r="F36" i="5"/>
  <c r="E36" i="5"/>
  <c r="D36" i="5"/>
  <c r="C36" i="5"/>
  <c r="B36" i="5"/>
  <c r="H35" i="5"/>
  <c r="G35" i="5"/>
  <c r="F35" i="5"/>
  <c r="E35" i="5"/>
  <c r="D35" i="5"/>
  <c r="C35" i="5"/>
  <c r="B35" i="5"/>
  <c r="H34" i="5"/>
  <c r="G34" i="5"/>
  <c r="F34" i="5"/>
  <c r="E34" i="5"/>
  <c r="D34" i="5"/>
  <c r="C34" i="5"/>
  <c r="B34" i="5"/>
  <c r="A34" i="5"/>
  <c r="H33" i="5"/>
  <c r="G33" i="5"/>
  <c r="F33" i="5"/>
  <c r="E33" i="5"/>
  <c r="D33" i="5"/>
  <c r="C33" i="5"/>
  <c r="B33" i="5"/>
  <c r="A33" i="5"/>
  <c r="H32" i="5"/>
  <c r="G32" i="5"/>
  <c r="F32" i="5"/>
  <c r="E32" i="5"/>
  <c r="D32" i="5"/>
  <c r="C32" i="5"/>
  <c r="B32" i="5"/>
  <c r="A32" i="5"/>
  <c r="H31" i="5"/>
  <c r="G31" i="5"/>
  <c r="F31" i="5"/>
  <c r="E31" i="5"/>
  <c r="D31" i="5"/>
  <c r="C31" i="5"/>
  <c r="B31" i="5"/>
  <c r="A31" i="5"/>
  <c r="H30" i="5"/>
  <c r="G30" i="5"/>
  <c r="F30" i="5"/>
  <c r="E30" i="5"/>
  <c r="D30" i="5"/>
  <c r="C30" i="5"/>
  <c r="B30" i="5"/>
  <c r="A30" i="5"/>
  <c r="H29" i="5"/>
  <c r="G29" i="5"/>
  <c r="F29" i="5"/>
  <c r="E29" i="5"/>
  <c r="D29" i="5"/>
  <c r="C29" i="5"/>
  <c r="B29" i="5"/>
  <c r="H28" i="5"/>
  <c r="G28" i="5"/>
  <c r="F28" i="5"/>
  <c r="E28" i="5"/>
  <c r="D28" i="5"/>
  <c r="C28" i="5"/>
  <c r="B28" i="5"/>
  <c r="A28" i="5"/>
  <c r="H27" i="5"/>
  <c r="G27" i="5"/>
  <c r="F27" i="5"/>
  <c r="E27" i="5"/>
  <c r="D27" i="5"/>
  <c r="C27" i="5"/>
  <c r="B27" i="5"/>
  <c r="A27" i="5"/>
  <c r="H26" i="5"/>
  <c r="G26" i="5"/>
  <c r="F26" i="5"/>
  <c r="E26" i="5"/>
  <c r="D26" i="5"/>
  <c r="C26" i="5"/>
  <c r="B26" i="5"/>
  <c r="H25" i="5"/>
  <c r="G25" i="5"/>
  <c r="F25" i="5"/>
  <c r="E25" i="5"/>
  <c r="D25" i="5"/>
  <c r="C25" i="5"/>
  <c r="B25" i="5"/>
  <c r="A25" i="5"/>
  <c r="H24" i="5"/>
  <c r="G24" i="5"/>
  <c r="F24" i="5"/>
  <c r="E24" i="5"/>
  <c r="D24" i="5"/>
  <c r="C24" i="5"/>
  <c r="B24" i="5"/>
  <c r="H23" i="5"/>
  <c r="G23" i="5"/>
  <c r="F23" i="5"/>
  <c r="E23" i="5"/>
  <c r="D23" i="5"/>
  <c r="C23" i="5"/>
  <c r="B23" i="5"/>
  <c r="H22" i="5"/>
  <c r="G22" i="5"/>
  <c r="F22" i="5"/>
  <c r="E22" i="5"/>
  <c r="D22" i="5"/>
  <c r="C22" i="5"/>
  <c r="B22" i="5"/>
  <c r="H21" i="5"/>
  <c r="G21" i="5"/>
  <c r="F21" i="5"/>
  <c r="E21" i="5"/>
  <c r="D21" i="5"/>
  <c r="C21" i="5"/>
  <c r="B21" i="5"/>
  <c r="H20" i="5"/>
  <c r="G20" i="5"/>
  <c r="F20" i="5"/>
  <c r="E20" i="5"/>
  <c r="D20" i="5"/>
  <c r="C20" i="5"/>
  <c r="B20" i="5"/>
  <c r="H19" i="5"/>
  <c r="G19" i="5"/>
  <c r="F19" i="5"/>
  <c r="E19" i="5"/>
  <c r="D19" i="5"/>
  <c r="C19" i="5"/>
  <c r="B19" i="5"/>
  <c r="H18" i="5"/>
  <c r="G18" i="5"/>
  <c r="F18" i="5"/>
  <c r="E18" i="5"/>
  <c r="D18" i="5"/>
  <c r="C18" i="5"/>
  <c r="B18" i="5"/>
  <c r="H17" i="5"/>
  <c r="G17" i="5"/>
  <c r="F17" i="5"/>
  <c r="E17" i="5"/>
  <c r="D17" i="5"/>
  <c r="C17" i="5"/>
  <c r="B17" i="5"/>
  <c r="H16" i="5"/>
  <c r="G16" i="5"/>
  <c r="F16" i="5"/>
  <c r="E16" i="5"/>
  <c r="D16" i="5"/>
  <c r="C16" i="5"/>
  <c r="B16" i="5"/>
  <c r="H15" i="5"/>
  <c r="G15" i="5"/>
  <c r="F15" i="5"/>
  <c r="E15" i="5"/>
  <c r="D15" i="5"/>
  <c r="C15" i="5"/>
  <c r="B15" i="5"/>
  <c r="H14" i="5"/>
  <c r="G14" i="5"/>
  <c r="F14" i="5"/>
  <c r="E14" i="5"/>
  <c r="D14" i="5"/>
  <c r="C14" i="5"/>
  <c r="B14" i="5"/>
  <c r="H13" i="5"/>
  <c r="G13" i="5"/>
  <c r="F13" i="5"/>
  <c r="E13" i="5"/>
  <c r="D13" i="5"/>
  <c r="C13" i="5"/>
  <c r="B13" i="5"/>
  <c r="H12" i="5"/>
  <c r="G12" i="5"/>
  <c r="F12" i="5"/>
  <c r="E12" i="5"/>
  <c r="D12" i="5"/>
  <c r="C12" i="5"/>
  <c r="B12" i="5"/>
  <c r="H11" i="5"/>
  <c r="G11" i="5"/>
  <c r="F11" i="5"/>
  <c r="E11" i="5"/>
  <c r="D11" i="5"/>
  <c r="C11" i="5"/>
  <c r="B11" i="5"/>
  <c r="H10" i="5"/>
  <c r="G10" i="5"/>
  <c r="F10" i="5"/>
  <c r="E10" i="5"/>
  <c r="D10" i="5"/>
  <c r="C10" i="5"/>
  <c r="B10" i="5"/>
  <c r="H9" i="5"/>
  <c r="G9" i="5"/>
  <c r="F9" i="5"/>
  <c r="E9" i="5"/>
  <c r="D9" i="5"/>
  <c r="C9" i="5"/>
  <c r="B9" i="5"/>
  <c r="H8" i="5"/>
  <c r="G8" i="5"/>
  <c r="F8" i="5"/>
  <c r="E8" i="5"/>
  <c r="D8" i="5"/>
  <c r="C8" i="5"/>
  <c r="B8" i="5"/>
  <c r="H7" i="5"/>
  <c r="G7" i="5"/>
  <c r="F7" i="5"/>
  <c r="E7" i="5"/>
  <c r="D7" i="5"/>
  <c r="C7" i="5"/>
  <c r="B7" i="5"/>
  <c r="H6" i="5"/>
  <c r="G6" i="5"/>
  <c r="F6" i="5"/>
  <c r="E6" i="5"/>
  <c r="D6" i="5"/>
  <c r="C6" i="5"/>
  <c r="B6" i="5"/>
  <c r="H5" i="5"/>
  <c r="G5" i="5"/>
  <c r="F5" i="5"/>
  <c r="E5" i="5"/>
  <c r="D5" i="5"/>
  <c r="C5" i="5"/>
  <c r="B5" i="5"/>
  <c r="H4" i="5"/>
  <c r="G4" i="5"/>
  <c r="F4" i="5"/>
  <c r="E4" i="5"/>
  <c r="D4" i="5"/>
  <c r="C4" i="5"/>
  <c r="B4" i="5"/>
  <c r="H3" i="5"/>
  <c r="G3" i="5"/>
  <c r="F3" i="5"/>
  <c r="E3" i="5"/>
  <c r="D3" i="5"/>
  <c r="C3" i="5"/>
  <c r="B3" i="5"/>
  <c r="H2" i="5"/>
  <c r="G2" i="5"/>
  <c r="F2" i="5"/>
  <c r="E2" i="5"/>
  <c r="D2" i="5"/>
  <c r="C2" i="5"/>
  <c r="B2" i="5"/>
  <c r="H1" i="5"/>
  <c r="G1" i="5"/>
  <c r="F1" i="5"/>
  <c r="E1" i="5"/>
  <c r="D1" i="5"/>
  <c r="C1" i="5"/>
  <c r="B1" i="5"/>
  <c r="A1" i="5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A77" i="7"/>
  <c r="F77" i="7" s="1"/>
  <c r="B53" i="7"/>
  <c r="A66" i="7"/>
  <c r="F66" i="7" s="1"/>
  <c r="A75" i="7"/>
  <c r="F75" i="7" s="1"/>
  <c r="B59" i="7"/>
  <c r="A80" i="7"/>
  <c r="F80" i="7" s="1"/>
  <c r="B71" i="7"/>
  <c r="A118" i="7"/>
  <c r="F118" i="7" s="1"/>
  <c r="A116" i="7"/>
  <c r="F116" i="7" s="1"/>
  <c r="J116" i="7" s="1"/>
  <c r="A114" i="7"/>
  <c r="F114" i="7" s="1"/>
  <c r="A65" i="7"/>
  <c r="F65" i="7" s="1"/>
  <c r="D65" i="7"/>
  <c r="A112" i="7"/>
  <c r="F112" i="7" s="1"/>
  <c r="G112" i="7" s="1"/>
  <c r="D34" i="7"/>
  <c r="E107" i="7"/>
  <c r="A105" i="7"/>
  <c r="F105" i="7" s="1"/>
  <c r="A83" i="7"/>
  <c r="F83" i="7" s="1"/>
  <c r="A68" i="7"/>
  <c r="F68" i="7" s="1"/>
  <c r="G68" i="7" s="1"/>
  <c r="E35" i="7"/>
  <c r="A20" i="7"/>
  <c r="F20" i="7" s="1"/>
  <c r="I2" i="2"/>
  <c r="A3" i="7" s="1"/>
  <c r="F3" i="7" s="1"/>
  <c r="H2" i="2"/>
  <c r="E3" i="7" s="1"/>
  <c r="G2" i="2"/>
  <c r="E2" i="2"/>
  <c r="D3" i="7" s="1"/>
  <c r="C2" i="2"/>
  <c r="B2" i="2"/>
  <c r="B3" i="7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l="1"/>
  <c r="A17" i="1" s="1"/>
  <c r="A18" i="1" s="1"/>
  <c r="A19" i="1" s="1"/>
  <c r="A20" i="1" s="1"/>
  <c r="A21" i="1" s="1"/>
  <c r="A22" i="1" s="1"/>
  <c r="A90" i="7"/>
  <c r="F90" i="7" s="1"/>
  <c r="G90" i="7" s="1"/>
  <c r="D72" i="2"/>
  <c r="A98" i="7"/>
  <c r="F98" i="7" s="1"/>
  <c r="J98" i="7" s="1"/>
  <c r="A52" i="7"/>
  <c r="F52" i="7" s="1"/>
  <c r="D34" i="2"/>
  <c r="A103" i="7"/>
  <c r="F103" i="7" s="1"/>
  <c r="H103" i="7" s="1"/>
  <c r="A62" i="7"/>
  <c r="F62" i="7" s="1"/>
  <c r="H62" i="7" s="1"/>
  <c r="D82" i="2"/>
  <c r="A97" i="7"/>
  <c r="F97" i="7" s="1"/>
  <c r="G97" i="7" s="1"/>
  <c r="A55" i="7"/>
  <c r="F55" i="7" s="1"/>
  <c r="H55" i="7" s="1"/>
  <c r="D54" i="2"/>
  <c r="A74" i="7"/>
  <c r="F74" i="7" s="1"/>
  <c r="G74" i="7" s="1"/>
  <c r="C40" i="7"/>
  <c r="A56" i="7"/>
  <c r="F56" i="7" s="1"/>
  <c r="I56" i="7" s="1"/>
  <c r="A21" i="7"/>
  <c r="F21" i="7" s="1"/>
  <c r="I21" i="7" s="1"/>
  <c r="A82" i="7"/>
  <c r="F82" i="7" s="1"/>
  <c r="I82" i="7" s="1"/>
  <c r="A129" i="7"/>
  <c r="F129" i="7" s="1"/>
  <c r="G129" i="7" s="1"/>
  <c r="A71" i="7"/>
  <c r="F71" i="7" s="1"/>
  <c r="G71" i="7" s="1"/>
  <c r="A60" i="7"/>
  <c r="F60" i="7" s="1"/>
  <c r="J60" i="7" s="1"/>
  <c r="I131" i="7"/>
  <c r="G131" i="7"/>
  <c r="H131" i="7"/>
  <c r="D141" i="2"/>
  <c r="D133" i="2"/>
  <c r="D129" i="2"/>
  <c r="D121" i="2"/>
  <c r="D117" i="2"/>
  <c r="D113" i="2"/>
  <c r="D105" i="2"/>
  <c r="D101" i="2"/>
  <c r="D97" i="2"/>
  <c r="D93" i="2"/>
  <c r="D73" i="2"/>
  <c r="D64" i="2"/>
  <c r="D60" i="2"/>
  <c r="D39" i="2"/>
  <c r="A126" i="7"/>
  <c r="F126" i="7" s="1"/>
  <c r="I126" i="7" s="1"/>
  <c r="D140" i="2"/>
  <c r="D136" i="2"/>
  <c r="D128" i="2"/>
  <c r="D124" i="2"/>
  <c r="D116" i="2"/>
  <c r="D112" i="2"/>
  <c r="D100" i="2"/>
  <c r="D96" i="2"/>
  <c r="D92" i="2"/>
  <c r="D88" i="2"/>
  <c r="D84" i="2"/>
  <c r="D67" i="2"/>
  <c r="D59" i="2"/>
  <c r="D38" i="2"/>
  <c r="D30" i="2"/>
  <c r="D26" i="2"/>
  <c r="D2" i="2"/>
  <c r="D135" i="2"/>
  <c r="D131" i="2"/>
  <c r="D127" i="2"/>
  <c r="D115" i="2"/>
  <c r="D99" i="2"/>
  <c r="D71" i="2"/>
  <c r="D62" i="2"/>
  <c r="D138" i="2"/>
  <c r="D134" i="2"/>
  <c r="D126" i="2"/>
  <c r="D122" i="2"/>
  <c r="D110" i="2"/>
  <c r="D102" i="2"/>
  <c r="D94" i="2"/>
  <c r="D90" i="2"/>
  <c r="D86" i="2"/>
  <c r="D65" i="2"/>
  <c r="D61" i="2"/>
  <c r="D40" i="2"/>
  <c r="D36" i="2"/>
  <c r="D32" i="2"/>
  <c r="D28" i="2"/>
  <c r="D55" i="2"/>
  <c r="D69" i="2"/>
  <c r="B40" i="7"/>
  <c r="A104" i="7"/>
  <c r="F104" i="7" s="1"/>
  <c r="I104" i="7" s="1"/>
  <c r="B104" i="7"/>
  <c r="D40" i="7"/>
  <c r="J126" i="7"/>
  <c r="K126" i="7"/>
  <c r="D104" i="7"/>
  <c r="C104" i="7"/>
  <c r="E43" i="7"/>
  <c r="E61" i="7"/>
  <c r="D61" i="7"/>
  <c r="A61" i="7"/>
  <c r="F61" i="7" s="1"/>
  <c r="I61" i="7" s="1"/>
  <c r="E104" i="7"/>
  <c r="I141" i="7"/>
  <c r="J141" i="7"/>
  <c r="K141" i="7"/>
  <c r="K43" i="7"/>
  <c r="J43" i="7"/>
  <c r="I43" i="7"/>
  <c r="H43" i="7"/>
  <c r="K131" i="7"/>
  <c r="J131" i="7"/>
  <c r="K143" i="7"/>
  <c r="J143" i="7"/>
  <c r="H104" i="7"/>
  <c r="C112" i="7"/>
  <c r="C93" i="7"/>
  <c r="A91" i="7"/>
  <c r="F91" i="7" s="1"/>
  <c r="I91" i="7" s="1"/>
  <c r="A31" i="7"/>
  <c r="F31" i="7" s="1"/>
  <c r="I31" i="7" s="1"/>
  <c r="A119" i="7"/>
  <c r="F119" i="7" s="1"/>
  <c r="G119" i="7" s="1"/>
  <c r="A88" i="7"/>
  <c r="F88" i="7" s="1"/>
  <c r="J88" i="7" s="1"/>
  <c r="A73" i="7"/>
  <c r="F73" i="7" s="1"/>
  <c r="I73" i="7" s="1"/>
  <c r="A130" i="7"/>
  <c r="F130" i="7" s="1"/>
  <c r="K130" i="7" s="1"/>
  <c r="A108" i="7"/>
  <c r="F108" i="7" s="1"/>
  <c r="H108" i="7" s="1"/>
  <c r="A86" i="7"/>
  <c r="F86" i="7" s="1"/>
  <c r="I86" i="7" s="1"/>
  <c r="A5" i="7"/>
  <c r="F5" i="7" s="1"/>
  <c r="K5" i="7" s="1"/>
  <c r="A63" i="7"/>
  <c r="F63" i="7" s="1"/>
  <c r="H63" i="7" s="1"/>
  <c r="A122" i="7"/>
  <c r="F122" i="7" s="1"/>
  <c r="H122" i="7" s="1"/>
  <c r="A113" i="7"/>
  <c r="F113" i="7" s="1"/>
  <c r="J113" i="7" s="1"/>
  <c r="A38" i="7"/>
  <c r="F38" i="7" s="1"/>
  <c r="J38" i="7" s="1"/>
  <c r="A39" i="7"/>
  <c r="F39" i="7" s="1"/>
  <c r="I39" i="7" s="1"/>
  <c r="A49" i="7"/>
  <c r="F49" i="7" s="1"/>
  <c r="I49" i="7" s="1"/>
  <c r="A37" i="7"/>
  <c r="F37" i="7" s="1"/>
  <c r="K37" i="7" s="1"/>
  <c r="A140" i="7"/>
  <c r="F140" i="7" s="1"/>
  <c r="J140" i="7" s="1"/>
  <c r="A48" i="7"/>
  <c r="F48" i="7" s="1"/>
  <c r="H48" i="7" s="1"/>
  <c r="A13" i="7"/>
  <c r="F13" i="7" s="1"/>
  <c r="J13" i="7" s="1"/>
  <c r="A120" i="7"/>
  <c r="F120" i="7" s="1"/>
  <c r="K120" i="7" s="1"/>
  <c r="A138" i="7"/>
  <c r="F138" i="7" s="1"/>
  <c r="K138" i="7" s="1"/>
  <c r="A100" i="7"/>
  <c r="F100" i="7" s="1"/>
  <c r="I100" i="7" s="1"/>
  <c r="C144" i="7"/>
  <c r="A50" i="7"/>
  <c r="F50" i="7" s="1"/>
  <c r="J50" i="7" s="1"/>
  <c r="A99" i="7"/>
  <c r="F99" i="7" s="1"/>
  <c r="K99" i="7" s="1"/>
  <c r="A121" i="7"/>
  <c r="F121" i="7" s="1"/>
  <c r="G121" i="7" s="1"/>
  <c r="A69" i="7"/>
  <c r="F69" i="7" s="1"/>
  <c r="K69" i="7" s="1"/>
  <c r="A85" i="7"/>
  <c r="F85" i="7" s="1"/>
  <c r="I85" i="7" s="1"/>
  <c r="A58" i="7"/>
  <c r="F58" i="7" s="1"/>
  <c r="G58" i="7" s="1"/>
  <c r="A117" i="7"/>
  <c r="F117" i="7" s="1"/>
  <c r="I117" i="7" s="1"/>
  <c r="A7" i="7"/>
  <c r="F7" i="7" s="1"/>
  <c r="K7" i="7" s="1"/>
  <c r="A133" i="7"/>
  <c r="F133" i="7" s="1"/>
  <c r="J133" i="7" s="1"/>
  <c r="A40" i="7"/>
  <c r="F40" i="7" s="1"/>
  <c r="G40" i="7" s="1"/>
  <c r="C25" i="7"/>
  <c r="A4" i="7"/>
  <c r="F4" i="7" s="1"/>
  <c r="I4" i="7" s="1"/>
  <c r="C11" i="7"/>
  <c r="C47" i="7"/>
  <c r="C140" i="7"/>
  <c r="K20" i="7"/>
  <c r="J20" i="7"/>
  <c r="I20" i="7"/>
  <c r="G20" i="7"/>
  <c r="H20" i="7"/>
  <c r="K102" i="7"/>
  <c r="J102" i="7"/>
  <c r="I102" i="7"/>
  <c r="G102" i="7"/>
  <c r="H102" i="7"/>
  <c r="K75" i="7"/>
  <c r="G75" i="7"/>
  <c r="I75" i="7"/>
  <c r="J75" i="7"/>
  <c r="H75" i="7"/>
  <c r="K57" i="7"/>
  <c r="G57" i="7"/>
  <c r="I57" i="7"/>
  <c r="H57" i="7"/>
  <c r="J57" i="7"/>
  <c r="K79" i="7"/>
  <c r="G79" i="7"/>
  <c r="I79" i="7"/>
  <c r="H79" i="7"/>
  <c r="J79" i="7"/>
  <c r="I98" i="7"/>
  <c r="K44" i="7"/>
  <c r="J44" i="7"/>
  <c r="H44" i="7"/>
  <c r="G44" i="7"/>
  <c r="I44" i="7"/>
  <c r="K132" i="7"/>
  <c r="G132" i="7"/>
  <c r="I132" i="7"/>
  <c r="J132" i="7"/>
  <c r="H132" i="7"/>
  <c r="K94" i="7"/>
  <c r="G94" i="7"/>
  <c r="H94" i="7"/>
  <c r="J94" i="7"/>
  <c r="I94" i="7"/>
  <c r="K123" i="7"/>
  <c r="J123" i="7"/>
  <c r="G123" i="7"/>
  <c r="I123" i="7"/>
  <c r="H123" i="7"/>
  <c r="K12" i="7"/>
  <c r="I12" i="7"/>
  <c r="J12" i="7"/>
  <c r="K111" i="7"/>
  <c r="J111" i="7"/>
  <c r="K115" i="7"/>
  <c r="J115" i="7"/>
  <c r="I115" i="7"/>
  <c r="K109" i="7"/>
  <c r="J109" i="7"/>
  <c r="I109" i="7"/>
  <c r="G109" i="7"/>
  <c r="H109" i="7"/>
  <c r="J25" i="7"/>
  <c r="I25" i="7"/>
  <c r="K25" i="7"/>
  <c r="H25" i="7"/>
  <c r="G25" i="7"/>
  <c r="I34" i="7"/>
  <c r="J34" i="7"/>
  <c r="H34" i="7"/>
  <c r="G34" i="7"/>
  <c r="K34" i="7"/>
  <c r="K62" i="7"/>
  <c r="J127" i="7"/>
  <c r="K127" i="7"/>
  <c r="I127" i="7"/>
  <c r="H127" i="7"/>
  <c r="G127" i="7"/>
  <c r="J42" i="7"/>
  <c r="I42" i="7"/>
  <c r="K42" i="7"/>
  <c r="G42" i="7"/>
  <c r="H42" i="7"/>
  <c r="J139" i="7"/>
  <c r="K139" i="7"/>
  <c r="I139" i="7"/>
  <c r="H139" i="7"/>
  <c r="G139" i="7"/>
  <c r="J124" i="7"/>
  <c r="H124" i="7"/>
  <c r="K124" i="7"/>
  <c r="G124" i="7"/>
  <c r="I124" i="7"/>
  <c r="J8" i="7"/>
  <c r="H8" i="7"/>
  <c r="G8" i="7"/>
  <c r="I8" i="7"/>
  <c r="K8" i="7"/>
  <c r="K110" i="7"/>
  <c r="J110" i="7"/>
  <c r="I110" i="7"/>
  <c r="G110" i="7"/>
  <c r="H110" i="7"/>
  <c r="K114" i="7"/>
  <c r="G114" i="7"/>
  <c r="J114" i="7"/>
  <c r="H114" i="7"/>
  <c r="I114" i="7"/>
  <c r="I23" i="7"/>
  <c r="J23" i="7"/>
  <c r="H23" i="7"/>
  <c r="G23" i="7"/>
  <c r="K23" i="7"/>
  <c r="I27" i="7"/>
  <c r="J27" i="7"/>
  <c r="H27" i="7"/>
  <c r="K27" i="7"/>
  <c r="G27" i="7"/>
  <c r="J107" i="7"/>
  <c r="I107" i="7"/>
  <c r="K107" i="7"/>
  <c r="G107" i="7"/>
  <c r="H107" i="7"/>
  <c r="J46" i="7"/>
  <c r="I46" i="7"/>
  <c r="K46" i="7"/>
  <c r="H46" i="7"/>
  <c r="G46" i="7"/>
  <c r="I65" i="7"/>
  <c r="J65" i="7"/>
  <c r="H65" i="7"/>
  <c r="K65" i="7"/>
  <c r="G65" i="7"/>
  <c r="J82" i="7"/>
  <c r="G82" i="7"/>
  <c r="J129" i="7"/>
  <c r="I129" i="7"/>
  <c r="H129" i="7"/>
  <c r="I59" i="7"/>
  <c r="J59" i="7"/>
  <c r="H59" i="7"/>
  <c r="G59" i="7"/>
  <c r="K59" i="7"/>
  <c r="K60" i="7"/>
  <c r="I74" i="7"/>
  <c r="J47" i="7"/>
  <c r="H47" i="7"/>
  <c r="K47" i="7"/>
  <c r="G47" i="7"/>
  <c r="I47" i="7"/>
  <c r="J45" i="7"/>
  <c r="H45" i="7"/>
  <c r="G45" i="7"/>
  <c r="I45" i="7"/>
  <c r="K45" i="7"/>
  <c r="J137" i="7"/>
  <c r="H137" i="7"/>
  <c r="K137" i="7"/>
  <c r="G137" i="7"/>
  <c r="I137" i="7"/>
  <c r="J125" i="7"/>
  <c r="I125" i="7"/>
  <c r="G125" i="7"/>
  <c r="K125" i="7"/>
  <c r="H125" i="7"/>
  <c r="J6" i="7"/>
  <c r="I6" i="7"/>
  <c r="G6" i="7"/>
  <c r="H6" i="7"/>
  <c r="K6" i="7"/>
  <c r="J11" i="7"/>
  <c r="K11" i="7"/>
  <c r="I11" i="7"/>
  <c r="J136" i="7"/>
  <c r="K136" i="7"/>
  <c r="I136" i="7"/>
  <c r="J134" i="7"/>
  <c r="I134" i="7"/>
  <c r="K134" i="7"/>
  <c r="C94" i="7"/>
  <c r="K2" i="7"/>
  <c r="H2" i="7"/>
  <c r="G2" i="7"/>
  <c r="I2" i="7"/>
  <c r="J70" i="7"/>
  <c r="I70" i="7"/>
  <c r="G70" i="7"/>
  <c r="J35" i="7"/>
  <c r="C123" i="7"/>
  <c r="C7" i="7"/>
  <c r="K9" i="7"/>
  <c r="G9" i="7"/>
  <c r="J9" i="7"/>
  <c r="I9" i="7"/>
  <c r="C111" i="7"/>
  <c r="C138" i="7"/>
  <c r="C124" i="7"/>
  <c r="C53" i="7"/>
  <c r="C51" i="7"/>
  <c r="C39" i="7"/>
  <c r="C31" i="7"/>
  <c r="C29" i="7"/>
  <c r="J2" i="7"/>
  <c r="C20" i="7"/>
  <c r="C35" i="7"/>
  <c r="C49" i="7"/>
  <c r="C83" i="7"/>
  <c r="K105" i="7"/>
  <c r="J105" i="7"/>
  <c r="H105" i="7"/>
  <c r="G105" i="7"/>
  <c r="I105" i="7"/>
  <c r="C108" i="7"/>
  <c r="K118" i="7"/>
  <c r="J118" i="7"/>
  <c r="I118" i="7"/>
  <c r="G118" i="7"/>
  <c r="C80" i="7"/>
  <c r="K81" i="7"/>
  <c r="J81" i="7"/>
  <c r="I81" i="7"/>
  <c r="G81" i="7"/>
  <c r="K89" i="7"/>
  <c r="J89" i="7"/>
  <c r="I89" i="7"/>
  <c r="H89" i="7"/>
  <c r="K36" i="7"/>
  <c r="J36" i="7"/>
  <c r="H36" i="7"/>
  <c r="G36" i="7"/>
  <c r="C79" i="7"/>
  <c r="K52" i="7"/>
  <c r="H52" i="7"/>
  <c r="G52" i="7"/>
  <c r="J52" i="7"/>
  <c r="C69" i="7"/>
  <c r="C99" i="7"/>
  <c r="C38" i="7"/>
  <c r="C78" i="7"/>
  <c r="K78" i="7"/>
  <c r="I78" i="7"/>
  <c r="G78" i="7"/>
  <c r="C54" i="7"/>
  <c r="K41" i="7"/>
  <c r="J41" i="7"/>
  <c r="G41" i="7"/>
  <c r="I41" i="7"/>
  <c r="H41" i="7"/>
  <c r="C44" i="7"/>
  <c r="C132" i="7"/>
  <c r="K77" i="7"/>
  <c r="J77" i="7"/>
  <c r="G77" i="7"/>
  <c r="H77" i="7"/>
  <c r="I77" i="7"/>
  <c r="C90" i="7"/>
  <c r="K128" i="7"/>
  <c r="J128" i="7"/>
  <c r="G128" i="7"/>
  <c r="I128" i="7"/>
  <c r="A95" i="7"/>
  <c r="F95" i="7" s="1"/>
  <c r="A106" i="7"/>
  <c r="F106" i="7" s="1"/>
  <c r="A16" i="7"/>
  <c r="F16" i="7" s="1"/>
  <c r="I135" i="7"/>
  <c r="C77" i="7"/>
  <c r="J101" i="7"/>
  <c r="H101" i="7"/>
  <c r="K101" i="7"/>
  <c r="I101" i="7"/>
  <c r="C116" i="7"/>
  <c r="J21" i="7"/>
  <c r="K21" i="7"/>
  <c r="H70" i="7"/>
  <c r="K3" i="7"/>
  <c r="I3" i="7"/>
  <c r="H3" i="7"/>
  <c r="G3" i="7"/>
  <c r="C23" i="7"/>
  <c r="J29" i="7"/>
  <c r="I29" i="7"/>
  <c r="K29" i="7"/>
  <c r="G29" i="7"/>
  <c r="H29" i="7"/>
  <c r="C107" i="7"/>
  <c r="C34" i="7"/>
  <c r="C46" i="7"/>
  <c r="I103" i="7"/>
  <c r="J103" i="7"/>
  <c r="G103" i="7"/>
  <c r="I97" i="7"/>
  <c r="J97" i="7"/>
  <c r="H97" i="7"/>
  <c r="K97" i="7"/>
  <c r="J71" i="7"/>
  <c r="C59" i="7"/>
  <c r="J84" i="7"/>
  <c r="I84" i="7"/>
  <c r="K84" i="7"/>
  <c r="H84" i="7"/>
  <c r="G84" i="7"/>
  <c r="G56" i="7"/>
  <c r="A64" i="7"/>
  <c r="F64" i="7" s="1"/>
  <c r="J66" i="7"/>
  <c r="K66" i="7"/>
  <c r="I66" i="7"/>
  <c r="H66" i="7"/>
  <c r="G66" i="7"/>
  <c r="C101" i="7"/>
  <c r="C127" i="7"/>
  <c r="J72" i="7"/>
  <c r="I72" i="7"/>
  <c r="H72" i="7"/>
  <c r="G72" i="7"/>
  <c r="K72" i="7"/>
  <c r="J51" i="7"/>
  <c r="H51" i="7"/>
  <c r="G51" i="7"/>
  <c r="I51" i="7"/>
  <c r="K51" i="7"/>
  <c r="J53" i="7"/>
  <c r="K53" i="7"/>
  <c r="I53" i="7"/>
  <c r="H53" i="7"/>
  <c r="G53" i="7"/>
  <c r="C55" i="7"/>
  <c r="C125" i="7"/>
  <c r="A32" i="7"/>
  <c r="F32" i="7" s="1"/>
  <c r="A28" i="7"/>
  <c r="F28" i="7" s="1"/>
  <c r="A24" i="7"/>
  <c r="F24" i="7" s="1"/>
  <c r="A19" i="7"/>
  <c r="F19" i="7" s="1"/>
  <c r="A18" i="7"/>
  <c r="F18" i="7" s="1"/>
  <c r="A17" i="7"/>
  <c r="F17" i="7" s="1"/>
  <c r="A15" i="7"/>
  <c r="F15" i="7" s="1"/>
  <c r="C136" i="7"/>
  <c r="C135" i="7"/>
  <c r="C5" i="7"/>
  <c r="C122" i="7"/>
  <c r="C48" i="7"/>
  <c r="C62" i="7"/>
  <c r="C60" i="7"/>
  <c r="C103" i="7"/>
  <c r="C68" i="7"/>
  <c r="A22" i="7"/>
  <c r="F22" i="7" s="1"/>
  <c r="H128" i="7"/>
  <c r="I52" i="7"/>
  <c r="I116" i="7"/>
  <c r="J3" i="7"/>
  <c r="J78" i="7"/>
  <c r="J135" i="7"/>
  <c r="K35" i="7"/>
  <c r="G35" i="7"/>
  <c r="K68" i="7"/>
  <c r="J68" i="7"/>
  <c r="I68" i="7"/>
  <c r="H68" i="7"/>
  <c r="K83" i="7"/>
  <c r="J83" i="7"/>
  <c r="I83" i="7"/>
  <c r="G83" i="7"/>
  <c r="H83" i="7"/>
  <c r="C130" i="7"/>
  <c r="K112" i="7"/>
  <c r="J112" i="7"/>
  <c r="I112" i="7"/>
  <c r="H112" i="7"/>
  <c r="C114" i="7"/>
  <c r="K116" i="7"/>
  <c r="H116" i="7"/>
  <c r="G116" i="7"/>
  <c r="K96" i="7"/>
  <c r="I96" i="7"/>
  <c r="H96" i="7"/>
  <c r="G96" i="7"/>
  <c r="C63" i="7"/>
  <c r="K80" i="7"/>
  <c r="J80" i="7"/>
  <c r="G80" i="7"/>
  <c r="I80" i="7"/>
  <c r="H80" i="7"/>
  <c r="C119" i="7"/>
  <c r="C52" i="7"/>
  <c r="C73" i="7"/>
  <c r="K54" i="7"/>
  <c r="J54" i="7"/>
  <c r="H54" i="7"/>
  <c r="I54" i="7"/>
  <c r="C41" i="7"/>
  <c r="K90" i="7"/>
  <c r="I90" i="7"/>
  <c r="J90" i="7"/>
  <c r="H90" i="7"/>
  <c r="C128" i="7"/>
  <c r="A30" i="7"/>
  <c r="F30" i="7" s="1"/>
  <c r="A93" i="7"/>
  <c r="F93" i="7" s="1"/>
  <c r="A76" i="7"/>
  <c r="F76" i="7" s="1"/>
  <c r="A92" i="7"/>
  <c r="F92" i="7" s="1"/>
  <c r="A10" i="7"/>
  <c r="F10" i="7" s="1"/>
  <c r="A14" i="7"/>
  <c r="F14" i="7" s="1"/>
  <c r="J26" i="7"/>
  <c r="I26" i="7"/>
  <c r="K26" i="7"/>
  <c r="J55" i="7"/>
  <c r="K55" i="7"/>
  <c r="G55" i="7"/>
  <c r="C117" i="7"/>
  <c r="I87" i="7"/>
  <c r="J87" i="7"/>
  <c r="H87" i="7"/>
  <c r="K87" i="7"/>
  <c r="G87" i="7"/>
  <c r="A33" i="7"/>
  <c r="F33" i="7" s="1"/>
  <c r="C3" i="7"/>
  <c r="C26" i="7"/>
  <c r="C115" i="7"/>
  <c r="C9" i="7"/>
  <c r="C6" i="7"/>
  <c r="C98" i="7"/>
  <c r="C66" i="7"/>
  <c r="C97" i="7"/>
  <c r="C129" i="7"/>
  <c r="H9" i="7"/>
  <c r="H78" i="7"/>
  <c r="H118" i="7"/>
  <c r="H35" i="7"/>
  <c r="G101" i="7"/>
  <c r="G89" i="7"/>
  <c r="J96" i="7"/>
  <c r="K70" i="7"/>
  <c r="C58" i="7"/>
  <c r="C57" i="7"/>
  <c r="C56" i="7"/>
  <c r="C88" i="7"/>
  <c r="C86" i="7"/>
  <c r="C84" i="7"/>
  <c r="F67" i="7"/>
  <c r="I67" i="7" s="1"/>
  <c r="F144" i="7"/>
  <c r="F142" i="7"/>
  <c r="I111" i="7"/>
  <c r="A23" i="1"/>
  <c r="G98" i="7" l="1"/>
  <c r="I55" i="7"/>
  <c r="K103" i="7"/>
  <c r="H21" i="7"/>
  <c r="H60" i="7"/>
  <c r="G62" i="7"/>
  <c r="J62" i="7"/>
  <c r="H98" i="7"/>
  <c r="K98" i="7"/>
  <c r="G21" i="7"/>
  <c r="G60" i="7"/>
  <c r="I62" i="7"/>
  <c r="I60" i="7"/>
  <c r="H74" i="7"/>
  <c r="H82" i="7"/>
  <c r="G104" i="7"/>
  <c r="K74" i="7"/>
  <c r="J74" i="7"/>
  <c r="K82" i="7"/>
  <c r="K104" i="7"/>
  <c r="J56" i="7"/>
  <c r="K71" i="7"/>
  <c r="K129" i="7"/>
  <c r="J104" i="7"/>
  <c r="H56" i="7"/>
  <c r="H71" i="7"/>
  <c r="K56" i="7"/>
  <c r="I71" i="7"/>
  <c r="H58" i="7"/>
  <c r="K58" i="7"/>
  <c r="K61" i="7"/>
  <c r="H61" i="7"/>
  <c r="G61" i="7"/>
  <c r="I58" i="7"/>
  <c r="I140" i="7"/>
  <c r="K140" i="7"/>
  <c r="J61" i="7"/>
  <c r="K91" i="7"/>
  <c r="H91" i="7"/>
  <c r="J91" i="7"/>
  <c r="G91" i="7"/>
  <c r="J85" i="7"/>
  <c r="I13" i="7"/>
  <c r="J37" i="7"/>
  <c r="G108" i="7"/>
  <c r="I108" i="7"/>
  <c r="H88" i="7"/>
  <c r="G88" i="7"/>
  <c r="J108" i="7"/>
  <c r="K88" i="7"/>
  <c r="I88" i="7"/>
  <c r="H73" i="7"/>
  <c r="J73" i="7"/>
  <c r="K31" i="7"/>
  <c r="G73" i="7"/>
  <c r="K73" i="7"/>
  <c r="I130" i="7"/>
  <c r="J130" i="7"/>
  <c r="K108" i="7"/>
  <c r="H130" i="7"/>
  <c r="G31" i="7"/>
  <c r="G130" i="7"/>
  <c r="H31" i="7"/>
  <c r="J31" i="7"/>
  <c r="G85" i="7"/>
  <c r="I37" i="7"/>
  <c r="G37" i="7"/>
  <c r="J119" i="7"/>
  <c r="H50" i="7"/>
  <c r="H119" i="7"/>
  <c r="I119" i="7"/>
  <c r="K119" i="7"/>
  <c r="G50" i="7"/>
  <c r="I50" i="7"/>
  <c r="H85" i="7"/>
  <c r="I113" i="7"/>
  <c r="K50" i="7"/>
  <c r="K85" i="7"/>
  <c r="K113" i="7"/>
  <c r="H39" i="7"/>
  <c r="G39" i="7"/>
  <c r="J39" i="7"/>
  <c r="K39" i="7"/>
  <c r="G86" i="7"/>
  <c r="K86" i="7"/>
  <c r="H86" i="7"/>
  <c r="J86" i="7"/>
  <c r="I121" i="7"/>
  <c r="I99" i="7"/>
  <c r="H69" i="7"/>
  <c r="G122" i="7"/>
  <c r="I122" i="7"/>
  <c r="K122" i="7"/>
  <c r="J122" i="7"/>
  <c r="I5" i="7"/>
  <c r="K63" i="7"/>
  <c r="H5" i="7"/>
  <c r="G5" i="7"/>
  <c r="J5" i="7"/>
  <c r="G48" i="7"/>
  <c r="H7" i="7"/>
  <c r="H49" i="7"/>
  <c r="G49" i="7"/>
  <c r="J49" i="7"/>
  <c r="K49" i="7"/>
  <c r="J58" i="7"/>
  <c r="J63" i="7"/>
  <c r="K121" i="7"/>
  <c r="H37" i="7"/>
  <c r="G63" i="7"/>
  <c r="H121" i="7"/>
  <c r="J48" i="7"/>
  <c r="K48" i="7"/>
  <c r="I48" i="7"/>
  <c r="I63" i="7"/>
  <c r="H100" i="7"/>
  <c r="G100" i="7"/>
  <c r="J121" i="7"/>
  <c r="K38" i="7"/>
  <c r="G7" i="7"/>
  <c r="H120" i="7"/>
  <c r="K13" i="7"/>
  <c r="J7" i="7"/>
  <c r="H40" i="7"/>
  <c r="I7" i="7"/>
  <c r="I40" i="7"/>
  <c r="J138" i="7"/>
  <c r="J40" i="7"/>
  <c r="K40" i="7"/>
  <c r="H38" i="7"/>
  <c r="J100" i="7"/>
  <c r="K100" i="7"/>
  <c r="I138" i="7"/>
  <c r="I38" i="7"/>
  <c r="G38" i="7"/>
  <c r="J117" i="7"/>
  <c r="J120" i="7"/>
  <c r="H117" i="7"/>
  <c r="G117" i="7"/>
  <c r="K117" i="7"/>
  <c r="K133" i="7"/>
  <c r="I69" i="7"/>
  <c r="G120" i="7"/>
  <c r="G69" i="7"/>
  <c r="I120" i="7"/>
  <c r="J69" i="7"/>
  <c r="J4" i="7"/>
  <c r="J99" i="7"/>
  <c r="G99" i="7"/>
  <c r="H99" i="7"/>
  <c r="H4" i="7"/>
  <c r="G4" i="7"/>
  <c r="K4" i="7"/>
  <c r="I133" i="7"/>
  <c r="G133" i="7"/>
  <c r="H133" i="7"/>
  <c r="I15" i="7"/>
  <c r="J15" i="7"/>
  <c r="H15" i="7"/>
  <c r="G15" i="7"/>
  <c r="K15" i="7"/>
  <c r="I18" i="7"/>
  <c r="J18" i="7"/>
  <c r="H18" i="7"/>
  <c r="K18" i="7"/>
  <c r="G18" i="7"/>
  <c r="J24" i="7"/>
  <c r="I24" i="7"/>
  <c r="G24" i="7"/>
  <c r="H24" i="7"/>
  <c r="K24" i="7"/>
  <c r="J32" i="7"/>
  <c r="I32" i="7"/>
  <c r="K32" i="7"/>
  <c r="H32" i="7"/>
  <c r="G32" i="7"/>
  <c r="K106" i="7"/>
  <c r="J106" i="7"/>
  <c r="I106" i="7"/>
  <c r="H106" i="7"/>
  <c r="G106" i="7"/>
  <c r="J142" i="7"/>
  <c r="K142" i="7"/>
  <c r="K14" i="7"/>
  <c r="I14" i="7"/>
  <c r="G14" i="7"/>
  <c r="J14" i="7"/>
  <c r="H14" i="7"/>
  <c r="K92" i="7"/>
  <c r="H92" i="7"/>
  <c r="G92" i="7"/>
  <c r="J92" i="7"/>
  <c r="I92" i="7"/>
  <c r="K93" i="7"/>
  <c r="I93" i="7"/>
  <c r="H93" i="7"/>
  <c r="G93" i="7"/>
  <c r="J93" i="7"/>
  <c r="J19" i="7"/>
  <c r="I19" i="7"/>
  <c r="K19" i="7"/>
  <c r="H19" i="7"/>
  <c r="G19" i="7"/>
  <c r="K144" i="7"/>
  <c r="J144" i="7"/>
  <c r="I33" i="7"/>
  <c r="J33" i="7"/>
  <c r="H33" i="7"/>
  <c r="K33" i="7"/>
  <c r="G33" i="7"/>
  <c r="I22" i="7"/>
  <c r="J22" i="7"/>
  <c r="H22" i="7"/>
  <c r="G22" i="7"/>
  <c r="K22" i="7"/>
  <c r="J17" i="7"/>
  <c r="I17" i="7"/>
  <c r="K17" i="7"/>
  <c r="H17" i="7"/>
  <c r="G17" i="7"/>
  <c r="I28" i="7"/>
  <c r="J28" i="7"/>
  <c r="H28" i="7"/>
  <c r="K28" i="7"/>
  <c r="G28" i="7"/>
  <c r="J64" i="7"/>
  <c r="H64" i="7"/>
  <c r="K64" i="7"/>
  <c r="G64" i="7"/>
  <c r="I64" i="7"/>
  <c r="K16" i="7"/>
  <c r="J16" i="7"/>
  <c r="I16" i="7"/>
  <c r="G16" i="7"/>
  <c r="H16" i="7"/>
  <c r="K95" i="7"/>
  <c r="J95" i="7"/>
  <c r="G95" i="7"/>
  <c r="H95" i="7"/>
  <c r="I95" i="7"/>
  <c r="J67" i="7"/>
  <c r="K67" i="7"/>
  <c r="K10" i="7"/>
  <c r="G10" i="7"/>
  <c r="J10" i="7"/>
  <c r="I10" i="7"/>
  <c r="H10" i="7"/>
  <c r="K76" i="7"/>
  <c r="J76" i="7"/>
  <c r="I76" i="7"/>
  <c r="G76" i="7"/>
  <c r="H76" i="7"/>
  <c r="K30" i="7"/>
  <c r="G30" i="7"/>
  <c r="J30" i="7"/>
  <c r="I30" i="7"/>
  <c r="H30" i="7"/>
  <c r="I144" i="7"/>
  <c r="I142" i="7"/>
  <c r="A24" i="1"/>
  <c r="A3" i="5" s="1"/>
  <c r="A2" i="5"/>
  <c r="A25" i="1" l="1"/>
  <c r="A4" i="5" s="1"/>
  <c r="A26" i="1" l="1"/>
  <c r="A18" i="5"/>
  <c r="A27" i="1"/>
  <c r="A6" i="5" l="1"/>
  <c r="A28" i="1"/>
  <c r="A41" i="5" l="1"/>
  <c r="A29" i="1"/>
  <c r="A8" i="5" l="1"/>
  <c r="A30" i="1"/>
  <c r="A52" i="5" l="1"/>
  <c r="A31" i="1"/>
  <c r="A10" i="5" l="1"/>
  <c r="A32" i="1"/>
  <c r="A58" i="5" l="1"/>
  <c r="A33" i="1"/>
  <c r="A12" i="5" l="1"/>
  <c r="A34" i="1"/>
  <c r="A13" i="5" l="1"/>
  <c r="A35" i="1"/>
  <c r="A75" i="5" l="1"/>
  <c r="A36" i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15" i="5" l="1"/>
  <c r="A50" i="1"/>
  <c r="A16" i="5" l="1"/>
  <c r="A51" i="1"/>
  <c r="A17" i="5" l="1"/>
  <c r="A52" i="1"/>
  <c r="A48" i="5" l="1"/>
  <c r="A53" i="1"/>
  <c r="A19" i="5" l="1"/>
  <c r="A54" i="1"/>
  <c r="A20" i="5" l="1"/>
  <c r="A55" i="1"/>
  <c r="A56" i="1" s="1"/>
  <c r="A57" i="1" s="1"/>
  <c r="A58" i="1" s="1"/>
  <c r="A59" i="1" s="1"/>
  <c r="A60" i="1" s="1"/>
  <c r="A21" i="5" l="1"/>
  <c r="A22" i="5" l="1"/>
  <c r="A23" i="5" l="1"/>
  <c r="A82" i="5" l="1"/>
  <c r="A5" i="5" l="1"/>
  <c r="A61" i="1"/>
  <c r="A36" i="5" l="1"/>
  <c r="A62" i="1"/>
  <c r="A37" i="5" l="1"/>
  <c r="A63" i="1"/>
  <c r="A45" i="5" l="1"/>
  <c r="A64" i="1"/>
  <c r="A40" i="5" l="1"/>
  <c r="A65" i="1"/>
  <c r="A66" i="1" s="1"/>
  <c r="A67" i="1" s="1"/>
  <c r="A60" i="5" l="1"/>
  <c r="A68" i="1"/>
  <c r="A69" i="1" s="1"/>
  <c r="A62" i="5" l="1"/>
  <c r="A43" i="5" l="1"/>
  <c r="A7" i="5" l="1"/>
  <c r="A70" i="1"/>
  <c r="A47" i="5" l="1"/>
  <c r="A71" i="1"/>
  <c r="A44" i="5" l="1"/>
  <c r="A72" i="1"/>
  <c r="A49" i="5" l="1"/>
  <c r="A73" i="1"/>
  <c r="A50" i="5" l="1"/>
  <c r="A74" i="1"/>
  <c r="A70" i="5" l="1"/>
  <c r="A75" i="1"/>
  <c r="A53" i="5" l="1"/>
  <c r="A76" i="1"/>
  <c r="A80" i="5" l="1"/>
  <c r="A77" i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55" i="5" l="1"/>
  <c r="A90" i="1"/>
  <c r="A35" i="5" l="1"/>
  <c r="A91" i="1"/>
  <c r="A92" i="1" s="1"/>
  <c r="A57" i="5" l="1"/>
  <c r="A93" i="1"/>
  <c r="A94" i="1" s="1"/>
  <c r="A42" i="5" l="1"/>
  <c r="A95" i="1"/>
  <c r="A56" i="5" l="1"/>
  <c r="A96" i="1"/>
  <c r="A61" i="5" l="1"/>
  <c r="A97" i="1"/>
  <c r="A98" i="1" s="1"/>
  <c r="A65" i="5" l="1"/>
  <c r="A63" i="5" l="1"/>
  <c r="A99" i="1"/>
  <c r="A100" i="1" s="1"/>
  <c r="A101" i="1" s="1"/>
  <c r="A102" i="1" s="1"/>
  <c r="A103" i="1" s="1"/>
  <c r="A24" i="5" l="1"/>
  <c r="A104" i="1"/>
  <c r="A105" i="1" l="1"/>
  <c r="A66" i="5"/>
  <c r="A67" i="5" l="1"/>
  <c r="A106" i="1"/>
  <c r="A68" i="5" l="1"/>
  <c r="A107" i="1"/>
  <c r="A108" i="1" s="1"/>
  <c r="A109" i="1" s="1"/>
  <c r="A110" i="1" s="1"/>
  <c r="A111" i="1" s="1"/>
  <c r="A112" i="1" s="1"/>
  <c r="A113" i="1" l="1"/>
  <c r="A69" i="5"/>
  <c r="A26" i="5" l="1"/>
  <c r="A114" i="1"/>
  <c r="A71" i="5" l="1"/>
  <c r="A115" i="1"/>
  <c r="A72" i="5" l="1"/>
  <c r="A116" i="1"/>
  <c r="A73" i="5" l="1"/>
  <c r="A117" i="1"/>
  <c r="A74" i="5" l="1"/>
  <c r="A118" i="1"/>
  <c r="A29" i="5" l="1"/>
  <c r="A119" i="1"/>
  <c r="A76" i="5" l="1"/>
  <c r="A120" i="1"/>
  <c r="A77" i="5" l="1"/>
  <c r="A121" i="1"/>
  <c r="A78" i="5" l="1"/>
  <c r="A122" i="1"/>
  <c r="A79" i="5" l="1"/>
  <c r="A123" i="1"/>
  <c r="A9" i="5" l="1"/>
  <c r="A124" i="1"/>
  <c r="A11" i="5" l="1"/>
  <c r="A125" i="1"/>
  <c r="A14" i="5" l="1"/>
  <c r="A126" i="1"/>
  <c r="A127" i="1" s="1"/>
  <c r="A128" i="1" s="1"/>
  <c r="A129" i="1" s="1"/>
  <c r="A130" i="1" s="1"/>
  <c r="A131" i="1" s="1"/>
  <c r="A132" i="1" s="1"/>
  <c r="A133" i="1" s="1"/>
  <c r="A134" i="1" s="1"/>
  <c r="A84" i="5" l="1"/>
  <c r="A135" i="1"/>
  <c r="A136" i="1" s="1"/>
  <c r="A137" i="1" s="1"/>
  <c r="A138" i="1" s="1"/>
  <c r="A139" i="1" s="1"/>
  <c r="A140" i="1" s="1"/>
  <c r="A141" i="1" s="1"/>
  <c r="A142" i="1" s="1"/>
</calcChain>
</file>

<file path=xl/sharedStrings.xml><?xml version="1.0" encoding="utf-8"?>
<sst xmlns="http://schemas.openxmlformats.org/spreadsheetml/2006/main" count="1150" uniqueCount="245">
  <si>
    <t>fortlaufende Nummer</t>
  </si>
  <si>
    <t>Runde</t>
  </si>
  <si>
    <t>Mannschaft</t>
  </si>
  <si>
    <t>fixierter Termin</t>
  </si>
  <si>
    <t>fixierte Uhrzeit</t>
  </si>
  <si>
    <t>Ort</t>
  </si>
  <si>
    <t>Gegner</t>
  </si>
  <si>
    <t>Auswärt/Heim</t>
  </si>
  <si>
    <t>U15</t>
  </si>
  <si>
    <t>Wimpassing</t>
  </si>
  <si>
    <t>SK Rapid Wien</t>
  </si>
  <si>
    <t>Heim</t>
  </si>
  <si>
    <t>U16</t>
  </si>
  <si>
    <t>KM</t>
  </si>
  <si>
    <t>Neudörfl</t>
  </si>
  <si>
    <t>Auswärts</t>
  </si>
  <si>
    <t>Rohbach</t>
  </si>
  <si>
    <t>Rohrbach</t>
  </si>
  <si>
    <t>Sommerein</t>
  </si>
  <si>
    <t>U23</t>
  </si>
  <si>
    <t>Wiener Neustadt</t>
  </si>
  <si>
    <t>Admira Wiener Neustadt</t>
  </si>
  <si>
    <t>Kittsee</t>
  </si>
  <si>
    <t>Neufeld</t>
  </si>
  <si>
    <t>Theresienfeld</t>
  </si>
  <si>
    <t>Bad Fischau</t>
  </si>
  <si>
    <t>Wiener Neudorf</t>
  </si>
  <si>
    <t>U14</t>
  </si>
  <si>
    <t>Großhöflein</t>
  </si>
  <si>
    <t>Vienna U13</t>
  </si>
  <si>
    <t>Pöttsching</t>
  </si>
  <si>
    <t>Laxenburg</t>
  </si>
  <si>
    <t>Traiskirchen</t>
  </si>
  <si>
    <t>SPG Theresienfeld</t>
  </si>
  <si>
    <t>Bad Erlach</t>
  </si>
  <si>
    <t>Deutsch Jahrndorf</t>
  </si>
  <si>
    <t>Tadten</t>
  </si>
  <si>
    <t>Mönchhof</t>
  </si>
  <si>
    <t>Winden</t>
  </si>
  <si>
    <t>Gattendorf</t>
  </si>
  <si>
    <t>Wallern</t>
  </si>
  <si>
    <t>Siegendorf</t>
  </si>
  <si>
    <t>Hornstein</t>
  </si>
  <si>
    <t>Gols</t>
  </si>
  <si>
    <t>Illmitz</t>
  </si>
  <si>
    <t>Andau</t>
  </si>
  <si>
    <t>U12_1</t>
  </si>
  <si>
    <t>U12_2</t>
  </si>
  <si>
    <t>U11</t>
  </si>
  <si>
    <t>U10</t>
  </si>
  <si>
    <t>Heimturnier</t>
  </si>
  <si>
    <t>U9</t>
  </si>
  <si>
    <t>U8</t>
  </si>
  <si>
    <t>U7</t>
  </si>
  <si>
    <t>Camp</t>
  </si>
  <si>
    <t>REAL MADRID CAMP</t>
  </si>
  <si>
    <t>MÄDCHENCAMP</t>
  </si>
  <si>
    <t>Teco 7 Camp</t>
  </si>
  <si>
    <t>viele Gegner</t>
  </si>
  <si>
    <t>Steinbrunn</t>
  </si>
  <si>
    <t>Hallencup 2026_27</t>
  </si>
  <si>
    <t>Weihnachtsfeier</t>
  </si>
  <si>
    <t>Weihnachtsfeier 2026</t>
  </si>
  <si>
    <t>Fest ASV Neufeld</t>
  </si>
  <si>
    <t>Oktoberfest 2026</t>
  </si>
  <si>
    <t>TITEL</t>
  </si>
  <si>
    <t>DATUM</t>
  </si>
  <si>
    <t>STARTZEIT</t>
  </si>
  <si>
    <t>ENDZEIT</t>
  </si>
  <si>
    <t>ORT</t>
  </si>
  <si>
    <t>BESCHREIBUNG</t>
  </si>
  <si>
    <t>TYP</t>
  </si>
  <si>
    <t>GEGNER</t>
  </si>
  <si>
    <t>LIGA</t>
  </si>
  <si>
    <t>STATUS</t>
  </si>
  <si>
    <t>SPIELART</t>
  </si>
  <si>
    <t>ART</t>
  </si>
  <si>
    <t>aktiv</t>
  </si>
  <si>
    <t>Freundschaftsspiel</t>
  </si>
  <si>
    <t>Spiel</t>
  </si>
  <si>
    <t>Liga</t>
  </si>
  <si>
    <t>Kategorie</t>
  </si>
  <si>
    <t>ABOLINK</t>
  </si>
  <si>
    <t>Alle Spiele des ASV Neufeld</t>
  </si>
  <si>
    <t>alle_spiele.ics</t>
  </si>
  <si>
    <t>Alle Heimspiele des ASV Neufelds</t>
  </si>
  <si>
    <t>heimspiele.ics</t>
  </si>
  <si>
    <t>Alle Auswärtsspiele des ASV Neufelds</t>
  </si>
  <si>
    <t>auswaertsspiele.ics</t>
  </si>
  <si>
    <t>Alle Spiele der Kampfmannschaft</t>
  </si>
  <si>
    <t>KM.ics</t>
  </si>
  <si>
    <t xml:space="preserve">Alle Spiele der U23 </t>
  </si>
  <si>
    <t>U23.ics</t>
  </si>
  <si>
    <t>Alle Spiele der U16</t>
  </si>
  <si>
    <t>U16.ics</t>
  </si>
  <si>
    <t>Alle Spiele der U15</t>
  </si>
  <si>
    <t>U15.ics</t>
  </si>
  <si>
    <t>Alle Spiele der U14</t>
  </si>
  <si>
    <t>U14.ics</t>
  </si>
  <si>
    <t>Alle Spiele der U13</t>
  </si>
  <si>
    <t>U13.ics</t>
  </si>
  <si>
    <t>Alle Spiele der U12</t>
  </si>
  <si>
    <t>U12.ics</t>
  </si>
  <si>
    <t>Alle Spiele der U11</t>
  </si>
  <si>
    <t>U11.ics</t>
  </si>
  <si>
    <t>Alle Spiele der U10</t>
  </si>
  <si>
    <t>U10.ics</t>
  </si>
  <si>
    <t>Alle Spiele der U9</t>
  </si>
  <si>
    <t>U9.ics</t>
  </si>
  <si>
    <t>Alle Spiele der U8</t>
  </si>
  <si>
    <t xml:space="preserve"> U8.ics</t>
  </si>
  <si>
    <t>Alle Spiele der U7</t>
  </si>
  <si>
    <t xml:space="preserve"> U7.ics</t>
  </si>
  <si>
    <t xml:space="preserve"> Camp.ics</t>
  </si>
  <si>
    <t xml:space="preserve"> GGG.ics</t>
  </si>
  <si>
    <t>TRAININGSORTE/TAGE</t>
  </si>
  <si>
    <t>MANNSCHAFT</t>
  </si>
  <si>
    <t>TRAINER</t>
  </si>
  <si>
    <t>MONTAG</t>
  </si>
  <si>
    <t>DIENSTAG</t>
  </si>
  <si>
    <t>MITTWOCH</t>
  </si>
  <si>
    <t>DONNERSTAG</t>
  </si>
  <si>
    <t>FREITAG</t>
  </si>
  <si>
    <t>SAMSTAG</t>
  </si>
  <si>
    <t>WENN KM-TRAINING MUSS DAS HAUPTFELD AB 18:45 FREI SEIN</t>
  </si>
  <si>
    <t>FKG</t>
  </si>
  <si>
    <t>RONNIE ARCHAM</t>
  </si>
  <si>
    <t>16:00 - 16:45</t>
  </si>
  <si>
    <t>ÖMER TÜRKES TAHA MAHSUMI</t>
  </si>
  <si>
    <t>17:30 - 18:30</t>
  </si>
  <si>
    <t>TOBIAS BERGER SEBASTIAN PUTRIC</t>
  </si>
  <si>
    <t>16:30 - 18:00</t>
  </si>
  <si>
    <t>17: 00 - 18:30</t>
  </si>
  <si>
    <t>THOMAS BRANDL DANIEL HOFBAUER</t>
  </si>
  <si>
    <t>17:00 - 18:30</t>
  </si>
  <si>
    <t>MARIO MAGLER RONNIE ARCHAM</t>
  </si>
  <si>
    <t>U13</t>
  </si>
  <si>
    <t>THOMAS PÖSCHL LENZ HONC</t>
  </si>
  <si>
    <t>GERNOT SEVELDA MARKUS DORINGER</t>
  </si>
  <si>
    <t>10:00 - 11:00</t>
  </si>
  <si>
    <t>SERDAR EKINCI HUBERT OBERHOFER</t>
  </si>
  <si>
    <t>18:30 - 20:15</t>
  </si>
  <si>
    <t>18:00 - 19:30</t>
  </si>
  <si>
    <t>JOSCH KÖGL</t>
  </si>
  <si>
    <t>17:15 - 19:00</t>
  </si>
  <si>
    <t>WIMPASSING</t>
  </si>
  <si>
    <t>DINGES STEFAN</t>
  </si>
  <si>
    <t>18:45 - 20:15</t>
  </si>
  <si>
    <t>PLENINGER STEFAN</t>
  </si>
  <si>
    <t>JUNIOREN/SENIOREN</t>
  </si>
  <si>
    <t>HAUPTFELD</t>
  </si>
  <si>
    <t>TRAININGSPLATZ</t>
  </si>
  <si>
    <t>HINTERM TOR</t>
  </si>
  <si>
    <t>SPIELGEMEINSCHAFTEN MIT WIMPASSING</t>
  </si>
  <si>
    <t>Uhrzeit</t>
  </si>
  <si>
    <t>Spielfeld</t>
  </si>
  <si>
    <t>Spielfeldgröße</t>
  </si>
  <si>
    <t>Tore</t>
  </si>
  <si>
    <t>Ball</t>
  </si>
  <si>
    <t>Trainer/Ansprechpartner</t>
  </si>
  <si>
    <t>Tel</t>
  </si>
  <si>
    <t>Turnier</t>
  </si>
  <si>
    <t>abgesagt</t>
  </si>
  <si>
    <t>Oggau</t>
  </si>
  <si>
    <t>SPG Leitha/Stotzing</t>
  </si>
  <si>
    <t>St. Georgen/Eisenstadt</t>
  </si>
  <si>
    <t>Parndorf</t>
  </si>
  <si>
    <t>Draßburg</t>
  </si>
  <si>
    <t>SPG Draßburg/ZSP/Kemeten</t>
  </si>
  <si>
    <t>SPG Seewinkel</t>
  </si>
  <si>
    <t>SPG Pubach/Breitenbrunn/Winden</t>
  </si>
  <si>
    <t>Kemeten</t>
  </si>
  <si>
    <t>MSV 2020</t>
  </si>
  <si>
    <t>GMWP</t>
  </si>
  <si>
    <t>Leithaprodersdorf</t>
  </si>
  <si>
    <t>Trausdorf</t>
  </si>
  <si>
    <t>Rust</t>
  </si>
  <si>
    <t>St.Georgen</t>
  </si>
  <si>
    <t>Spielfrei</t>
  </si>
  <si>
    <t>Eisenstadt</t>
  </si>
  <si>
    <t>Wulkaprodersdorf</t>
  </si>
  <si>
    <t>Stotzing</t>
  </si>
  <si>
    <t>Klingenbach</t>
  </si>
  <si>
    <t>SPG Klimpuh Juniors</t>
  </si>
  <si>
    <t>SC "muki" Eisenstadt/Rust</t>
  </si>
  <si>
    <t>Hornstein/Wimpasing</t>
  </si>
  <si>
    <t>St. Margarethen</t>
  </si>
  <si>
    <t>St. Georgen</t>
  </si>
  <si>
    <t>Purbach/Breitenbrunn/Winden</t>
  </si>
  <si>
    <t>Purbach</t>
  </si>
  <si>
    <t>Neusiedl</t>
  </si>
  <si>
    <t>SPG GMWP</t>
  </si>
  <si>
    <t>inaktiv</t>
  </si>
  <si>
    <t>Wr. Neustadt</t>
  </si>
  <si>
    <t>bittere 1:0 Niederlage, somit aus dem BFV-Cup ausgeschieden</t>
  </si>
  <si>
    <t>nach einer 2:0 Führung noch 4:2 verloren</t>
  </si>
  <si>
    <t>9:2 für Kittsee</t>
  </si>
  <si>
    <t>4:0 für Deutsch-Jahndorf</t>
  </si>
  <si>
    <t>3:0 für Deutsch-Jahndof</t>
  </si>
  <si>
    <t xml:space="preserve">2:2 </t>
  </si>
  <si>
    <t>2:4 für Tadten</t>
  </si>
  <si>
    <t>5:1 für Mönchhof</t>
  </si>
  <si>
    <t>2:0 für Mönchhof</t>
  </si>
  <si>
    <t>16:1 für Leithaprodersdorf</t>
  </si>
  <si>
    <t>4:2 für St. Georgen/Eisenstadt</t>
  </si>
  <si>
    <t>5:1 für SPG ASV</t>
  </si>
  <si>
    <t>4:3 für Stotzing</t>
  </si>
  <si>
    <t>5:0 für Neufeld</t>
  </si>
  <si>
    <t>3:3</t>
  </si>
  <si>
    <t>4:0 für Neufeld</t>
  </si>
  <si>
    <t>2:9 für Neufeld</t>
  </si>
  <si>
    <t>15:13 für Neufeld</t>
  </si>
  <si>
    <t>2:0 für Neufeld</t>
  </si>
  <si>
    <t>6:1 für Neufeld</t>
  </si>
  <si>
    <t>3:0 für Neufeld</t>
  </si>
  <si>
    <t>2:5 für Parndorf</t>
  </si>
  <si>
    <t>8:2 für Wulkaprodersdorf</t>
  </si>
  <si>
    <t>0:0</t>
  </si>
  <si>
    <t>9:4 für Neufeld</t>
  </si>
  <si>
    <t>10:1 für Neufeld</t>
  </si>
  <si>
    <t>1:1</t>
  </si>
  <si>
    <t>1:0 für Neufeld</t>
  </si>
  <si>
    <t>1:3 für Seewinkel</t>
  </si>
  <si>
    <t>5:6 für Wulkaprodersdorf</t>
  </si>
  <si>
    <t>2:2</t>
  </si>
  <si>
    <t>2:0 für Siegendorf</t>
  </si>
  <si>
    <t>5:6 für Hornstein</t>
  </si>
  <si>
    <t>11:6 für Neufeld</t>
  </si>
  <si>
    <t>7:0 für Draßburg</t>
  </si>
  <si>
    <t>3:1 für Wimpassing</t>
  </si>
  <si>
    <t>16:2 für Leithaprodersdorf</t>
  </si>
  <si>
    <t>11:2 für Neufeld</t>
  </si>
  <si>
    <t>3:2 für SPG ASV</t>
  </si>
  <si>
    <t>6:2 für SPG ASV</t>
  </si>
  <si>
    <t>8:1 für SPG ASV</t>
  </si>
  <si>
    <t>2:1 für SPG ASV</t>
  </si>
  <si>
    <t>7:2 für SPG ASV</t>
  </si>
  <si>
    <t>5:2 für SPG ASV</t>
  </si>
  <si>
    <t>5:4 für SPG ASV</t>
  </si>
  <si>
    <t>4:0 für SPG ASV</t>
  </si>
  <si>
    <t>5:0 für Hornstein</t>
  </si>
  <si>
    <t>3:1 für Hornstein</t>
  </si>
  <si>
    <t>13:3  für St. Georgen</t>
  </si>
  <si>
    <t>12:9 für Steinbrunn</t>
  </si>
  <si>
    <t>5:1 für Leithaprodersdorf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</si>
</sst>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F800]dddd\,\ mmmm\ dd\,\ yyyy"/>
    <numFmt numFmtId="165" formatCode="dd\.mm\.yyyy;@"/>
    <numFmt numFmtId="166" formatCode="hh:mm;@"/>
    <numFmt numFmtId="167" formatCode="[$-C07]dddd\,\ dd\.\ mmmm\ yyyy;@"/>
  </numFmts>
  <fonts count="1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8"/>
      <name val="Arial"/>
      <family val="2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1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2">
    <xf numFmtId="0" fontId="0" fillId="0" borderId="0"/>
    <xf numFmtId="0" fontId="11" fillId="0" borderId="0"/>
  </cellStyleXfs>
  <cellXfs count="139">
    <xf numFmtId="0" fontId="0" fillId="0" borderId="0" xfId="0"/>
    <xf numFmtId="14" fontId="0" fillId="0" borderId="0" xfId="0" applyNumberFormat="1" applyAlignment="1">
      <alignment horizontal="center"/>
    </xf>
    <xf numFmtId="14" fontId="0" fillId="0" borderId="2" xfId="0" applyNumberFormat="1" applyBorder="1" applyAlignment="1">
      <alignment horizontal="center"/>
    </xf>
    <xf numFmtId="20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4" borderId="1" xfId="0" applyFill="1" applyBorder="1" applyAlignment="1">
      <alignment horizontal="center"/>
    </xf>
    <xf numFmtId="20" fontId="0" fillId="4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0" borderId="0" xfId="0" applyAlignment="1">
      <alignment wrapText="1"/>
    </xf>
    <xf numFmtId="20" fontId="0" fillId="5" borderId="1" xfId="0" applyNumberForma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164" fontId="1" fillId="6" borderId="1" xfId="0" applyNumberFormat="1" applyFont="1" applyFill="1" applyBorder="1" applyAlignment="1">
      <alignment horizontal="center"/>
    </xf>
    <xf numFmtId="20" fontId="1" fillId="6" borderId="1" xfId="0" applyNumberFormat="1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wrapText="1"/>
    </xf>
    <xf numFmtId="0" fontId="1" fillId="7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20" fontId="0" fillId="8" borderId="1" xfId="0" applyNumberForma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20" fontId="0" fillId="9" borderId="1" xfId="0" applyNumberForma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64" fontId="0" fillId="8" borderId="1" xfId="0" applyNumberForma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164" fontId="0" fillId="10" borderId="1" xfId="0" applyNumberFormat="1" applyFill="1" applyBorder="1" applyAlignment="1">
      <alignment horizontal="center"/>
    </xf>
    <xf numFmtId="20" fontId="0" fillId="10" borderId="1" xfId="0" applyNumberFormat="1" applyFill="1" applyBorder="1" applyAlignment="1">
      <alignment horizontal="center"/>
    </xf>
    <xf numFmtId="164" fontId="0" fillId="9" borderId="1" xfId="0" applyNumberFormat="1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1" xfId="0" applyFill="1" applyBorder="1"/>
    <xf numFmtId="0" fontId="4" fillId="0" borderId="4" xfId="0" applyFont="1" applyBorder="1"/>
    <xf numFmtId="0" fontId="5" fillId="13" borderId="7" xfId="0" applyFont="1" applyFill="1" applyBorder="1"/>
    <xf numFmtId="0" fontId="5" fillId="13" borderId="9" xfId="0" applyFont="1" applyFill="1" applyBorder="1"/>
    <xf numFmtId="0" fontId="6" fillId="14" borderId="7" xfId="0" applyFont="1" applyFill="1" applyBorder="1"/>
    <xf numFmtId="0" fontId="3" fillId="0" borderId="1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10" xfId="0" applyFont="1" applyBorder="1" applyAlignment="1">
      <alignment wrapText="1"/>
    </xf>
    <xf numFmtId="0" fontId="2" fillId="0" borderId="0" xfId="0" applyFont="1" applyAlignment="1">
      <alignment vertical="center" wrapText="1"/>
    </xf>
    <xf numFmtId="0" fontId="0" fillId="15" borderId="1" xfId="0" applyFill="1" applyBorder="1" applyAlignment="1">
      <alignment horizontal="center"/>
    </xf>
    <xf numFmtId="0" fontId="0" fillId="15" borderId="1" xfId="0" applyFill="1" applyBorder="1"/>
    <xf numFmtId="0" fontId="0" fillId="16" borderId="1" xfId="0" applyFill="1" applyBorder="1" applyAlignment="1">
      <alignment horizontal="center"/>
    </xf>
    <xf numFmtId="164" fontId="0" fillId="16" borderId="1" xfId="0" applyNumberFormat="1" applyFill="1" applyBorder="1" applyAlignment="1">
      <alignment horizontal="center"/>
    </xf>
    <xf numFmtId="20" fontId="0" fillId="16" borderId="1" xfId="0" applyNumberFormat="1" applyFill="1" applyBorder="1" applyAlignment="1">
      <alignment horizontal="center"/>
    </xf>
    <xf numFmtId="164" fontId="0" fillId="0" borderId="0" xfId="0" applyNumberFormat="1"/>
    <xf numFmtId="0" fontId="0" fillId="2" borderId="0" xfId="0" applyFill="1" applyAlignment="1">
      <alignment horizontal="center"/>
    </xf>
    <xf numFmtId="164" fontId="0" fillId="2" borderId="0" xfId="0" applyNumberFormat="1" applyFill="1" applyAlignment="1">
      <alignment horizontal="center"/>
    </xf>
    <xf numFmtId="0" fontId="0" fillId="17" borderId="0" xfId="0" applyFill="1" applyAlignment="1">
      <alignment horizontal="center"/>
    </xf>
    <xf numFmtId="164" fontId="0" fillId="17" borderId="0" xfId="0" applyNumberFormat="1" applyFill="1" applyAlignment="1">
      <alignment horizontal="center"/>
    </xf>
    <xf numFmtId="0" fontId="0" fillId="18" borderId="0" xfId="0" applyFill="1" applyAlignment="1">
      <alignment horizontal="center"/>
    </xf>
    <xf numFmtId="164" fontId="0" fillId="18" borderId="0" xfId="0" applyNumberFormat="1" applyFill="1" applyAlignment="1">
      <alignment horizontal="center"/>
    </xf>
    <xf numFmtId="0" fontId="0" fillId="9" borderId="0" xfId="0" applyFill="1" applyAlignment="1">
      <alignment horizontal="center"/>
    </xf>
    <xf numFmtId="164" fontId="0" fillId="9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64" fontId="0" fillId="11" borderId="1" xfId="0" applyNumberFormat="1" applyFill="1" applyBorder="1" applyAlignment="1">
      <alignment horizontal="center"/>
    </xf>
    <xf numFmtId="164" fontId="0" fillId="15" borderId="1" xfId="0" applyNumberFormat="1" applyFill="1" applyBorder="1" applyAlignment="1">
      <alignment horizontal="center"/>
    </xf>
    <xf numFmtId="0" fontId="9" fillId="0" borderId="1" xfId="0" applyFont="1" applyBorder="1"/>
    <xf numFmtId="0" fontId="9" fillId="3" borderId="1" xfId="0" applyFont="1" applyFill="1" applyBorder="1"/>
    <xf numFmtId="0" fontId="9" fillId="0" borderId="8" xfId="0" applyFont="1" applyBorder="1"/>
    <xf numFmtId="20" fontId="9" fillId="3" borderId="1" xfId="0" applyNumberFormat="1" applyFont="1" applyFill="1" applyBorder="1"/>
    <xf numFmtId="0" fontId="10" fillId="0" borderId="0" xfId="0" applyFont="1"/>
    <xf numFmtId="0" fontId="9" fillId="12" borderId="1" xfId="0" applyFont="1" applyFill="1" applyBorder="1"/>
    <xf numFmtId="0" fontId="9" fillId="2" borderId="1" xfId="0" applyFont="1" applyFill="1" applyBorder="1"/>
    <xf numFmtId="0" fontId="9" fillId="12" borderId="8" xfId="0" applyFont="1" applyFill="1" applyBorder="1"/>
    <xf numFmtId="0" fontId="9" fillId="0" borderId="10" xfId="0" applyFont="1" applyBorder="1"/>
    <xf numFmtId="0" fontId="9" fillId="2" borderId="10" xfId="0" applyFont="1" applyFill="1" applyBorder="1"/>
    <xf numFmtId="0" fontId="9" fillId="13" borderId="10" xfId="0" applyFont="1" applyFill="1" applyBorder="1"/>
    <xf numFmtId="0" fontId="9" fillId="0" borderId="11" xfId="0" applyFont="1" applyBorder="1"/>
    <xf numFmtId="0" fontId="9" fillId="2" borderId="5" xfId="0" applyFont="1" applyFill="1" applyBorder="1" applyAlignment="1">
      <alignment wrapText="1"/>
    </xf>
    <xf numFmtId="0" fontId="9" fillId="0" borderId="5" xfId="0" applyFont="1" applyBorder="1"/>
    <xf numFmtId="0" fontId="9" fillId="0" borderId="6" xfId="0" applyFont="1" applyBorder="1"/>
    <xf numFmtId="0" fontId="9" fillId="2" borderId="10" xfId="0" applyFont="1" applyFill="1" applyBorder="1" applyAlignment="1">
      <alignment wrapText="1"/>
    </xf>
    <xf numFmtId="0" fontId="9" fillId="0" borderId="13" xfId="0" applyFont="1" applyBorder="1"/>
    <xf numFmtId="0" fontId="9" fillId="2" borderId="13" xfId="0" applyFont="1" applyFill="1" applyBorder="1" applyAlignment="1">
      <alignment wrapText="1"/>
    </xf>
    <xf numFmtId="0" fontId="9" fillId="0" borderId="14" xfId="0" applyFont="1" applyBorder="1"/>
    <xf numFmtId="0" fontId="9" fillId="0" borderId="18" xfId="0" applyFont="1" applyBorder="1"/>
    <xf numFmtId="20" fontId="0" fillId="11" borderId="1" xfId="0" applyNumberFormat="1" applyFill="1" applyBorder="1"/>
    <xf numFmtId="20" fontId="0" fillId="15" borderId="1" xfId="0" applyNumberFormat="1" applyFill="1" applyBorder="1"/>
    <xf numFmtId="49" fontId="0" fillId="0" borderId="0" xfId="0" applyNumberFormat="1"/>
    <xf numFmtId="0" fontId="11" fillId="0" borderId="0" xfId="1"/>
    <xf numFmtId="0" fontId="0" fillId="0" borderId="1" xfId="0" applyBorder="1"/>
    <xf numFmtId="0" fontId="0" fillId="19" borderId="1" xfId="0" applyFill="1" applyBorder="1" applyAlignment="1">
      <alignment horizontal="center"/>
    </xf>
    <xf numFmtId="164" fontId="0" fillId="19" borderId="1" xfId="0" applyNumberFormat="1" applyFill="1" applyBorder="1" applyAlignment="1">
      <alignment horizontal="center"/>
    </xf>
    <xf numFmtId="20" fontId="0" fillId="19" borderId="1" xfId="0" applyNumberFormat="1" applyFill="1" applyBorder="1" applyAlignment="1">
      <alignment horizontal="center"/>
    </xf>
    <xf numFmtId="0" fontId="0" fillId="20" borderId="1" xfId="0" applyFill="1" applyBorder="1" applyAlignment="1">
      <alignment horizontal="center"/>
    </xf>
    <xf numFmtId="164" fontId="0" fillId="20" borderId="1" xfId="0" applyNumberFormat="1" applyFill="1" applyBorder="1" applyAlignment="1">
      <alignment horizontal="center"/>
    </xf>
    <xf numFmtId="20" fontId="0" fillId="20" borderId="1" xfId="0" applyNumberFormat="1" applyFill="1" applyBorder="1" applyAlignment="1">
      <alignment horizontal="center"/>
    </xf>
    <xf numFmtId="20" fontId="0" fillId="0" borderId="2" xfId="0" applyNumberFormat="1" applyBorder="1" applyAlignment="1">
      <alignment horizontal="center"/>
    </xf>
    <xf numFmtId="20" fontId="0" fillId="0" borderId="0" xfId="0" applyNumberFormat="1" applyAlignment="1">
      <alignment horizontal="center"/>
    </xf>
    <xf numFmtId="165" fontId="0" fillId="0" borderId="0" xfId="0" applyNumberFormat="1"/>
    <xf numFmtId="166" fontId="0" fillId="0" borderId="0" xfId="0" applyNumberFormat="1"/>
    <xf numFmtId="166" fontId="0" fillId="0" borderId="0" xfId="0" applyNumberFormat="1" applyAlignment="1">
      <alignment horizontal="center"/>
    </xf>
    <xf numFmtId="166" fontId="0" fillId="9" borderId="0" xfId="0" applyNumberFormat="1" applyFill="1" applyAlignment="1">
      <alignment horizontal="center"/>
    </xf>
    <xf numFmtId="166" fontId="0" fillId="17" borderId="0" xfId="0" applyNumberFormat="1" applyFill="1" applyAlignment="1">
      <alignment horizontal="center"/>
    </xf>
    <xf numFmtId="166" fontId="0" fillId="2" borderId="0" xfId="0" applyNumberFormat="1" applyFill="1" applyAlignment="1">
      <alignment horizontal="center"/>
    </xf>
    <xf numFmtId="166" fontId="0" fillId="18" borderId="0" xfId="0" applyNumberFormat="1" applyFill="1" applyAlignment="1">
      <alignment horizontal="center"/>
    </xf>
    <xf numFmtId="167" fontId="0" fillId="0" borderId="0" xfId="0" applyNumberFormat="1" applyAlignment="1">
      <alignment horizontal="center"/>
    </xf>
    <xf numFmtId="167" fontId="8" fillId="0" borderId="1" xfId="0" applyNumberFormat="1" applyFont="1" applyBorder="1" applyAlignment="1">
      <alignment horizontal="center"/>
    </xf>
    <xf numFmtId="166" fontId="8" fillId="0" borderId="1" xfId="0" applyNumberFormat="1" applyFont="1" applyBorder="1" applyAlignment="1">
      <alignment horizontal="center"/>
    </xf>
    <xf numFmtId="167" fontId="4" fillId="2" borderId="1" xfId="0" applyNumberFormat="1" applyFont="1" applyFill="1" applyBorder="1" applyAlignment="1">
      <alignment horizontal="center"/>
    </xf>
    <xf numFmtId="166" fontId="4" fillId="2" borderId="1" xfId="0" applyNumberFormat="1" applyFont="1" applyFill="1" applyBorder="1" applyAlignment="1">
      <alignment horizontal="center"/>
    </xf>
    <xf numFmtId="0" fontId="4" fillId="21" borderId="1" xfId="0" applyFont="1" applyFill="1" applyBorder="1" applyAlignment="1">
      <alignment horizontal="center"/>
    </xf>
    <xf numFmtId="167" fontId="4" fillId="21" borderId="1" xfId="0" applyNumberFormat="1" applyFont="1" applyFill="1" applyBorder="1" applyAlignment="1">
      <alignment horizontal="center"/>
    </xf>
    <xf numFmtId="166" fontId="4" fillId="21" borderId="1" xfId="0" applyNumberFormat="1" applyFont="1" applyFill="1" applyBorder="1" applyAlignment="1">
      <alignment horizontal="center"/>
    </xf>
    <xf numFmtId="0" fontId="0" fillId="21" borderId="0" xfId="0" applyFill="1"/>
    <xf numFmtId="0" fontId="4" fillId="11" borderId="1" xfId="0" applyFont="1" applyFill="1" applyBorder="1" applyAlignment="1">
      <alignment horizontal="center"/>
    </xf>
    <xf numFmtId="167" fontId="4" fillId="11" borderId="1" xfId="0" applyNumberFormat="1" applyFont="1" applyFill="1" applyBorder="1" applyAlignment="1">
      <alignment horizontal="center"/>
    </xf>
    <xf numFmtId="166" fontId="4" fillId="11" borderId="1" xfId="0" applyNumberFormat="1" applyFont="1" applyFill="1" applyBorder="1" applyAlignment="1">
      <alignment horizontal="center"/>
    </xf>
    <xf numFmtId="0" fontId="0" fillId="11" borderId="0" xfId="0" applyFill="1"/>
    <xf numFmtId="0" fontId="4" fillId="22" borderId="1" xfId="0" applyFont="1" applyFill="1" applyBorder="1" applyAlignment="1">
      <alignment horizontal="center"/>
    </xf>
    <xf numFmtId="167" fontId="4" fillId="22" borderId="1" xfId="0" applyNumberFormat="1" applyFont="1" applyFill="1" applyBorder="1" applyAlignment="1">
      <alignment horizontal="center"/>
    </xf>
    <xf numFmtId="166" fontId="4" fillId="22" borderId="1" xfId="0" applyNumberFormat="1" applyFont="1" applyFill="1" applyBorder="1" applyAlignment="1">
      <alignment horizontal="center"/>
    </xf>
    <xf numFmtId="0" fontId="0" fillId="22" borderId="0" xfId="0" applyFill="1"/>
    <xf numFmtId="0" fontId="4" fillId="3" borderId="1" xfId="0" applyFont="1" applyFill="1" applyBorder="1" applyAlignment="1">
      <alignment horizontal="center"/>
    </xf>
    <xf numFmtId="167" fontId="4" fillId="3" borderId="1" xfId="0" applyNumberFormat="1" applyFont="1" applyFill="1" applyBorder="1" applyAlignment="1">
      <alignment horizontal="center"/>
    </xf>
    <xf numFmtId="166" fontId="4" fillId="3" borderId="1" xfId="0" applyNumberFormat="1" applyFont="1" applyFill="1" applyBorder="1" applyAlignment="1">
      <alignment horizontal="center"/>
    </xf>
    <xf numFmtId="0" fontId="4" fillId="12" borderId="1" xfId="0" applyFont="1" applyFill="1" applyBorder="1" applyAlignment="1">
      <alignment horizontal="center"/>
    </xf>
    <xf numFmtId="167" fontId="4" fillId="12" borderId="1" xfId="0" applyNumberFormat="1" applyFont="1" applyFill="1" applyBorder="1" applyAlignment="1">
      <alignment horizontal="center"/>
    </xf>
    <xf numFmtId="166" fontId="4" fillId="12" borderId="1" xfId="0" applyNumberFormat="1" applyFont="1" applyFill="1" applyBorder="1" applyAlignment="1">
      <alignment horizontal="center"/>
    </xf>
    <xf numFmtId="0" fontId="0" fillId="17" borderId="0" xfId="0" applyFill="1"/>
    <xf numFmtId="0" fontId="4" fillId="17" borderId="1" xfId="0" applyFont="1" applyFill="1" applyBorder="1" applyAlignment="1">
      <alignment horizontal="center"/>
    </xf>
    <xf numFmtId="167" fontId="4" fillId="17" borderId="1" xfId="0" applyNumberFormat="1" applyFont="1" applyFill="1" applyBorder="1" applyAlignment="1">
      <alignment horizontal="center"/>
    </xf>
    <xf numFmtId="166" fontId="4" fillId="17" borderId="1" xfId="0" applyNumberFormat="1" applyFont="1" applyFill="1" applyBorder="1" applyAlignment="1">
      <alignment horizontal="center"/>
    </xf>
    <xf numFmtId="0" fontId="0" fillId="0" borderId="0" xfId="0"/>
    <xf numFmtId="0" fontId="4" fillId="13" borderId="19" xfId="0" applyFont="1" applyFill="1" applyBorder="1"/>
    <xf numFmtId="0" fontId="0" fillId="0" borderId="15" xfId="0" applyBorder="1"/>
    <xf numFmtId="0" fontId="0" fillId="0" borderId="16" xfId="0" applyBorder="1"/>
    <xf numFmtId="0" fontId="7" fillId="0" borderId="7" xfId="0" applyFont="1" applyBorder="1" applyAlignment="1">
      <alignment vertical="center" wrapText="1"/>
    </xf>
    <xf numFmtId="0" fontId="0" fillId="0" borderId="12" xfId="0" applyBorder="1"/>
    <xf numFmtId="0" fontId="0" fillId="0" borderId="17" xfId="0" applyBorder="1"/>
    <xf numFmtId="0" fontId="4" fillId="2" borderId="19" xfId="0" applyFont="1" applyFill="1" applyBorder="1"/>
    <xf numFmtId="0" fontId="4" fillId="12" borderId="19" xfId="0" applyFont="1" applyFill="1" applyBorder="1"/>
    <xf numFmtId="0" fontId="5" fillId="0" borderId="0" xfId="0" applyFont="1" applyAlignment="1">
      <alignment horizontal="center"/>
    </xf>
    <xf numFmtId="0" fontId="0" fillId="0" borderId="0" xfId="0"/>
    <xf numFmtId="0" fontId="4" fillId="3" borderId="19" xfId="0" applyFont="1" applyFill="1" applyBorder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43"/>
  <sheetViews>
    <sheetView zoomScaleNormal="100" workbookViewId="0">
      <pane ySplit="1" topLeftCell="A14" activePane="bottomLeft" state="frozen"/>
      <selection pane="bottomLeft" activeCell="F78" sqref="F78"/>
    </sheetView>
  </sheetViews>
  <sheetFormatPr baseColWidth="10" defaultColWidth="10.6640625" defaultRowHeight="14.4" x14ac:dyDescent="0.3"/>
  <cols>
    <col min="1" max="1" width="21.109375" style="54" bestFit="1" customWidth="1"/>
    <col min="2" max="2" width="8.33203125" style="54" bestFit="1" customWidth="1"/>
    <col min="3" max="3" width="15.88671875" style="54" bestFit="1" customWidth="1"/>
    <col min="4" max="4" width="29.88671875" style="55" bestFit="1" customWidth="1"/>
    <col min="5" max="5" width="17.5546875" style="1" bestFit="1" customWidth="1"/>
    <col min="6" max="6" width="21.88671875" style="54" bestFit="1" customWidth="1"/>
    <col min="7" max="7" width="33" style="54" bestFit="1" customWidth="1"/>
    <col min="8" max="8" width="17.109375" style="54" bestFit="1" customWidth="1"/>
  </cols>
  <sheetData>
    <row r="1" spans="1:8" x14ac:dyDescent="0.3">
      <c r="A1" s="54" t="s">
        <v>0</v>
      </c>
      <c r="B1" s="5" t="s">
        <v>1</v>
      </c>
      <c r="C1" s="5" t="s">
        <v>2</v>
      </c>
      <c r="D1" s="9" t="s">
        <v>3</v>
      </c>
      <c r="E1" s="2" t="s">
        <v>4</v>
      </c>
      <c r="F1" s="5" t="s">
        <v>5</v>
      </c>
      <c r="G1" s="5" t="s">
        <v>6</v>
      </c>
      <c r="H1" s="5" t="s">
        <v>7</v>
      </c>
    </row>
    <row r="2" spans="1:8" x14ac:dyDescent="0.3">
      <c r="A2" s="54">
        <v>1</v>
      </c>
      <c r="B2" s="5">
        <v>0</v>
      </c>
      <c r="C2" s="5" t="s">
        <v>8</v>
      </c>
      <c r="D2" s="9">
        <v>46199</v>
      </c>
      <c r="E2" s="91">
        <v>0.66666666666666663</v>
      </c>
      <c r="F2" s="5" t="s">
        <v>9</v>
      </c>
      <c r="G2" s="5" t="s">
        <v>10</v>
      </c>
      <c r="H2" s="5" t="s">
        <v>11</v>
      </c>
    </row>
    <row r="3" spans="1:8" x14ac:dyDescent="0.3">
      <c r="A3" s="54">
        <f t="shared" ref="A3:A39" si="0">A2+1</f>
        <v>2</v>
      </c>
      <c r="B3" s="5">
        <v>0</v>
      </c>
      <c r="C3" s="5" t="s">
        <v>12</v>
      </c>
      <c r="D3" s="9">
        <v>46199</v>
      </c>
      <c r="E3" s="91">
        <v>0.75</v>
      </c>
      <c r="F3" s="5" t="s">
        <v>9</v>
      </c>
      <c r="G3" s="5" t="s">
        <v>10</v>
      </c>
      <c r="H3" s="5" t="s">
        <v>11</v>
      </c>
    </row>
    <row r="4" spans="1:8" x14ac:dyDescent="0.3">
      <c r="A4" s="54">
        <f t="shared" si="0"/>
        <v>3</v>
      </c>
      <c r="B4" s="5">
        <v>0</v>
      </c>
      <c r="C4" s="5" t="s">
        <v>13</v>
      </c>
      <c r="D4" s="9">
        <v>46213</v>
      </c>
      <c r="E4" s="91">
        <v>0.79166666666666663</v>
      </c>
      <c r="F4" s="5" t="s">
        <v>14</v>
      </c>
      <c r="G4" s="5" t="s">
        <v>14</v>
      </c>
      <c r="H4" s="5" t="s">
        <v>15</v>
      </c>
    </row>
    <row r="5" spans="1:8" x14ac:dyDescent="0.3">
      <c r="A5" s="54">
        <f t="shared" si="0"/>
        <v>4</v>
      </c>
      <c r="B5" s="5">
        <v>0</v>
      </c>
      <c r="C5" s="5" t="s">
        <v>13</v>
      </c>
      <c r="D5" s="9">
        <v>46217</v>
      </c>
      <c r="E5" s="91">
        <v>0.8125</v>
      </c>
      <c r="F5" s="5" t="s">
        <v>30</v>
      </c>
      <c r="G5" s="5" t="s">
        <v>30</v>
      </c>
      <c r="H5" s="5" t="s">
        <v>15</v>
      </c>
    </row>
    <row r="6" spans="1:8" x14ac:dyDescent="0.3">
      <c r="A6" s="54">
        <f t="shared" si="0"/>
        <v>5</v>
      </c>
      <c r="B6" s="5">
        <v>0</v>
      </c>
      <c r="C6" s="5" t="s">
        <v>13</v>
      </c>
      <c r="D6" s="9">
        <v>46220</v>
      </c>
      <c r="E6" s="91">
        <v>0.79166666666666663</v>
      </c>
      <c r="F6" s="5" t="s">
        <v>16</v>
      </c>
      <c r="G6" s="5" t="s">
        <v>17</v>
      </c>
      <c r="H6" s="5" t="s">
        <v>15</v>
      </c>
    </row>
    <row r="7" spans="1:8" x14ac:dyDescent="0.3">
      <c r="A7" s="54">
        <f t="shared" si="0"/>
        <v>6</v>
      </c>
      <c r="B7" s="5">
        <v>0</v>
      </c>
      <c r="C7" s="5" t="s">
        <v>13</v>
      </c>
      <c r="D7" s="9">
        <v>46227</v>
      </c>
      <c r="E7" s="91">
        <v>0.8125</v>
      </c>
      <c r="F7" s="5" t="s">
        <v>18</v>
      </c>
      <c r="G7" s="5" t="s">
        <v>18</v>
      </c>
      <c r="H7" s="5" t="s">
        <v>15</v>
      </c>
    </row>
    <row r="8" spans="1:8" x14ac:dyDescent="0.3">
      <c r="A8" s="54">
        <f t="shared" si="0"/>
        <v>7</v>
      </c>
      <c r="B8" s="5">
        <v>0</v>
      </c>
      <c r="C8" s="5" t="s">
        <v>19</v>
      </c>
      <c r="D8" s="9">
        <v>46234</v>
      </c>
      <c r="E8" s="91">
        <v>0.70833333333333337</v>
      </c>
      <c r="F8" s="5" t="s">
        <v>20</v>
      </c>
      <c r="G8" s="5" t="s">
        <v>21</v>
      </c>
      <c r="H8" s="5" t="s">
        <v>15</v>
      </c>
    </row>
    <row r="9" spans="1:8" x14ac:dyDescent="0.3">
      <c r="A9" s="54">
        <f t="shared" si="0"/>
        <v>8</v>
      </c>
      <c r="B9" s="5">
        <v>0</v>
      </c>
      <c r="C9" s="5" t="s">
        <v>13</v>
      </c>
      <c r="D9" s="9">
        <v>46235</v>
      </c>
      <c r="E9" s="91">
        <v>0.72916666666666663</v>
      </c>
      <c r="F9" s="5" t="s">
        <v>22</v>
      </c>
      <c r="G9" s="5" t="s">
        <v>22</v>
      </c>
      <c r="H9" s="5" t="s">
        <v>15</v>
      </c>
    </row>
    <row r="10" spans="1:8" x14ac:dyDescent="0.3">
      <c r="A10" s="54">
        <f t="shared" si="0"/>
        <v>9</v>
      </c>
      <c r="B10" s="5">
        <v>0</v>
      </c>
      <c r="C10" s="5" t="s">
        <v>12</v>
      </c>
      <c r="D10" s="9">
        <v>46236</v>
      </c>
      <c r="E10" s="91">
        <v>0.4375</v>
      </c>
      <c r="F10" s="5" t="s">
        <v>23</v>
      </c>
      <c r="G10" s="5" t="s">
        <v>24</v>
      </c>
      <c r="H10" s="5" t="s">
        <v>11</v>
      </c>
    </row>
    <row r="11" spans="1:8" x14ac:dyDescent="0.3">
      <c r="A11" s="54">
        <f t="shared" si="0"/>
        <v>10</v>
      </c>
      <c r="B11" s="5">
        <v>0</v>
      </c>
      <c r="C11" s="5" t="s">
        <v>13</v>
      </c>
      <c r="D11" s="9">
        <v>46241</v>
      </c>
      <c r="E11" s="91">
        <v>0.79166666666666663</v>
      </c>
      <c r="F11" s="5" t="s">
        <v>23</v>
      </c>
      <c r="G11" s="5" t="s">
        <v>25</v>
      </c>
      <c r="H11" s="5" t="s">
        <v>11</v>
      </c>
    </row>
    <row r="12" spans="1:8" x14ac:dyDescent="0.3">
      <c r="A12" s="54">
        <f t="shared" si="0"/>
        <v>11</v>
      </c>
      <c r="B12" s="5">
        <v>0</v>
      </c>
      <c r="C12" s="5" t="s">
        <v>12</v>
      </c>
      <c r="D12" s="9">
        <v>46243</v>
      </c>
      <c r="E12" s="91">
        <v>0.45833333333333331</v>
      </c>
      <c r="F12" s="5" t="s">
        <v>26</v>
      </c>
      <c r="G12" s="5" t="s">
        <v>26</v>
      </c>
      <c r="H12" s="5" t="s">
        <v>15</v>
      </c>
    </row>
    <row r="13" spans="1:8" x14ac:dyDescent="0.3">
      <c r="A13" s="54">
        <f t="shared" si="0"/>
        <v>12</v>
      </c>
      <c r="B13" s="5">
        <v>0</v>
      </c>
      <c r="C13" s="5" t="s">
        <v>27</v>
      </c>
      <c r="D13" s="9">
        <v>46243</v>
      </c>
      <c r="E13" s="91">
        <v>0.625</v>
      </c>
      <c r="F13" s="5" t="s">
        <v>28</v>
      </c>
      <c r="G13" s="5" t="s">
        <v>29</v>
      </c>
      <c r="H13" s="5" t="s">
        <v>11</v>
      </c>
    </row>
    <row r="14" spans="1:8" s="127" customFormat="1" x14ac:dyDescent="0.3">
      <c r="A14" s="54">
        <f t="shared" si="0"/>
        <v>13</v>
      </c>
      <c r="B14" s="5">
        <v>0</v>
      </c>
      <c r="C14" s="5" t="s">
        <v>19</v>
      </c>
      <c r="D14" s="9">
        <v>46245</v>
      </c>
      <c r="E14" s="91">
        <v>0.79166666666666663</v>
      </c>
      <c r="F14" s="5" t="s">
        <v>193</v>
      </c>
      <c r="G14" s="5" t="s">
        <v>21</v>
      </c>
      <c r="H14" s="5" t="s">
        <v>15</v>
      </c>
    </row>
    <row r="15" spans="1:8" x14ac:dyDescent="0.3">
      <c r="A15" s="54">
        <f t="shared" si="0"/>
        <v>14</v>
      </c>
      <c r="B15" s="5">
        <v>0</v>
      </c>
      <c r="C15" s="5" t="s">
        <v>27</v>
      </c>
      <c r="D15" s="9">
        <v>46247</v>
      </c>
      <c r="E15" s="91">
        <v>0.79166666666666663</v>
      </c>
      <c r="F15" s="5" t="s">
        <v>163</v>
      </c>
      <c r="G15" s="5" t="s">
        <v>163</v>
      </c>
      <c r="H15" s="5" t="s">
        <v>15</v>
      </c>
    </row>
    <row r="16" spans="1:8" x14ac:dyDescent="0.3">
      <c r="A16" s="54">
        <f t="shared" si="0"/>
        <v>15</v>
      </c>
      <c r="B16" s="5">
        <v>0</v>
      </c>
      <c r="C16" s="5" t="s">
        <v>27</v>
      </c>
      <c r="D16" s="9">
        <v>46255</v>
      </c>
      <c r="E16" s="91">
        <v>0.75</v>
      </c>
      <c r="F16" s="5" t="s">
        <v>28</v>
      </c>
      <c r="G16" s="5" t="s">
        <v>34</v>
      </c>
      <c r="H16" s="5" t="s">
        <v>11</v>
      </c>
    </row>
    <row r="17" spans="1:8" x14ac:dyDescent="0.3">
      <c r="A17" s="54">
        <f t="shared" si="0"/>
        <v>16</v>
      </c>
      <c r="B17" s="5">
        <v>0</v>
      </c>
      <c r="C17" s="5" t="s">
        <v>12</v>
      </c>
      <c r="D17" s="9">
        <v>46256</v>
      </c>
      <c r="E17" s="91">
        <v>0.70833333333333337</v>
      </c>
      <c r="F17" s="5" t="s">
        <v>31</v>
      </c>
      <c r="G17" s="5" t="s">
        <v>31</v>
      </c>
      <c r="H17" s="5" t="s">
        <v>15</v>
      </c>
    </row>
    <row r="18" spans="1:8" x14ac:dyDescent="0.3">
      <c r="A18" s="54">
        <f t="shared" si="0"/>
        <v>17</v>
      </c>
      <c r="B18" s="5">
        <v>0</v>
      </c>
      <c r="C18" s="5" t="s">
        <v>12</v>
      </c>
      <c r="D18" s="9">
        <v>46260</v>
      </c>
      <c r="E18" s="91">
        <v>0.41666666666666669</v>
      </c>
      <c r="F18" s="5" t="s">
        <v>23</v>
      </c>
      <c r="G18" s="5" t="s">
        <v>32</v>
      </c>
      <c r="H18" s="5" t="s">
        <v>11</v>
      </c>
    </row>
    <row r="19" spans="1:8" x14ac:dyDescent="0.3">
      <c r="A19" s="54">
        <f t="shared" si="0"/>
        <v>18</v>
      </c>
      <c r="B19" s="5">
        <v>0</v>
      </c>
      <c r="C19" s="5" t="s">
        <v>27</v>
      </c>
      <c r="D19" s="9">
        <v>46260</v>
      </c>
      <c r="E19" s="91">
        <v>0.79166666666666663</v>
      </c>
      <c r="F19" s="5" t="s">
        <v>28</v>
      </c>
      <c r="G19" s="5" t="s">
        <v>164</v>
      </c>
      <c r="H19" s="5" t="s">
        <v>11</v>
      </c>
    </row>
    <row r="20" spans="1:8" x14ac:dyDescent="0.3">
      <c r="A20" s="54">
        <f t="shared" si="0"/>
        <v>19</v>
      </c>
      <c r="B20" s="5">
        <v>0</v>
      </c>
      <c r="C20" s="5" t="s">
        <v>27</v>
      </c>
      <c r="D20" s="9">
        <v>46263</v>
      </c>
      <c r="E20" s="91">
        <v>0.4375</v>
      </c>
      <c r="F20" s="5" t="s">
        <v>28</v>
      </c>
      <c r="G20" s="5" t="s">
        <v>163</v>
      </c>
      <c r="H20" s="5" t="s">
        <v>11</v>
      </c>
    </row>
    <row r="21" spans="1:8" x14ac:dyDescent="0.3">
      <c r="A21" s="54">
        <f t="shared" si="0"/>
        <v>20</v>
      </c>
      <c r="B21" s="5">
        <v>0</v>
      </c>
      <c r="C21" s="5" t="s">
        <v>12</v>
      </c>
      <c r="D21" s="9">
        <v>46264</v>
      </c>
      <c r="E21" s="91">
        <v>0.4375</v>
      </c>
      <c r="F21" s="5" t="s">
        <v>24</v>
      </c>
      <c r="G21" s="5" t="s">
        <v>33</v>
      </c>
      <c r="H21" s="5" t="s">
        <v>15</v>
      </c>
    </row>
    <row r="22" spans="1:8" x14ac:dyDescent="0.3">
      <c r="A22" s="54">
        <f t="shared" si="0"/>
        <v>21</v>
      </c>
      <c r="B22" s="5">
        <v>0</v>
      </c>
      <c r="C22" s="5" t="s">
        <v>13</v>
      </c>
      <c r="D22" s="9">
        <v>46445</v>
      </c>
      <c r="E22" s="91">
        <v>0.5</v>
      </c>
      <c r="F22" s="5" t="s">
        <v>34</v>
      </c>
      <c r="G22" s="5" t="s">
        <v>34</v>
      </c>
      <c r="H22" s="5" t="s">
        <v>15</v>
      </c>
    </row>
    <row r="23" spans="1:8" x14ac:dyDescent="0.3">
      <c r="A23" s="4">
        <f t="shared" si="0"/>
        <v>22</v>
      </c>
      <c r="B23" s="4">
        <v>1</v>
      </c>
      <c r="C23" s="4" t="s">
        <v>13</v>
      </c>
      <c r="D23" s="10">
        <v>46250</v>
      </c>
      <c r="E23" s="3">
        <v>0.72916666666666663</v>
      </c>
      <c r="F23" s="4" t="s">
        <v>22</v>
      </c>
      <c r="G23" s="4" t="s">
        <v>22</v>
      </c>
      <c r="H23" s="4" t="s">
        <v>15</v>
      </c>
    </row>
    <row r="24" spans="1:8" x14ac:dyDescent="0.3">
      <c r="A24" s="4">
        <f t="shared" si="0"/>
        <v>23</v>
      </c>
      <c r="B24" s="4">
        <v>2</v>
      </c>
      <c r="C24" s="4" t="s">
        <v>13</v>
      </c>
      <c r="D24" s="10">
        <v>46255</v>
      </c>
      <c r="E24" s="3">
        <v>0.83333333333333337</v>
      </c>
      <c r="F24" s="4" t="s">
        <v>35</v>
      </c>
      <c r="G24" s="4" t="s">
        <v>35</v>
      </c>
      <c r="H24" s="4" t="s">
        <v>15</v>
      </c>
    </row>
    <row r="25" spans="1:8" x14ac:dyDescent="0.3">
      <c r="A25" s="4">
        <f t="shared" si="0"/>
        <v>24</v>
      </c>
      <c r="B25" s="4">
        <v>3</v>
      </c>
      <c r="C25" s="4" t="s">
        <v>13</v>
      </c>
      <c r="D25" s="10">
        <v>46263</v>
      </c>
      <c r="E25" s="3">
        <v>0.75</v>
      </c>
      <c r="F25" s="4" t="s">
        <v>23</v>
      </c>
      <c r="G25" s="4" t="s">
        <v>36</v>
      </c>
      <c r="H25" s="4" t="s">
        <v>11</v>
      </c>
    </row>
    <row r="26" spans="1:8" x14ac:dyDescent="0.3">
      <c r="A26" s="4">
        <f t="shared" si="0"/>
        <v>25</v>
      </c>
      <c r="B26" s="4">
        <v>4</v>
      </c>
      <c r="C26" s="4" t="s">
        <v>13</v>
      </c>
      <c r="D26" s="10">
        <v>46270</v>
      </c>
      <c r="E26" s="3">
        <v>0.6875</v>
      </c>
      <c r="F26" s="4" t="s">
        <v>37</v>
      </c>
      <c r="G26" s="4" t="s">
        <v>37</v>
      </c>
      <c r="H26" s="4" t="s">
        <v>15</v>
      </c>
    </row>
    <row r="27" spans="1:8" x14ac:dyDescent="0.3">
      <c r="A27" s="4">
        <f t="shared" si="0"/>
        <v>26</v>
      </c>
      <c r="B27" s="4">
        <v>5</v>
      </c>
      <c r="C27" s="4" t="s">
        <v>13</v>
      </c>
      <c r="D27" s="10">
        <v>46276</v>
      </c>
      <c r="E27" s="3">
        <v>0.8125</v>
      </c>
      <c r="F27" s="4" t="s">
        <v>23</v>
      </c>
      <c r="G27" s="4" t="s">
        <v>38</v>
      </c>
      <c r="H27" s="4" t="s">
        <v>11</v>
      </c>
    </row>
    <row r="28" spans="1:8" x14ac:dyDescent="0.3">
      <c r="A28" s="4">
        <f t="shared" si="0"/>
        <v>27</v>
      </c>
      <c r="B28" s="4">
        <v>6</v>
      </c>
      <c r="C28" s="4" t="s">
        <v>13</v>
      </c>
      <c r="D28" s="10">
        <v>46284</v>
      </c>
      <c r="E28" s="3">
        <v>0.66666666666666663</v>
      </c>
      <c r="F28" s="4" t="s">
        <v>39</v>
      </c>
      <c r="G28" s="4" t="s">
        <v>39</v>
      </c>
      <c r="H28" s="4" t="s">
        <v>15</v>
      </c>
    </row>
    <row r="29" spans="1:8" x14ac:dyDescent="0.3">
      <c r="A29" s="4">
        <f t="shared" si="0"/>
        <v>28</v>
      </c>
      <c r="B29" s="4">
        <v>7</v>
      </c>
      <c r="C29" s="4" t="s">
        <v>13</v>
      </c>
      <c r="D29" s="10">
        <v>46291</v>
      </c>
      <c r="E29" s="3">
        <v>0.75</v>
      </c>
      <c r="F29" s="4" t="s">
        <v>23</v>
      </c>
      <c r="G29" s="4" t="s">
        <v>40</v>
      </c>
      <c r="H29" s="4" t="s">
        <v>11</v>
      </c>
    </row>
    <row r="30" spans="1:8" x14ac:dyDescent="0.3">
      <c r="A30" s="4">
        <f t="shared" si="0"/>
        <v>29</v>
      </c>
      <c r="B30" s="4">
        <v>8</v>
      </c>
      <c r="C30" s="4" t="s">
        <v>13</v>
      </c>
      <c r="D30" s="10">
        <v>46297</v>
      </c>
      <c r="E30" s="3">
        <v>0.8125</v>
      </c>
      <c r="F30" s="4" t="s">
        <v>41</v>
      </c>
      <c r="G30" s="4" t="s">
        <v>41</v>
      </c>
      <c r="H30" s="4" t="s">
        <v>15</v>
      </c>
    </row>
    <row r="31" spans="1:8" x14ac:dyDescent="0.3">
      <c r="A31" s="4">
        <f t="shared" si="0"/>
        <v>30</v>
      </c>
      <c r="B31" s="4">
        <v>9</v>
      </c>
      <c r="C31" s="4" t="s">
        <v>13</v>
      </c>
      <c r="D31" s="10">
        <v>46304</v>
      </c>
      <c r="E31" s="3">
        <v>0.8125</v>
      </c>
      <c r="F31" s="4" t="s">
        <v>23</v>
      </c>
      <c r="G31" s="4" t="s">
        <v>9</v>
      </c>
      <c r="H31" s="4" t="s">
        <v>11</v>
      </c>
    </row>
    <row r="32" spans="1:8" x14ac:dyDescent="0.3">
      <c r="A32" s="4">
        <f t="shared" si="0"/>
        <v>31</v>
      </c>
      <c r="B32" s="4">
        <v>10</v>
      </c>
      <c r="C32" s="4" t="s">
        <v>13</v>
      </c>
      <c r="D32" s="10">
        <v>46311</v>
      </c>
      <c r="E32" s="3">
        <v>0.8125</v>
      </c>
      <c r="F32" s="4" t="s">
        <v>42</v>
      </c>
      <c r="G32" s="4" t="s">
        <v>42</v>
      </c>
      <c r="H32" s="4" t="s">
        <v>15</v>
      </c>
    </row>
    <row r="33" spans="1:8" x14ac:dyDescent="0.3">
      <c r="A33" s="4">
        <f t="shared" si="0"/>
        <v>32</v>
      </c>
      <c r="B33" s="4">
        <v>11</v>
      </c>
      <c r="C33" s="4" t="s">
        <v>13</v>
      </c>
      <c r="D33" s="10">
        <v>46318</v>
      </c>
      <c r="E33" s="3">
        <v>0.8125</v>
      </c>
      <c r="F33" s="4" t="s">
        <v>23</v>
      </c>
      <c r="G33" s="4" t="s">
        <v>43</v>
      </c>
      <c r="H33" s="4" t="s">
        <v>11</v>
      </c>
    </row>
    <row r="34" spans="1:8" x14ac:dyDescent="0.3">
      <c r="A34" s="4">
        <f t="shared" si="0"/>
        <v>33</v>
      </c>
      <c r="B34" s="4">
        <v>12</v>
      </c>
      <c r="C34" s="4" t="s">
        <v>13</v>
      </c>
      <c r="D34" s="10">
        <v>46326</v>
      </c>
      <c r="E34" s="3">
        <v>0.75</v>
      </c>
      <c r="F34" s="4" t="s">
        <v>44</v>
      </c>
      <c r="G34" s="4" t="s">
        <v>44</v>
      </c>
      <c r="H34" s="4" t="s">
        <v>15</v>
      </c>
    </row>
    <row r="35" spans="1:8" x14ac:dyDescent="0.3">
      <c r="A35" s="4">
        <f t="shared" si="0"/>
        <v>34</v>
      </c>
      <c r="B35" s="4">
        <v>13</v>
      </c>
      <c r="C35" s="4" t="s">
        <v>13</v>
      </c>
      <c r="D35" s="10">
        <v>46333</v>
      </c>
      <c r="E35" s="3">
        <v>0.6875</v>
      </c>
      <c r="F35" s="4" t="s">
        <v>23</v>
      </c>
      <c r="G35" s="4" t="s">
        <v>45</v>
      </c>
      <c r="H35" s="4" t="s">
        <v>11</v>
      </c>
    </row>
    <row r="36" spans="1:8" x14ac:dyDescent="0.3">
      <c r="A36" s="4">
        <f t="shared" si="0"/>
        <v>35</v>
      </c>
      <c r="B36" s="4">
        <v>1</v>
      </c>
      <c r="C36" s="4" t="s">
        <v>19</v>
      </c>
      <c r="D36" s="10">
        <v>46250</v>
      </c>
      <c r="E36" s="3">
        <v>0.64583333333333337</v>
      </c>
      <c r="F36" s="4" t="s">
        <v>22</v>
      </c>
      <c r="G36" s="4" t="s">
        <v>22</v>
      </c>
      <c r="H36" s="4" t="s">
        <v>15</v>
      </c>
    </row>
    <row r="37" spans="1:8" x14ac:dyDescent="0.3">
      <c r="A37" s="4">
        <f t="shared" si="0"/>
        <v>36</v>
      </c>
      <c r="B37" s="4">
        <v>2</v>
      </c>
      <c r="C37" s="4" t="s">
        <v>19</v>
      </c>
      <c r="D37" s="10">
        <v>46255</v>
      </c>
      <c r="E37" s="3">
        <v>0.75</v>
      </c>
      <c r="F37" s="4" t="s">
        <v>35</v>
      </c>
      <c r="G37" s="4" t="s">
        <v>35</v>
      </c>
      <c r="H37" s="4" t="s">
        <v>15</v>
      </c>
    </row>
    <row r="38" spans="1:8" x14ac:dyDescent="0.3">
      <c r="A38" s="4">
        <f t="shared" si="0"/>
        <v>37</v>
      </c>
      <c r="B38" s="4">
        <v>3</v>
      </c>
      <c r="C38" s="4" t="s">
        <v>19</v>
      </c>
      <c r="D38" s="10">
        <v>46263</v>
      </c>
      <c r="E38" s="3">
        <v>0.66666666666666663</v>
      </c>
      <c r="F38" s="4" t="s">
        <v>23</v>
      </c>
      <c r="G38" s="4" t="s">
        <v>36</v>
      </c>
      <c r="H38" s="4" t="s">
        <v>11</v>
      </c>
    </row>
    <row r="39" spans="1:8" x14ac:dyDescent="0.3">
      <c r="A39" s="4">
        <f t="shared" si="0"/>
        <v>38</v>
      </c>
      <c r="B39" s="4">
        <v>4</v>
      </c>
      <c r="C39" s="4" t="s">
        <v>19</v>
      </c>
      <c r="D39" s="10">
        <v>46270</v>
      </c>
      <c r="E39" s="3">
        <v>0.60416666666666663</v>
      </c>
      <c r="F39" s="4" t="s">
        <v>37</v>
      </c>
      <c r="G39" s="4" t="s">
        <v>37</v>
      </c>
      <c r="H39" s="4" t="s">
        <v>15</v>
      </c>
    </row>
    <row r="40" spans="1:8" x14ac:dyDescent="0.3">
      <c r="A40" s="4">
        <f t="shared" ref="A40:A71" si="1">A39+1</f>
        <v>39</v>
      </c>
      <c r="B40" s="4">
        <v>5</v>
      </c>
      <c r="C40" s="4" t="s">
        <v>19</v>
      </c>
      <c r="D40" s="10">
        <v>46276</v>
      </c>
      <c r="E40" s="3">
        <v>0.72916666666666663</v>
      </c>
      <c r="F40" s="4" t="s">
        <v>23</v>
      </c>
      <c r="G40" s="4" t="s">
        <v>38</v>
      </c>
      <c r="H40" s="4" t="s">
        <v>11</v>
      </c>
    </row>
    <row r="41" spans="1:8" x14ac:dyDescent="0.3">
      <c r="A41" s="4">
        <f t="shared" si="1"/>
        <v>40</v>
      </c>
      <c r="B41" s="4">
        <v>6</v>
      </c>
      <c r="C41" s="4" t="s">
        <v>19</v>
      </c>
      <c r="D41" s="10">
        <v>46284</v>
      </c>
      <c r="E41" s="3">
        <v>0.58333333333333337</v>
      </c>
      <c r="F41" s="4" t="s">
        <v>39</v>
      </c>
      <c r="G41" s="4" t="s">
        <v>39</v>
      </c>
      <c r="H41" s="4" t="s">
        <v>15</v>
      </c>
    </row>
    <row r="42" spans="1:8" x14ac:dyDescent="0.3">
      <c r="A42" s="4">
        <f t="shared" si="1"/>
        <v>41</v>
      </c>
      <c r="B42" s="4">
        <v>7</v>
      </c>
      <c r="C42" s="4" t="s">
        <v>19</v>
      </c>
      <c r="D42" s="10">
        <v>46291</v>
      </c>
      <c r="E42" s="3">
        <v>0.66666666666666663</v>
      </c>
      <c r="F42" s="4" t="s">
        <v>23</v>
      </c>
      <c r="G42" s="4" t="s">
        <v>40</v>
      </c>
      <c r="H42" s="4" t="s">
        <v>11</v>
      </c>
    </row>
    <row r="43" spans="1:8" x14ac:dyDescent="0.3">
      <c r="A43" s="4">
        <f t="shared" si="1"/>
        <v>42</v>
      </c>
      <c r="B43" s="4">
        <v>8</v>
      </c>
      <c r="C43" s="4" t="s">
        <v>19</v>
      </c>
      <c r="D43" s="10">
        <v>46297</v>
      </c>
      <c r="E43" s="3">
        <v>0.72916666666666663</v>
      </c>
      <c r="F43" s="4" t="s">
        <v>41</v>
      </c>
      <c r="G43" s="4" t="s">
        <v>41</v>
      </c>
      <c r="H43" s="4" t="s">
        <v>15</v>
      </c>
    </row>
    <row r="44" spans="1:8" x14ac:dyDescent="0.3">
      <c r="A44" s="4">
        <f t="shared" si="1"/>
        <v>43</v>
      </c>
      <c r="B44" s="4">
        <v>9</v>
      </c>
      <c r="C44" s="4" t="s">
        <v>19</v>
      </c>
      <c r="D44" s="10">
        <v>46304</v>
      </c>
      <c r="E44" s="3">
        <v>0.72916666666666663</v>
      </c>
      <c r="F44" s="4" t="s">
        <v>23</v>
      </c>
      <c r="G44" s="4" t="s">
        <v>9</v>
      </c>
      <c r="H44" s="4" t="s">
        <v>11</v>
      </c>
    </row>
    <row r="45" spans="1:8" x14ac:dyDescent="0.3">
      <c r="A45" s="4">
        <f t="shared" si="1"/>
        <v>44</v>
      </c>
      <c r="B45" s="4">
        <v>10</v>
      </c>
      <c r="C45" s="4" t="s">
        <v>19</v>
      </c>
      <c r="D45" s="10">
        <v>46311</v>
      </c>
      <c r="E45" s="3">
        <v>0.72916666666666663</v>
      </c>
      <c r="F45" s="4" t="s">
        <v>42</v>
      </c>
      <c r="G45" s="4" t="s">
        <v>42</v>
      </c>
      <c r="H45" s="4" t="s">
        <v>15</v>
      </c>
    </row>
    <row r="46" spans="1:8" x14ac:dyDescent="0.3">
      <c r="A46" s="4">
        <f t="shared" si="1"/>
        <v>45</v>
      </c>
      <c r="B46" s="4">
        <v>11</v>
      </c>
      <c r="C46" s="4" t="s">
        <v>19</v>
      </c>
      <c r="D46" s="10">
        <v>46318</v>
      </c>
      <c r="E46" s="3">
        <v>0.72916666666666663</v>
      </c>
      <c r="F46" s="4" t="s">
        <v>23</v>
      </c>
      <c r="G46" s="4" t="s">
        <v>43</v>
      </c>
      <c r="H46" s="4" t="s">
        <v>11</v>
      </c>
    </row>
    <row r="47" spans="1:8" x14ac:dyDescent="0.3">
      <c r="A47" s="4">
        <f t="shared" si="1"/>
        <v>46</v>
      </c>
      <c r="B47" s="4">
        <v>12</v>
      </c>
      <c r="C47" s="4" t="s">
        <v>19</v>
      </c>
      <c r="D47" s="10">
        <v>46326</v>
      </c>
      <c r="E47" s="3">
        <v>0.66666666666666663</v>
      </c>
      <c r="F47" s="4" t="s">
        <v>44</v>
      </c>
      <c r="G47" s="4" t="s">
        <v>44</v>
      </c>
      <c r="H47" s="4" t="s">
        <v>15</v>
      </c>
    </row>
    <row r="48" spans="1:8" x14ac:dyDescent="0.3">
      <c r="A48" s="4">
        <f t="shared" si="1"/>
        <v>47</v>
      </c>
      <c r="B48" s="4">
        <v>13</v>
      </c>
      <c r="C48" s="4" t="s">
        <v>19</v>
      </c>
      <c r="D48" s="10">
        <v>46333</v>
      </c>
      <c r="E48" s="3">
        <v>0.60416666666666663</v>
      </c>
      <c r="F48" s="4" t="s">
        <v>23</v>
      </c>
      <c r="G48" s="4" t="s">
        <v>45</v>
      </c>
      <c r="H48" s="4" t="s">
        <v>11</v>
      </c>
    </row>
    <row r="49" spans="1:9" x14ac:dyDescent="0.3">
      <c r="A49" s="21">
        <f t="shared" si="1"/>
        <v>48</v>
      </c>
      <c r="B49" s="21">
        <v>1</v>
      </c>
      <c r="C49" s="21" t="s">
        <v>12</v>
      </c>
      <c r="D49" s="28">
        <v>46271</v>
      </c>
      <c r="E49" s="22"/>
      <c r="F49" s="21"/>
      <c r="G49" s="21" t="s">
        <v>178</v>
      </c>
      <c r="H49" s="21"/>
    </row>
    <row r="50" spans="1:9" x14ac:dyDescent="0.3">
      <c r="A50" s="21">
        <f t="shared" si="1"/>
        <v>49</v>
      </c>
      <c r="B50" s="21">
        <v>2</v>
      </c>
      <c r="C50" s="21" t="s">
        <v>12</v>
      </c>
      <c r="D50" s="28">
        <v>46277</v>
      </c>
      <c r="E50" s="22">
        <v>0.52083333333333337</v>
      </c>
      <c r="F50" s="21" t="s">
        <v>43</v>
      </c>
      <c r="G50" s="21" t="s">
        <v>173</v>
      </c>
      <c r="H50" s="21" t="s">
        <v>15</v>
      </c>
    </row>
    <row r="51" spans="1:9" x14ac:dyDescent="0.3">
      <c r="A51" s="21">
        <f t="shared" si="1"/>
        <v>50</v>
      </c>
      <c r="B51" s="21">
        <v>3</v>
      </c>
      <c r="C51" s="21" t="s">
        <v>12</v>
      </c>
      <c r="D51" s="28">
        <v>46284</v>
      </c>
      <c r="E51" s="22">
        <v>0.70833333333333337</v>
      </c>
      <c r="F51" s="21" t="s">
        <v>9</v>
      </c>
      <c r="G51" s="21" t="s">
        <v>179</v>
      </c>
      <c r="H51" s="21" t="s">
        <v>11</v>
      </c>
    </row>
    <row r="52" spans="1:9" x14ac:dyDescent="0.3">
      <c r="A52" s="21">
        <f t="shared" si="1"/>
        <v>51</v>
      </c>
      <c r="B52" s="21">
        <v>4</v>
      </c>
      <c r="C52" s="21" t="s">
        <v>12</v>
      </c>
      <c r="D52" s="28">
        <v>46292</v>
      </c>
      <c r="E52" s="22">
        <v>0.70833333333333337</v>
      </c>
      <c r="F52" s="21" t="s">
        <v>28</v>
      </c>
      <c r="G52" s="21" t="s">
        <v>28</v>
      </c>
      <c r="H52" s="21" t="s">
        <v>15</v>
      </c>
    </row>
    <row r="53" spans="1:9" x14ac:dyDescent="0.3">
      <c r="A53" s="21">
        <f t="shared" si="1"/>
        <v>52</v>
      </c>
      <c r="B53" s="21">
        <v>5</v>
      </c>
      <c r="C53" s="21" t="s">
        <v>12</v>
      </c>
      <c r="D53" s="28">
        <v>46298</v>
      </c>
      <c r="E53" s="22">
        <v>0.58333333333333337</v>
      </c>
      <c r="F53" s="21" t="s">
        <v>23</v>
      </c>
      <c r="G53" s="21" t="s">
        <v>190</v>
      </c>
      <c r="H53" s="21" t="s">
        <v>11</v>
      </c>
    </row>
    <row r="54" spans="1:9" x14ac:dyDescent="0.3">
      <c r="A54" s="21">
        <f t="shared" si="1"/>
        <v>53</v>
      </c>
      <c r="B54" s="21">
        <v>6</v>
      </c>
      <c r="C54" s="21" t="s">
        <v>12</v>
      </c>
      <c r="D54" s="28">
        <v>46305</v>
      </c>
      <c r="E54" s="22">
        <v>0.66666666666666663</v>
      </c>
      <c r="F54" s="21" t="s">
        <v>23</v>
      </c>
      <c r="G54" s="21" t="s">
        <v>166</v>
      </c>
      <c r="H54" s="21" t="s">
        <v>11</v>
      </c>
    </row>
    <row r="55" spans="1:9" x14ac:dyDescent="0.3">
      <c r="A55" s="21">
        <f t="shared" si="1"/>
        <v>54</v>
      </c>
      <c r="B55" s="21">
        <v>7</v>
      </c>
      <c r="C55" s="21" t="s">
        <v>12</v>
      </c>
      <c r="D55" s="28">
        <v>46311</v>
      </c>
      <c r="E55" s="22">
        <v>0.75</v>
      </c>
      <c r="F55" s="21" t="s">
        <v>187</v>
      </c>
      <c r="G55" s="21" t="s">
        <v>165</v>
      </c>
      <c r="H55" s="21" t="s">
        <v>15</v>
      </c>
    </row>
    <row r="56" spans="1:9" x14ac:dyDescent="0.3">
      <c r="A56" s="21">
        <f t="shared" si="1"/>
        <v>55</v>
      </c>
      <c r="B56" s="21">
        <v>8</v>
      </c>
      <c r="C56" s="21" t="s">
        <v>12</v>
      </c>
      <c r="D56" s="28">
        <v>46320</v>
      </c>
      <c r="E56" s="22"/>
      <c r="F56" s="21"/>
      <c r="G56" s="21" t="s">
        <v>178</v>
      </c>
      <c r="H56" s="21"/>
    </row>
    <row r="57" spans="1:9" x14ac:dyDescent="0.3">
      <c r="A57" s="21">
        <f t="shared" si="1"/>
        <v>56</v>
      </c>
      <c r="B57" s="21">
        <v>9</v>
      </c>
      <c r="C57" s="21" t="s">
        <v>12</v>
      </c>
      <c r="D57" s="28">
        <v>46326</v>
      </c>
      <c r="E57" s="22">
        <v>0.60416666666666663</v>
      </c>
      <c r="F57" s="21" t="s">
        <v>23</v>
      </c>
      <c r="G57" s="21" t="s">
        <v>191</v>
      </c>
      <c r="H57" s="21" t="s">
        <v>11</v>
      </c>
    </row>
    <row r="58" spans="1:9" x14ac:dyDescent="0.3">
      <c r="A58" s="21">
        <f t="shared" si="1"/>
        <v>57</v>
      </c>
      <c r="B58" s="21">
        <v>10</v>
      </c>
      <c r="C58" s="21" t="s">
        <v>12</v>
      </c>
      <c r="D58" s="28">
        <v>46333</v>
      </c>
      <c r="E58" s="22">
        <v>0.54166666666666663</v>
      </c>
      <c r="F58" s="21" t="s">
        <v>175</v>
      </c>
      <c r="G58" s="21" t="s">
        <v>179</v>
      </c>
      <c r="H58" s="21" t="s">
        <v>15</v>
      </c>
    </row>
    <row r="59" spans="1:9" x14ac:dyDescent="0.3">
      <c r="A59" s="21">
        <f t="shared" si="1"/>
        <v>58</v>
      </c>
      <c r="B59" s="21">
        <v>11</v>
      </c>
      <c r="C59" s="21" t="s">
        <v>12</v>
      </c>
      <c r="D59" s="28">
        <v>46340</v>
      </c>
      <c r="E59" s="22">
        <v>0.625</v>
      </c>
      <c r="F59" s="21" t="s">
        <v>23</v>
      </c>
      <c r="G59" s="21" t="s">
        <v>28</v>
      </c>
      <c r="H59" s="21" t="s">
        <v>11</v>
      </c>
    </row>
    <row r="60" spans="1:9" s="11" customFormat="1" ht="14.25" customHeight="1" x14ac:dyDescent="0.3">
      <c r="A60" s="18">
        <f t="shared" si="1"/>
        <v>59</v>
      </c>
      <c r="B60" s="13">
        <v>1</v>
      </c>
      <c r="C60" s="13" t="s">
        <v>27</v>
      </c>
      <c r="D60" s="14">
        <v>46270</v>
      </c>
      <c r="E60" s="15">
        <v>0.4375</v>
      </c>
      <c r="F60" s="13" t="s">
        <v>28</v>
      </c>
      <c r="G60" s="13" t="s">
        <v>165</v>
      </c>
      <c r="H60" s="13" t="s">
        <v>11</v>
      </c>
      <c r="I60" s="17"/>
    </row>
    <row r="61" spans="1:9" x14ac:dyDescent="0.3">
      <c r="A61" s="18">
        <f t="shared" si="1"/>
        <v>60</v>
      </c>
      <c r="B61" s="13">
        <v>2</v>
      </c>
      <c r="C61" s="13" t="s">
        <v>27</v>
      </c>
      <c r="D61" s="14">
        <v>46288</v>
      </c>
      <c r="E61" s="15">
        <v>0.79166666666666663</v>
      </c>
      <c r="F61" s="13" t="s">
        <v>14</v>
      </c>
      <c r="G61" s="13" t="s">
        <v>14</v>
      </c>
      <c r="H61" s="13" t="s">
        <v>15</v>
      </c>
      <c r="I61" s="16"/>
    </row>
    <row r="62" spans="1:9" x14ac:dyDescent="0.3">
      <c r="A62" s="18">
        <f t="shared" si="1"/>
        <v>61</v>
      </c>
      <c r="B62" s="13">
        <v>3</v>
      </c>
      <c r="C62" s="13" t="s">
        <v>27</v>
      </c>
      <c r="D62" s="14">
        <v>46284</v>
      </c>
      <c r="E62" s="15">
        <v>0.66666666666666663</v>
      </c>
      <c r="F62" s="13" t="s">
        <v>28</v>
      </c>
      <c r="G62" s="13" t="s">
        <v>166</v>
      </c>
      <c r="H62" s="13" t="s">
        <v>11</v>
      </c>
      <c r="I62" s="16"/>
    </row>
    <row r="63" spans="1:9" x14ac:dyDescent="0.3">
      <c r="A63" s="18">
        <f t="shared" si="1"/>
        <v>62</v>
      </c>
      <c r="B63" s="13">
        <v>4</v>
      </c>
      <c r="C63" s="13" t="s">
        <v>27</v>
      </c>
      <c r="D63" s="14">
        <v>46292</v>
      </c>
      <c r="E63" s="15">
        <v>0.4375</v>
      </c>
      <c r="F63" s="13" t="s">
        <v>28</v>
      </c>
      <c r="G63" s="13" t="s">
        <v>169</v>
      </c>
      <c r="H63" s="13" t="s">
        <v>11</v>
      </c>
      <c r="I63" s="16"/>
    </row>
    <row r="64" spans="1:9" x14ac:dyDescent="0.3">
      <c r="A64" s="18">
        <f t="shared" si="1"/>
        <v>63</v>
      </c>
      <c r="B64" s="13">
        <v>5</v>
      </c>
      <c r="C64" s="13" t="s">
        <v>27</v>
      </c>
      <c r="D64" s="14">
        <v>46298</v>
      </c>
      <c r="E64" s="15">
        <v>0.70833333333333337</v>
      </c>
      <c r="F64" s="13" t="s">
        <v>167</v>
      </c>
      <c r="G64" s="13" t="s">
        <v>168</v>
      </c>
      <c r="H64" s="13" t="s">
        <v>15</v>
      </c>
      <c r="I64" s="16"/>
    </row>
    <row r="65" spans="1:9" x14ac:dyDescent="0.3">
      <c r="A65" s="18">
        <f t="shared" si="1"/>
        <v>64</v>
      </c>
      <c r="B65" s="13">
        <v>6</v>
      </c>
      <c r="C65" s="13" t="s">
        <v>27</v>
      </c>
      <c r="D65" s="14">
        <v>46306</v>
      </c>
      <c r="E65" s="15">
        <v>0.45833333333333331</v>
      </c>
      <c r="F65" s="13" t="s">
        <v>23</v>
      </c>
      <c r="G65" s="13" t="s">
        <v>170</v>
      </c>
      <c r="H65" s="13" t="s">
        <v>11</v>
      </c>
      <c r="I65" s="16"/>
    </row>
    <row r="66" spans="1:9" x14ac:dyDescent="0.3">
      <c r="A66" s="18">
        <f t="shared" si="1"/>
        <v>65</v>
      </c>
      <c r="B66" s="13">
        <v>7</v>
      </c>
      <c r="C66" s="13" t="s">
        <v>27</v>
      </c>
      <c r="D66" s="14">
        <v>46313</v>
      </c>
      <c r="E66" s="15">
        <v>0.45833333333333331</v>
      </c>
      <c r="F66" s="13" t="s">
        <v>171</v>
      </c>
      <c r="G66" s="13" t="s">
        <v>171</v>
      </c>
      <c r="H66" s="13" t="s">
        <v>15</v>
      </c>
      <c r="I66" s="16"/>
    </row>
    <row r="67" spans="1:9" x14ac:dyDescent="0.3">
      <c r="A67" s="18">
        <f t="shared" si="1"/>
        <v>66</v>
      </c>
      <c r="B67" s="13">
        <v>8</v>
      </c>
      <c r="C67" s="13" t="s">
        <v>27</v>
      </c>
      <c r="D67" s="14">
        <v>46320</v>
      </c>
      <c r="E67" s="15">
        <v>0.58333333333333337</v>
      </c>
      <c r="F67" s="13" t="s">
        <v>23</v>
      </c>
      <c r="G67" s="13" t="s">
        <v>172</v>
      </c>
      <c r="H67" s="13" t="s">
        <v>11</v>
      </c>
      <c r="I67" s="16"/>
    </row>
    <row r="68" spans="1:9" x14ac:dyDescent="0.3">
      <c r="A68" s="18">
        <f t="shared" si="1"/>
        <v>67</v>
      </c>
      <c r="B68" s="13">
        <v>9</v>
      </c>
      <c r="C68" s="13" t="s">
        <v>27</v>
      </c>
      <c r="D68" s="14">
        <v>46326</v>
      </c>
      <c r="E68" s="15">
        <v>0.58333333333333337</v>
      </c>
      <c r="F68" s="13" t="s">
        <v>43</v>
      </c>
      <c r="G68" s="13" t="s">
        <v>173</v>
      </c>
      <c r="H68" s="13" t="s">
        <v>15</v>
      </c>
      <c r="I68" s="16"/>
    </row>
    <row r="69" spans="1:9" x14ac:dyDescent="0.3">
      <c r="A69" s="6">
        <f t="shared" si="1"/>
        <v>68</v>
      </c>
      <c r="B69" s="6">
        <v>1</v>
      </c>
      <c r="C69" s="6" t="s">
        <v>46</v>
      </c>
      <c r="D69" s="23">
        <v>46270</v>
      </c>
      <c r="E69" s="7">
        <v>0.58333333333333337</v>
      </c>
      <c r="F69" s="6" t="s">
        <v>59</v>
      </c>
      <c r="G69" s="6" t="s">
        <v>181</v>
      </c>
      <c r="H69" s="6" t="s">
        <v>11</v>
      </c>
    </row>
    <row r="70" spans="1:9" x14ac:dyDescent="0.3">
      <c r="A70" s="6">
        <f t="shared" si="1"/>
        <v>69</v>
      </c>
      <c r="B70" s="6">
        <v>2</v>
      </c>
      <c r="C70" s="6" t="s">
        <v>46</v>
      </c>
      <c r="D70" s="23">
        <v>46277</v>
      </c>
      <c r="E70" s="7">
        <v>0.47916666666666669</v>
      </c>
      <c r="F70" s="6" t="s">
        <v>182</v>
      </c>
      <c r="G70" s="6" t="s">
        <v>183</v>
      </c>
      <c r="H70" s="6" t="s">
        <v>15</v>
      </c>
    </row>
    <row r="71" spans="1:9" x14ac:dyDescent="0.3">
      <c r="A71" s="6">
        <f t="shared" si="1"/>
        <v>70</v>
      </c>
      <c r="B71" s="6">
        <v>3</v>
      </c>
      <c r="C71" s="6" t="s">
        <v>46</v>
      </c>
      <c r="D71" s="23">
        <v>46287</v>
      </c>
      <c r="E71" s="7">
        <v>0.72916666666666663</v>
      </c>
      <c r="F71" s="6" t="s">
        <v>23</v>
      </c>
      <c r="G71" s="6" t="s">
        <v>174</v>
      </c>
      <c r="H71" s="6" t="s">
        <v>11</v>
      </c>
    </row>
    <row r="72" spans="1:9" x14ac:dyDescent="0.3">
      <c r="A72" s="6">
        <f t="shared" ref="A72:A102" si="2">A71+1</f>
        <v>71</v>
      </c>
      <c r="B72" s="6">
        <v>4</v>
      </c>
      <c r="C72" s="6" t="s">
        <v>46</v>
      </c>
      <c r="D72" s="23">
        <v>46291</v>
      </c>
      <c r="E72" s="7">
        <v>0.5</v>
      </c>
      <c r="F72" s="6" t="s">
        <v>179</v>
      </c>
      <c r="G72" s="6" t="s">
        <v>184</v>
      </c>
      <c r="H72" s="6" t="s">
        <v>15</v>
      </c>
    </row>
    <row r="73" spans="1:9" x14ac:dyDescent="0.3">
      <c r="A73" s="6">
        <f t="shared" si="2"/>
        <v>72</v>
      </c>
      <c r="B73" s="6">
        <v>5</v>
      </c>
      <c r="C73" s="6" t="s">
        <v>46</v>
      </c>
      <c r="D73" s="23">
        <v>46307</v>
      </c>
      <c r="E73" s="7">
        <v>0.72916666666666663</v>
      </c>
      <c r="F73" s="6" t="s">
        <v>59</v>
      </c>
      <c r="G73" s="6" t="s">
        <v>185</v>
      </c>
      <c r="H73" s="6" t="s">
        <v>11</v>
      </c>
    </row>
    <row r="74" spans="1:9" x14ac:dyDescent="0.3">
      <c r="A74" s="6">
        <f t="shared" si="2"/>
        <v>73</v>
      </c>
      <c r="B74" s="6">
        <v>6</v>
      </c>
      <c r="C74" s="6" t="s">
        <v>46</v>
      </c>
      <c r="D74" s="23">
        <v>46304</v>
      </c>
      <c r="E74" s="7">
        <v>0.66666666666666663</v>
      </c>
      <c r="F74" s="6" t="s">
        <v>181</v>
      </c>
      <c r="G74" s="6" t="s">
        <v>181</v>
      </c>
      <c r="H74" s="6" t="s">
        <v>15</v>
      </c>
    </row>
    <row r="75" spans="1:9" x14ac:dyDescent="0.3">
      <c r="A75" s="6">
        <f t="shared" si="2"/>
        <v>74</v>
      </c>
      <c r="B75" s="6">
        <v>7</v>
      </c>
      <c r="C75" s="6" t="s">
        <v>46</v>
      </c>
      <c r="D75" s="23">
        <v>46312</v>
      </c>
      <c r="E75" s="7">
        <v>0.625</v>
      </c>
      <c r="F75" s="6" t="s">
        <v>23</v>
      </c>
      <c r="G75" s="6" t="s">
        <v>183</v>
      </c>
      <c r="H75" s="6" t="s">
        <v>11</v>
      </c>
    </row>
    <row r="76" spans="1:9" x14ac:dyDescent="0.3">
      <c r="A76" s="6">
        <f t="shared" si="2"/>
        <v>75</v>
      </c>
      <c r="B76" s="6">
        <v>8</v>
      </c>
      <c r="C76" s="6" t="s">
        <v>46</v>
      </c>
      <c r="D76" s="23">
        <v>46319</v>
      </c>
      <c r="E76" s="7">
        <v>0.625</v>
      </c>
      <c r="F76" s="6" t="s">
        <v>174</v>
      </c>
      <c r="G76" s="6" t="s">
        <v>174</v>
      </c>
      <c r="H76" s="6" t="s">
        <v>15</v>
      </c>
    </row>
    <row r="77" spans="1:9" x14ac:dyDescent="0.3">
      <c r="A77" s="6">
        <f t="shared" si="2"/>
        <v>76</v>
      </c>
      <c r="B77" s="6">
        <v>9</v>
      </c>
      <c r="C77" s="6" t="s">
        <v>46</v>
      </c>
      <c r="D77" s="23">
        <v>46316</v>
      </c>
      <c r="E77" s="7">
        <v>0.75</v>
      </c>
      <c r="F77" s="6" t="s">
        <v>59</v>
      </c>
      <c r="G77" s="6" t="s">
        <v>184</v>
      </c>
      <c r="H77" s="6" t="s">
        <v>11</v>
      </c>
    </row>
    <row r="78" spans="1:9" x14ac:dyDescent="0.3">
      <c r="A78" s="6">
        <f t="shared" si="2"/>
        <v>77</v>
      </c>
      <c r="B78" s="6">
        <v>10</v>
      </c>
      <c r="C78" s="6" t="s">
        <v>46</v>
      </c>
      <c r="D78" s="23">
        <v>46333</v>
      </c>
      <c r="E78" s="7">
        <v>0.5625</v>
      </c>
      <c r="F78" s="6" t="s">
        <v>42</v>
      </c>
      <c r="G78" s="6" t="s">
        <v>185</v>
      </c>
      <c r="H78" s="6" t="s">
        <v>15</v>
      </c>
    </row>
    <row r="79" spans="1:9" x14ac:dyDescent="0.3">
      <c r="A79" s="88">
        <f t="shared" si="2"/>
        <v>78</v>
      </c>
      <c r="B79" s="88">
        <v>1</v>
      </c>
      <c r="C79" s="88" t="s">
        <v>47</v>
      </c>
      <c r="D79" s="89">
        <v>46270</v>
      </c>
      <c r="E79" s="90">
        <v>0.5</v>
      </c>
      <c r="F79" s="88" t="s">
        <v>59</v>
      </c>
      <c r="G79" s="88" t="s">
        <v>186</v>
      </c>
      <c r="H79" s="88" t="s">
        <v>11</v>
      </c>
    </row>
    <row r="80" spans="1:9" x14ac:dyDescent="0.3">
      <c r="A80" s="88">
        <f t="shared" si="2"/>
        <v>79</v>
      </c>
      <c r="B80" s="88">
        <v>2</v>
      </c>
      <c r="C80" s="88" t="s">
        <v>47</v>
      </c>
      <c r="D80" s="89">
        <v>46278</v>
      </c>
      <c r="E80" s="90">
        <v>0.58333333333333337</v>
      </c>
      <c r="F80" s="88" t="s">
        <v>187</v>
      </c>
      <c r="G80" s="88" t="s">
        <v>165</v>
      </c>
      <c r="H80" s="88" t="s">
        <v>15</v>
      </c>
    </row>
    <row r="81" spans="1:8" x14ac:dyDescent="0.3">
      <c r="A81" s="88">
        <f t="shared" si="2"/>
        <v>80</v>
      </c>
      <c r="B81" s="88">
        <v>3</v>
      </c>
      <c r="C81" s="88" t="s">
        <v>47</v>
      </c>
      <c r="D81" s="89">
        <v>46284</v>
      </c>
      <c r="E81" s="90">
        <v>0.45833333333333331</v>
      </c>
      <c r="F81" s="88" t="s">
        <v>28</v>
      </c>
      <c r="G81" s="88" t="s">
        <v>28</v>
      </c>
      <c r="H81" s="88" t="s">
        <v>15</v>
      </c>
    </row>
    <row r="82" spans="1:8" x14ac:dyDescent="0.3">
      <c r="A82" s="88">
        <f t="shared" si="2"/>
        <v>81</v>
      </c>
      <c r="B82" s="88">
        <v>4</v>
      </c>
      <c r="C82" s="88" t="s">
        <v>47</v>
      </c>
      <c r="D82" s="89">
        <v>46292</v>
      </c>
      <c r="E82" s="90">
        <v>0.625</v>
      </c>
      <c r="F82" s="88" t="s">
        <v>23</v>
      </c>
      <c r="G82" s="88" t="s">
        <v>188</v>
      </c>
      <c r="H82" s="88" t="s">
        <v>11</v>
      </c>
    </row>
    <row r="83" spans="1:8" x14ac:dyDescent="0.3">
      <c r="A83" s="88">
        <f t="shared" si="2"/>
        <v>82</v>
      </c>
      <c r="B83" s="88">
        <v>5</v>
      </c>
      <c r="C83" s="88" t="s">
        <v>47</v>
      </c>
      <c r="D83" s="89">
        <v>46297</v>
      </c>
      <c r="E83" s="90">
        <v>0.66666666666666663</v>
      </c>
      <c r="F83" s="88" t="s">
        <v>163</v>
      </c>
      <c r="G83" s="88" t="s">
        <v>163</v>
      </c>
      <c r="H83" s="88" t="s">
        <v>15</v>
      </c>
    </row>
    <row r="84" spans="1:8" x14ac:dyDescent="0.3">
      <c r="A84" s="88">
        <f t="shared" si="2"/>
        <v>83</v>
      </c>
      <c r="B84" s="88">
        <v>6</v>
      </c>
      <c r="C84" s="88" t="s">
        <v>47</v>
      </c>
      <c r="D84" s="89">
        <v>46305</v>
      </c>
      <c r="E84" s="90">
        <v>0.47916666666666669</v>
      </c>
      <c r="F84" s="88" t="s">
        <v>186</v>
      </c>
      <c r="G84" s="88" t="s">
        <v>186</v>
      </c>
      <c r="H84" s="88" t="s">
        <v>15</v>
      </c>
    </row>
    <row r="85" spans="1:8" x14ac:dyDescent="0.3">
      <c r="A85" s="88">
        <f t="shared" si="2"/>
        <v>84</v>
      </c>
      <c r="B85" s="88">
        <v>7</v>
      </c>
      <c r="C85" s="88" t="s">
        <v>47</v>
      </c>
      <c r="D85" s="89">
        <v>46311</v>
      </c>
      <c r="E85" s="90">
        <v>0.75</v>
      </c>
      <c r="F85" s="88" t="s">
        <v>59</v>
      </c>
      <c r="G85" s="88" t="s">
        <v>165</v>
      </c>
      <c r="H85" s="88" t="s">
        <v>11</v>
      </c>
    </row>
    <row r="86" spans="1:8" x14ac:dyDescent="0.3">
      <c r="A86" s="88">
        <f t="shared" si="2"/>
        <v>85</v>
      </c>
      <c r="B86" s="88">
        <v>8</v>
      </c>
      <c r="C86" s="88" t="s">
        <v>47</v>
      </c>
      <c r="D86" s="89">
        <v>46318</v>
      </c>
      <c r="E86" s="90">
        <v>0.70833333333333337</v>
      </c>
      <c r="F86" s="88" t="s">
        <v>59</v>
      </c>
      <c r="G86" s="88" t="s">
        <v>28</v>
      </c>
      <c r="H86" s="88" t="s">
        <v>11</v>
      </c>
    </row>
    <row r="87" spans="1:8" x14ac:dyDescent="0.3">
      <c r="A87" s="88">
        <f t="shared" si="2"/>
        <v>86</v>
      </c>
      <c r="B87" s="88">
        <v>9</v>
      </c>
      <c r="C87" s="88" t="s">
        <v>47</v>
      </c>
      <c r="D87" s="89">
        <v>46327</v>
      </c>
      <c r="E87" s="90">
        <v>0.47916666666666669</v>
      </c>
      <c r="F87" s="88" t="s">
        <v>189</v>
      </c>
      <c r="G87" s="88" t="s">
        <v>188</v>
      </c>
      <c r="H87" s="88" t="s">
        <v>15</v>
      </c>
    </row>
    <row r="88" spans="1:8" x14ac:dyDescent="0.3">
      <c r="A88" s="88">
        <f t="shared" si="2"/>
        <v>87</v>
      </c>
      <c r="B88" s="88">
        <v>10</v>
      </c>
      <c r="C88" s="88" t="s">
        <v>47</v>
      </c>
      <c r="D88" s="89">
        <v>46332</v>
      </c>
      <c r="E88" s="90">
        <v>0.70833333333333337</v>
      </c>
      <c r="F88" s="88" t="s">
        <v>59</v>
      </c>
      <c r="G88" s="88" t="s">
        <v>163</v>
      </c>
      <c r="H88" s="88" t="s">
        <v>11</v>
      </c>
    </row>
    <row r="89" spans="1:8" x14ac:dyDescent="0.3">
      <c r="A89" s="19">
        <f t="shared" si="2"/>
        <v>88</v>
      </c>
      <c r="B89" s="19">
        <v>1</v>
      </c>
      <c r="C89" s="19" t="s">
        <v>48</v>
      </c>
      <c r="D89" s="24">
        <v>46270</v>
      </c>
      <c r="E89" s="20">
        <v>0.41666666666666669</v>
      </c>
      <c r="F89" s="19" t="s">
        <v>59</v>
      </c>
      <c r="G89" s="19" t="s">
        <v>174</v>
      </c>
      <c r="H89" s="19" t="s">
        <v>11</v>
      </c>
    </row>
    <row r="90" spans="1:8" x14ac:dyDescent="0.3">
      <c r="A90" s="19">
        <f t="shared" si="2"/>
        <v>89</v>
      </c>
      <c r="B90" s="19">
        <v>2</v>
      </c>
      <c r="C90" s="19" t="s">
        <v>48</v>
      </c>
      <c r="D90" s="24">
        <v>46276</v>
      </c>
      <c r="E90" s="20">
        <v>0.77083333333333337</v>
      </c>
      <c r="F90" s="19" t="s">
        <v>42</v>
      </c>
      <c r="G90" s="19" t="s">
        <v>42</v>
      </c>
      <c r="H90" s="19" t="s">
        <v>15</v>
      </c>
    </row>
    <row r="91" spans="1:8" x14ac:dyDescent="0.3">
      <c r="A91" s="19">
        <f t="shared" si="2"/>
        <v>90</v>
      </c>
      <c r="B91" s="19">
        <v>3</v>
      </c>
      <c r="C91" s="19" t="s">
        <v>48</v>
      </c>
      <c r="D91" s="24">
        <v>46284</v>
      </c>
      <c r="E91" s="20">
        <v>0.41666666666666669</v>
      </c>
      <c r="F91" s="19" t="s">
        <v>180</v>
      </c>
      <c r="G91" s="19" t="s">
        <v>180</v>
      </c>
      <c r="H91" s="19" t="s">
        <v>15</v>
      </c>
    </row>
    <row r="92" spans="1:8" x14ac:dyDescent="0.3">
      <c r="A92" s="19">
        <f t="shared" si="2"/>
        <v>91</v>
      </c>
      <c r="B92" s="19">
        <v>4</v>
      </c>
      <c r="C92" s="19" t="s">
        <v>48</v>
      </c>
      <c r="D92" s="24">
        <v>46292</v>
      </c>
      <c r="E92" s="20">
        <v>0.54166666666666663</v>
      </c>
      <c r="F92" s="19" t="s">
        <v>23</v>
      </c>
      <c r="G92" s="19" t="s">
        <v>180</v>
      </c>
      <c r="H92" s="19" t="s">
        <v>11</v>
      </c>
    </row>
    <row r="93" spans="1:8" x14ac:dyDescent="0.3">
      <c r="A93" s="19">
        <f t="shared" si="2"/>
        <v>92</v>
      </c>
      <c r="B93" s="19">
        <v>5</v>
      </c>
      <c r="C93" s="19" t="s">
        <v>48</v>
      </c>
      <c r="D93" s="24">
        <v>46298</v>
      </c>
      <c r="E93" s="20">
        <v>0.41666666666666669</v>
      </c>
      <c r="F93" s="19" t="s">
        <v>59</v>
      </c>
      <c r="G93" s="19" t="s">
        <v>42</v>
      </c>
      <c r="H93" s="19" t="s">
        <v>11</v>
      </c>
    </row>
    <row r="94" spans="1:8" x14ac:dyDescent="0.3">
      <c r="A94" s="19">
        <f t="shared" si="2"/>
        <v>93</v>
      </c>
      <c r="B94" s="19">
        <v>6</v>
      </c>
      <c r="C94" s="19" t="s">
        <v>48</v>
      </c>
      <c r="D94" s="24">
        <v>46305</v>
      </c>
      <c r="E94" s="20">
        <v>0.5625</v>
      </c>
      <c r="F94" s="19" t="s">
        <v>174</v>
      </c>
      <c r="G94" s="19" t="s">
        <v>174</v>
      </c>
      <c r="H94" s="19" t="s">
        <v>15</v>
      </c>
    </row>
    <row r="95" spans="1:8" x14ac:dyDescent="0.3">
      <c r="A95" s="19">
        <f t="shared" si="2"/>
        <v>94</v>
      </c>
      <c r="B95" s="19">
        <v>7</v>
      </c>
      <c r="C95" s="19" t="s">
        <v>48</v>
      </c>
      <c r="D95" s="24">
        <v>46312</v>
      </c>
      <c r="E95" s="20">
        <v>0.54166666666666663</v>
      </c>
      <c r="F95" s="19" t="s">
        <v>23</v>
      </c>
      <c r="G95" s="19" t="s">
        <v>174</v>
      </c>
      <c r="H95" s="19" t="s">
        <v>11</v>
      </c>
    </row>
    <row r="96" spans="1:8" x14ac:dyDescent="0.3">
      <c r="A96" s="19">
        <f t="shared" si="2"/>
        <v>95</v>
      </c>
      <c r="B96" s="19">
        <v>8</v>
      </c>
      <c r="C96" s="19" t="s">
        <v>48</v>
      </c>
      <c r="D96" s="24">
        <v>46320</v>
      </c>
      <c r="E96" s="20">
        <v>0.5</v>
      </c>
      <c r="F96" s="19" t="s">
        <v>42</v>
      </c>
      <c r="G96" s="19" t="s">
        <v>42</v>
      </c>
      <c r="H96" s="19" t="s">
        <v>15</v>
      </c>
    </row>
    <row r="97" spans="1:8" x14ac:dyDescent="0.3">
      <c r="A97" s="19">
        <f t="shared" si="2"/>
        <v>96</v>
      </c>
      <c r="B97" s="19">
        <v>9</v>
      </c>
      <c r="C97" s="19" t="s">
        <v>48</v>
      </c>
      <c r="D97" s="24">
        <v>46326</v>
      </c>
      <c r="E97" s="20">
        <v>0.4375</v>
      </c>
      <c r="F97" s="19" t="s">
        <v>180</v>
      </c>
      <c r="G97" s="19" t="s">
        <v>180</v>
      </c>
      <c r="H97" s="19" t="s">
        <v>15</v>
      </c>
    </row>
    <row r="98" spans="1:8" x14ac:dyDescent="0.3">
      <c r="A98" s="85">
        <f t="shared" si="2"/>
        <v>97</v>
      </c>
      <c r="B98" s="85">
        <v>1</v>
      </c>
      <c r="C98" s="85" t="s">
        <v>49</v>
      </c>
      <c r="D98" s="86">
        <v>46312</v>
      </c>
      <c r="E98" s="87">
        <v>0.39583333333333331</v>
      </c>
      <c r="F98" s="87" t="s">
        <v>23</v>
      </c>
      <c r="G98" s="85" t="s">
        <v>50</v>
      </c>
      <c r="H98" s="85" t="s">
        <v>11</v>
      </c>
    </row>
    <row r="99" spans="1:8" x14ac:dyDescent="0.3">
      <c r="A99" s="85">
        <f t="shared" si="2"/>
        <v>98</v>
      </c>
      <c r="B99" s="85">
        <v>2</v>
      </c>
      <c r="C99" s="85" t="s">
        <v>49</v>
      </c>
      <c r="D99" s="86">
        <v>46277</v>
      </c>
      <c r="E99" s="87">
        <v>0.47916666666666669</v>
      </c>
      <c r="F99" s="85" t="s">
        <v>41</v>
      </c>
      <c r="G99" s="85" t="s">
        <v>161</v>
      </c>
      <c r="H99" s="85" t="s">
        <v>15</v>
      </c>
    </row>
    <row r="100" spans="1:8" x14ac:dyDescent="0.3">
      <c r="A100" s="85">
        <f t="shared" si="2"/>
        <v>99</v>
      </c>
      <c r="B100" s="85">
        <v>3</v>
      </c>
      <c r="C100" s="85" t="s">
        <v>49</v>
      </c>
      <c r="D100" s="86">
        <v>46305</v>
      </c>
      <c r="E100" s="87">
        <v>0.375</v>
      </c>
      <c r="F100" s="85" t="s">
        <v>175</v>
      </c>
      <c r="G100" s="85" t="s">
        <v>161</v>
      </c>
      <c r="H100" s="85" t="s">
        <v>15</v>
      </c>
    </row>
    <row r="101" spans="1:8" x14ac:dyDescent="0.3">
      <c r="A101" s="85">
        <f t="shared" si="2"/>
        <v>100</v>
      </c>
      <c r="B101" s="85">
        <v>4</v>
      </c>
      <c r="C101" s="85" t="s">
        <v>49</v>
      </c>
      <c r="D101" s="86">
        <v>46270</v>
      </c>
      <c r="E101" s="87">
        <v>0.54166666666666663</v>
      </c>
      <c r="F101" s="85" t="s">
        <v>176</v>
      </c>
      <c r="G101" s="85" t="s">
        <v>161</v>
      </c>
      <c r="H101" s="85" t="s">
        <v>15</v>
      </c>
    </row>
    <row r="102" spans="1:8" x14ac:dyDescent="0.3">
      <c r="A102" s="85">
        <f t="shared" si="2"/>
        <v>101</v>
      </c>
      <c r="B102" s="85">
        <v>5</v>
      </c>
      <c r="C102" s="85" t="s">
        <v>49</v>
      </c>
      <c r="D102" s="86">
        <v>46291</v>
      </c>
      <c r="E102" s="87">
        <v>0.58333333333333337</v>
      </c>
      <c r="F102" s="85" t="s">
        <v>177</v>
      </c>
      <c r="G102" s="85" t="s">
        <v>161</v>
      </c>
      <c r="H102" s="85" t="s">
        <v>15</v>
      </c>
    </row>
    <row r="103" spans="1:8" x14ac:dyDescent="0.3">
      <c r="A103" s="8">
        <f t="shared" ref="A103:A134" si="3">A102+1</f>
        <v>102</v>
      </c>
      <c r="B103" s="8">
        <v>1</v>
      </c>
      <c r="C103" s="8" t="s">
        <v>51</v>
      </c>
      <c r="D103" s="29">
        <v>46289</v>
      </c>
      <c r="E103" s="12">
        <v>0.70833333333333337</v>
      </c>
      <c r="F103" s="8" t="s">
        <v>28</v>
      </c>
      <c r="G103" s="8" t="s">
        <v>28</v>
      </c>
      <c r="H103" s="8" t="s">
        <v>15</v>
      </c>
    </row>
    <row r="104" spans="1:8" x14ac:dyDescent="0.3">
      <c r="A104" s="8">
        <f t="shared" si="3"/>
        <v>103</v>
      </c>
      <c r="B104" s="8">
        <v>2</v>
      </c>
      <c r="C104" s="8" t="s">
        <v>51</v>
      </c>
      <c r="D104" s="29">
        <v>46278</v>
      </c>
      <c r="E104" s="12">
        <v>0.45833333333333331</v>
      </c>
      <c r="F104" s="8" t="s">
        <v>23</v>
      </c>
      <c r="G104" s="8" t="s">
        <v>59</v>
      </c>
      <c r="H104" s="8" t="s">
        <v>11</v>
      </c>
    </row>
    <row r="105" spans="1:8" x14ac:dyDescent="0.3">
      <c r="A105" s="8">
        <f t="shared" si="3"/>
        <v>104</v>
      </c>
      <c r="B105" s="8">
        <v>3</v>
      </c>
      <c r="C105" s="8" t="s">
        <v>51</v>
      </c>
      <c r="D105" s="29">
        <v>46283</v>
      </c>
      <c r="E105" s="12"/>
      <c r="F105" s="8"/>
      <c r="G105" s="8" t="s">
        <v>178</v>
      </c>
      <c r="H105" s="8"/>
    </row>
    <row r="106" spans="1:8" x14ac:dyDescent="0.3">
      <c r="A106" s="8">
        <f t="shared" si="3"/>
        <v>105</v>
      </c>
      <c r="B106" s="8">
        <v>4</v>
      </c>
      <c r="C106" s="8" t="s">
        <v>51</v>
      </c>
      <c r="D106" s="29">
        <v>46291</v>
      </c>
      <c r="E106" s="12">
        <v>0.41666666666666669</v>
      </c>
      <c r="F106" s="8" t="s">
        <v>179</v>
      </c>
      <c r="G106" s="8" t="s">
        <v>179</v>
      </c>
      <c r="H106" s="8" t="s">
        <v>15</v>
      </c>
    </row>
    <row r="107" spans="1:8" x14ac:dyDescent="0.3">
      <c r="A107" s="8">
        <f t="shared" si="3"/>
        <v>106</v>
      </c>
      <c r="B107" s="8">
        <v>5</v>
      </c>
      <c r="C107" s="8" t="s">
        <v>51</v>
      </c>
      <c r="D107" s="29">
        <v>46298</v>
      </c>
      <c r="E107" s="12">
        <v>0.39583333333333331</v>
      </c>
      <c r="F107" s="8" t="s">
        <v>23</v>
      </c>
      <c r="G107" s="8" t="s">
        <v>42</v>
      </c>
      <c r="H107" s="8" t="s">
        <v>11</v>
      </c>
    </row>
    <row r="108" spans="1:8" x14ac:dyDescent="0.3">
      <c r="A108" s="8">
        <f t="shared" si="3"/>
        <v>107</v>
      </c>
      <c r="B108" s="8">
        <v>6</v>
      </c>
      <c r="C108" s="8" t="s">
        <v>51</v>
      </c>
      <c r="D108" s="29">
        <v>46305</v>
      </c>
      <c r="E108" s="12">
        <v>0.58333333333333337</v>
      </c>
      <c r="F108" s="8" t="s">
        <v>23</v>
      </c>
      <c r="G108" s="8" t="s">
        <v>28</v>
      </c>
      <c r="H108" s="8" t="s">
        <v>11</v>
      </c>
    </row>
    <row r="109" spans="1:8" x14ac:dyDescent="0.3">
      <c r="A109" s="8">
        <f t="shared" si="3"/>
        <v>108</v>
      </c>
      <c r="B109" s="8">
        <v>7</v>
      </c>
      <c r="C109" s="8" t="s">
        <v>51</v>
      </c>
      <c r="D109" s="29">
        <v>46312</v>
      </c>
      <c r="E109" s="12">
        <v>0.39583333333333331</v>
      </c>
      <c r="F109" s="8" t="s">
        <v>59</v>
      </c>
      <c r="G109" s="8" t="s">
        <v>59</v>
      </c>
      <c r="H109" s="8" t="s">
        <v>15</v>
      </c>
    </row>
    <row r="110" spans="1:8" x14ac:dyDescent="0.3">
      <c r="A110" s="8">
        <f t="shared" si="3"/>
        <v>109</v>
      </c>
      <c r="B110" s="8">
        <v>8</v>
      </c>
      <c r="C110" s="8" t="s">
        <v>51</v>
      </c>
      <c r="D110" s="29">
        <v>46318</v>
      </c>
      <c r="E110" s="12"/>
      <c r="F110" s="8"/>
      <c r="G110" s="8" t="s">
        <v>178</v>
      </c>
      <c r="H110" s="8"/>
    </row>
    <row r="111" spans="1:8" x14ac:dyDescent="0.3">
      <c r="A111" s="8">
        <f t="shared" si="3"/>
        <v>110</v>
      </c>
      <c r="B111" s="8">
        <v>9</v>
      </c>
      <c r="C111" s="8" t="s">
        <v>51</v>
      </c>
      <c r="D111" s="29">
        <v>46326</v>
      </c>
      <c r="E111" s="12">
        <v>0.4375</v>
      </c>
      <c r="F111" s="8" t="s">
        <v>23</v>
      </c>
      <c r="G111" s="8" t="s">
        <v>179</v>
      </c>
      <c r="H111" s="8" t="s">
        <v>11</v>
      </c>
    </row>
    <row r="112" spans="1:8" x14ac:dyDescent="0.3">
      <c r="A112" s="8">
        <f t="shared" si="3"/>
        <v>111</v>
      </c>
      <c r="B112" s="8">
        <v>10</v>
      </c>
      <c r="C112" s="8" t="s">
        <v>51</v>
      </c>
      <c r="D112" s="29">
        <v>46333</v>
      </c>
      <c r="E112" s="12">
        <v>0.5</v>
      </c>
      <c r="F112" s="8" t="s">
        <v>42</v>
      </c>
      <c r="G112" s="8" t="s">
        <v>42</v>
      </c>
      <c r="H112" s="8" t="s">
        <v>15</v>
      </c>
    </row>
    <row r="113" spans="1:8" x14ac:dyDescent="0.3">
      <c r="A113" s="25">
        <f t="shared" si="3"/>
        <v>112</v>
      </c>
      <c r="B113" s="25">
        <v>1</v>
      </c>
      <c r="C113" s="25" t="s">
        <v>52</v>
      </c>
      <c r="D113" s="26">
        <v>46312</v>
      </c>
      <c r="E113" s="27">
        <v>0.39583333333333331</v>
      </c>
      <c r="F113" s="25" t="s">
        <v>23</v>
      </c>
      <c r="G113" s="25" t="s">
        <v>50</v>
      </c>
      <c r="H113" s="25" t="s">
        <v>11</v>
      </c>
    </row>
    <row r="114" spans="1:8" x14ac:dyDescent="0.3">
      <c r="A114" s="25">
        <f t="shared" si="3"/>
        <v>113</v>
      </c>
      <c r="B114" s="25">
        <v>2</v>
      </c>
      <c r="C114" s="25" t="s">
        <v>52</v>
      </c>
      <c r="D114" s="26">
        <v>46284</v>
      </c>
      <c r="E114" s="27">
        <v>0.39583333333333331</v>
      </c>
      <c r="F114" s="25" t="s">
        <v>9</v>
      </c>
      <c r="G114" s="25" t="s">
        <v>161</v>
      </c>
      <c r="H114" s="25" t="s">
        <v>15</v>
      </c>
    </row>
    <row r="115" spans="1:8" x14ac:dyDescent="0.3">
      <c r="A115" s="25">
        <f t="shared" si="3"/>
        <v>114</v>
      </c>
      <c r="B115" s="25">
        <v>3</v>
      </c>
      <c r="C115" s="25" t="s">
        <v>52</v>
      </c>
      <c r="D115" s="26">
        <v>46291</v>
      </c>
      <c r="E115" s="27">
        <v>0.39583333333333331</v>
      </c>
      <c r="F115" s="25" t="s">
        <v>174</v>
      </c>
      <c r="G115" s="25" t="s">
        <v>161</v>
      </c>
      <c r="H115" s="25" t="s">
        <v>15</v>
      </c>
    </row>
    <row r="116" spans="1:8" x14ac:dyDescent="0.3">
      <c r="A116" s="25">
        <f t="shared" si="3"/>
        <v>115</v>
      </c>
      <c r="B116" s="25">
        <v>4</v>
      </c>
      <c r="C116" s="25" t="s">
        <v>52</v>
      </c>
      <c r="D116" s="26">
        <v>46305</v>
      </c>
      <c r="E116" s="27">
        <v>0.39583333333333331</v>
      </c>
      <c r="F116" s="25" t="s">
        <v>42</v>
      </c>
      <c r="G116" s="25" t="s">
        <v>161</v>
      </c>
      <c r="H116" s="25" t="s">
        <v>15</v>
      </c>
    </row>
    <row r="117" spans="1:8" x14ac:dyDescent="0.3">
      <c r="A117" s="25">
        <f t="shared" si="3"/>
        <v>116</v>
      </c>
      <c r="B117" s="25">
        <v>5</v>
      </c>
      <c r="C117" s="25" t="s">
        <v>52</v>
      </c>
      <c r="D117" s="26">
        <v>46278</v>
      </c>
      <c r="E117" s="27">
        <v>0.41666666666666669</v>
      </c>
      <c r="F117" s="25" t="s">
        <v>59</v>
      </c>
      <c r="G117" s="25" t="s">
        <v>161</v>
      </c>
      <c r="H117" s="25" t="s">
        <v>15</v>
      </c>
    </row>
    <row r="118" spans="1:8" x14ac:dyDescent="0.3">
      <c r="A118" s="42">
        <f t="shared" si="3"/>
        <v>117</v>
      </c>
      <c r="B118" s="42">
        <v>1</v>
      </c>
      <c r="C118" s="42" t="s">
        <v>53</v>
      </c>
      <c r="D118" s="43"/>
      <c r="E118" s="44"/>
      <c r="F118" s="42"/>
      <c r="G118" s="42"/>
      <c r="H118" s="42"/>
    </row>
    <row r="119" spans="1:8" x14ac:dyDescent="0.3">
      <c r="A119" s="42">
        <f t="shared" si="3"/>
        <v>118</v>
      </c>
      <c r="B119" s="42">
        <v>2</v>
      </c>
      <c r="C119" s="42"/>
      <c r="D119" s="43"/>
      <c r="E119" s="44"/>
      <c r="F119" s="42"/>
      <c r="G119" s="42"/>
      <c r="H119" s="42"/>
    </row>
    <row r="120" spans="1:8" x14ac:dyDescent="0.3">
      <c r="A120" s="42">
        <f t="shared" si="3"/>
        <v>119</v>
      </c>
      <c r="B120" s="42">
        <v>3</v>
      </c>
      <c r="C120" s="42" t="s">
        <v>53</v>
      </c>
      <c r="D120" s="43"/>
      <c r="E120" s="44"/>
      <c r="F120" s="42"/>
      <c r="G120" s="42"/>
      <c r="H120" s="42"/>
    </row>
    <row r="121" spans="1:8" x14ac:dyDescent="0.3">
      <c r="A121" s="42">
        <f t="shared" si="3"/>
        <v>120</v>
      </c>
      <c r="B121" s="42">
        <v>4</v>
      </c>
      <c r="C121" s="42" t="s">
        <v>53</v>
      </c>
      <c r="D121" s="43"/>
      <c r="E121" s="44"/>
      <c r="F121" s="42"/>
      <c r="G121" s="42"/>
      <c r="H121" s="42"/>
    </row>
    <row r="122" spans="1:8" x14ac:dyDescent="0.3">
      <c r="A122" s="42">
        <f t="shared" si="3"/>
        <v>121</v>
      </c>
      <c r="B122" s="42">
        <v>5</v>
      </c>
      <c r="C122" s="42" t="s">
        <v>53</v>
      </c>
      <c r="D122" s="43"/>
      <c r="E122" s="44"/>
      <c r="F122" s="42"/>
      <c r="G122" s="42"/>
      <c r="H122" s="42"/>
    </row>
    <row r="123" spans="1:8" x14ac:dyDescent="0.3">
      <c r="A123" s="30">
        <f t="shared" si="3"/>
        <v>122</v>
      </c>
      <c r="B123" s="30">
        <v>1</v>
      </c>
      <c r="C123" s="42" t="s">
        <v>53</v>
      </c>
      <c r="D123" s="58">
        <v>46230</v>
      </c>
      <c r="E123" s="80">
        <v>0.375</v>
      </c>
      <c r="F123" s="31" t="s">
        <v>23</v>
      </c>
      <c r="G123" s="31" t="s">
        <v>55</v>
      </c>
      <c r="H123" s="31" t="s">
        <v>11</v>
      </c>
    </row>
    <row r="124" spans="1:8" x14ac:dyDescent="0.3">
      <c r="A124" s="30">
        <f t="shared" si="3"/>
        <v>123</v>
      </c>
      <c r="B124" s="30">
        <v>2</v>
      </c>
      <c r="C124" s="30" t="s">
        <v>54</v>
      </c>
      <c r="D124" s="58">
        <v>46231</v>
      </c>
      <c r="E124" s="80">
        <v>0.375</v>
      </c>
      <c r="F124" s="31" t="s">
        <v>23</v>
      </c>
      <c r="G124" s="31" t="s">
        <v>55</v>
      </c>
      <c r="H124" s="31" t="s">
        <v>11</v>
      </c>
    </row>
    <row r="125" spans="1:8" x14ac:dyDescent="0.3">
      <c r="A125" s="30">
        <f t="shared" si="3"/>
        <v>124</v>
      </c>
      <c r="B125" s="30">
        <v>3</v>
      </c>
      <c r="C125" s="30" t="s">
        <v>54</v>
      </c>
      <c r="D125" s="58">
        <v>46232</v>
      </c>
      <c r="E125" s="80">
        <v>0.375</v>
      </c>
      <c r="F125" s="31" t="s">
        <v>23</v>
      </c>
      <c r="G125" s="31" t="s">
        <v>55</v>
      </c>
      <c r="H125" s="31" t="s">
        <v>11</v>
      </c>
    </row>
    <row r="126" spans="1:8" x14ac:dyDescent="0.3">
      <c r="A126" s="30">
        <f t="shared" si="3"/>
        <v>125</v>
      </c>
      <c r="B126" s="30">
        <v>4</v>
      </c>
      <c r="C126" s="30" t="s">
        <v>54</v>
      </c>
      <c r="D126" s="58">
        <v>46233</v>
      </c>
      <c r="E126" s="80">
        <v>0.375</v>
      </c>
      <c r="F126" s="31" t="s">
        <v>23</v>
      </c>
      <c r="G126" s="31" t="s">
        <v>55</v>
      </c>
      <c r="H126" s="31" t="s">
        <v>11</v>
      </c>
    </row>
    <row r="127" spans="1:8" x14ac:dyDescent="0.3">
      <c r="A127" s="30">
        <f t="shared" si="3"/>
        <v>126</v>
      </c>
      <c r="B127" s="30">
        <v>5</v>
      </c>
      <c r="C127" s="30" t="s">
        <v>54</v>
      </c>
      <c r="D127" s="58">
        <v>46234</v>
      </c>
      <c r="E127" s="80">
        <v>0.375</v>
      </c>
      <c r="F127" s="31" t="s">
        <v>23</v>
      </c>
      <c r="G127" s="31" t="s">
        <v>55</v>
      </c>
      <c r="H127" s="31" t="s">
        <v>11</v>
      </c>
    </row>
    <row r="128" spans="1:8" x14ac:dyDescent="0.3">
      <c r="A128" s="30">
        <f t="shared" si="3"/>
        <v>127</v>
      </c>
      <c r="B128" s="30">
        <v>6</v>
      </c>
      <c r="C128" s="30" t="s">
        <v>54</v>
      </c>
      <c r="D128" s="58">
        <v>46237</v>
      </c>
      <c r="E128" s="80">
        <v>0.375</v>
      </c>
      <c r="F128" s="31" t="s">
        <v>23</v>
      </c>
      <c r="G128" s="31" t="s">
        <v>56</v>
      </c>
      <c r="H128" s="31" t="s">
        <v>11</v>
      </c>
    </row>
    <row r="129" spans="1:8" x14ac:dyDescent="0.3">
      <c r="A129" s="30">
        <f t="shared" si="3"/>
        <v>128</v>
      </c>
      <c r="B129" s="30">
        <v>7</v>
      </c>
      <c r="C129" s="30" t="s">
        <v>54</v>
      </c>
      <c r="D129" s="58">
        <v>46238</v>
      </c>
      <c r="E129" s="80">
        <v>0.375</v>
      </c>
      <c r="F129" s="31" t="s">
        <v>23</v>
      </c>
      <c r="G129" s="31" t="s">
        <v>56</v>
      </c>
      <c r="H129" s="31" t="s">
        <v>11</v>
      </c>
    </row>
    <row r="130" spans="1:8" x14ac:dyDescent="0.3">
      <c r="A130" s="30">
        <f t="shared" si="3"/>
        <v>129</v>
      </c>
      <c r="B130" s="30">
        <v>8</v>
      </c>
      <c r="C130" s="30" t="s">
        <v>54</v>
      </c>
      <c r="D130" s="58">
        <v>46239</v>
      </c>
      <c r="E130" s="80">
        <v>0.375</v>
      </c>
      <c r="F130" s="31" t="s">
        <v>23</v>
      </c>
      <c r="G130" s="31" t="s">
        <v>56</v>
      </c>
      <c r="H130" s="31" t="s">
        <v>11</v>
      </c>
    </row>
    <row r="131" spans="1:8" x14ac:dyDescent="0.3">
      <c r="A131" s="30">
        <f t="shared" si="3"/>
        <v>130</v>
      </c>
      <c r="B131" s="30">
        <v>9</v>
      </c>
      <c r="C131" s="30" t="s">
        <v>54</v>
      </c>
      <c r="D131" s="58">
        <v>46321</v>
      </c>
      <c r="E131" s="80">
        <v>0.375</v>
      </c>
      <c r="F131" s="31" t="s">
        <v>23</v>
      </c>
      <c r="G131" s="31" t="s">
        <v>57</v>
      </c>
      <c r="H131" s="31" t="s">
        <v>11</v>
      </c>
    </row>
    <row r="132" spans="1:8" x14ac:dyDescent="0.3">
      <c r="A132" s="30">
        <f t="shared" si="3"/>
        <v>131</v>
      </c>
      <c r="B132" s="30">
        <v>10</v>
      </c>
      <c r="C132" s="30" t="s">
        <v>54</v>
      </c>
      <c r="D132" s="58">
        <v>46322</v>
      </c>
      <c r="E132" s="80">
        <v>0.375</v>
      </c>
      <c r="F132" s="31" t="s">
        <v>23</v>
      </c>
      <c r="G132" s="31" t="s">
        <v>57</v>
      </c>
      <c r="H132" s="31" t="s">
        <v>11</v>
      </c>
    </row>
    <row r="133" spans="1:8" x14ac:dyDescent="0.3">
      <c r="A133" s="30">
        <f t="shared" si="3"/>
        <v>132</v>
      </c>
      <c r="B133" s="30">
        <v>11</v>
      </c>
      <c r="C133" s="30" t="s">
        <v>54</v>
      </c>
      <c r="D133" s="58">
        <v>46323</v>
      </c>
      <c r="E133" s="80">
        <v>0.375</v>
      </c>
      <c r="F133" s="31" t="s">
        <v>23</v>
      </c>
      <c r="G133" s="31" t="s">
        <v>57</v>
      </c>
      <c r="H133" s="31" t="s">
        <v>11</v>
      </c>
    </row>
    <row r="134" spans="1:8" x14ac:dyDescent="0.3">
      <c r="A134" s="40">
        <f t="shared" si="3"/>
        <v>133</v>
      </c>
      <c r="B134" s="40">
        <v>2</v>
      </c>
      <c r="C134" s="30" t="s">
        <v>54</v>
      </c>
      <c r="D134" s="59">
        <v>46256</v>
      </c>
      <c r="E134" s="81">
        <v>0.375</v>
      </c>
      <c r="F134" s="41" t="s">
        <v>23</v>
      </c>
      <c r="G134" s="8" t="s">
        <v>58</v>
      </c>
      <c r="H134" s="41" t="s">
        <v>11</v>
      </c>
    </row>
    <row r="135" spans="1:8" x14ac:dyDescent="0.3">
      <c r="A135" s="54">
        <f t="shared" ref="A135:A142" si="4">A134+1</f>
        <v>134</v>
      </c>
      <c r="B135" s="54">
        <v>1</v>
      </c>
      <c r="C135" s="40" t="s">
        <v>161</v>
      </c>
      <c r="D135" s="55">
        <v>46367</v>
      </c>
      <c r="E135" s="92">
        <v>0.6875</v>
      </c>
      <c r="F135" s="54" t="s">
        <v>59</v>
      </c>
      <c r="G135" s="54" t="s">
        <v>60</v>
      </c>
      <c r="H135" s="54" t="s">
        <v>11</v>
      </c>
    </row>
    <row r="136" spans="1:8" x14ac:dyDescent="0.3">
      <c r="A136" s="54">
        <f t="shared" si="4"/>
        <v>135</v>
      </c>
      <c r="B136" s="54">
        <v>2</v>
      </c>
      <c r="C136" s="54" t="s">
        <v>161</v>
      </c>
      <c r="D136" s="55">
        <v>46368</v>
      </c>
      <c r="E136" s="92">
        <v>0.35416666666666669</v>
      </c>
      <c r="F136" s="54" t="s">
        <v>59</v>
      </c>
      <c r="G136" s="54" t="s">
        <v>60</v>
      </c>
      <c r="H136" s="54" t="s">
        <v>11</v>
      </c>
    </row>
    <row r="137" spans="1:8" x14ac:dyDescent="0.3">
      <c r="A137" s="54">
        <f t="shared" si="4"/>
        <v>136</v>
      </c>
      <c r="B137" s="54">
        <v>3</v>
      </c>
      <c r="C137" s="54" t="s">
        <v>161</v>
      </c>
      <c r="D137" s="55">
        <v>46369</v>
      </c>
      <c r="E137" s="92">
        <v>0.375</v>
      </c>
      <c r="F137" s="54" t="s">
        <v>59</v>
      </c>
      <c r="G137" s="54" t="s">
        <v>60</v>
      </c>
      <c r="H137" s="54" t="s">
        <v>11</v>
      </c>
    </row>
    <row r="138" spans="1:8" x14ac:dyDescent="0.3">
      <c r="A138" s="54">
        <f t="shared" si="4"/>
        <v>137</v>
      </c>
      <c r="B138" s="54">
        <v>0</v>
      </c>
      <c r="C138" s="54" t="s">
        <v>161</v>
      </c>
      <c r="D138" s="55">
        <v>46359</v>
      </c>
      <c r="E138" s="92">
        <v>0.70833333333333337</v>
      </c>
      <c r="F138" s="54" t="s">
        <v>59</v>
      </c>
      <c r="G138" s="54" t="s">
        <v>62</v>
      </c>
      <c r="H138" s="54" t="s">
        <v>11</v>
      </c>
    </row>
    <row r="139" spans="1:8" x14ac:dyDescent="0.3">
      <c r="A139" s="54">
        <f t="shared" si="4"/>
        <v>138</v>
      </c>
      <c r="B139" s="54">
        <v>4</v>
      </c>
      <c r="C139" s="54" t="s">
        <v>61</v>
      </c>
      <c r="D139" s="55">
        <v>46402</v>
      </c>
      <c r="E139" s="92">
        <v>0.6875</v>
      </c>
      <c r="F139" s="54" t="s">
        <v>59</v>
      </c>
      <c r="G139" s="54" t="s">
        <v>60</v>
      </c>
      <c r="H139" s="54" t="s">
        <v>11</v>
      </c>
    </row>
    <row r="140" spans="1:8" x14ac:dyDescent="0.3">
      <c r="A140" s="54">
        <f t="shared" si="4"/>
        <v>139</v>
      </c>
      <c r="B140" s="54">
        <v>5</v>
      </c>
      <c r="C140" s="54" t="s">
        <v>161</v>
      </c>
      <c r="D140" s="55">
        <v>46403</v>
      </c>
      <c r="E140" s="92">
        <v>0.35416666666666669</v>
      </c>
      <c r="F140" s="54" t="s">
        <v>59</v>
      </c>
      <c r="G140" s="54" t="s">
        <v>60</v>
      </c>
      <c r="H140" s="54" t="s">
        <v>11</v>
      </c>
    </row>
    <row r="141" spans="1:8" x14ac:dyDescent="0.3">
      <c r="A141" s="54">
        <f t="shared" si="4"/>
        <v>140</v>
      </c>
      <c r="B141" s="54">
        <v>6</v>
      </c>
      <c r="C141" s="54" t="s">
        <v>161</v>
      </c>
      <c r="D141" s="55">
        <v>46404</v>
      </c>
      <c r="E141" s="92">
        <v>0.375</v>
      </c>
      <c r="F141" s="54" t="s">
        <v>59</v>
      </c>
      <c r="G141" s="54" t="s">
        <v>60</v>
      </c>
      <c r="H141" s="54" t="s">
        <v>11</v>
      </c>
    </row>
    <row r="142" spans="1:8" x14ac:dyDescent="0.3">
      <c r="A142" s="54">
        <f t="shared" si="4"/>
        <v>141</v>
      </c>
      <c r="B142" s="54">
        <v>0</v>
      </c>
      <c r="C142" s="54" t="s">
        <v>161</v>
      </c>
      <c r="D142" s="55">
        <v>46291</v>
      </c>
      <c r="E142" s="92">
        <v>0.75</v>
      </c>
      <c r="F142" s="54" t="s">
        <v>23</v>
      </c>
      <c r="G142" s="54" t="s">
        <v>64</v>
      </c>
      <c r="H142" s="54" t="s">
        <v>11</v>
      </c>
    </row>
    <row r="143" spans="1:8" x14ac:dyDescent="0.3">
      <c r="C143" s="54" t="s">
        <v>63</v>
      </c>
    </row>
  </sheetData>
  <autoFilter ref="A1:H117" xr:uid="{00000000-0009-0000-0000-000000000000}">
    <sortState xmlns:xlrd2="http://schemas.microsoft.com/office/spreadsheetml/2017/richdata2" ref="A2:H117">
      <sortCondition ref="A1:A117"/>
    </sortState>
  </autoFilter>
  <pageMargins left="0.25" right="0.25" top="0.75" bottom="0.75" header="0.3" footer="0.3"/>
  <pageSetup paperSize="9" scale="42" orientation="landscape"/>
  <rowBreaks count="2" manualBreakCount="2">
    <brk id="59" max="16383" man="1"/>
    <brk id="68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41"/>
  <sheetViews>
    <sheetView tabSelected="1" topLeftCell="A82" workbookViewId="0">
      <selection activeCell="F95" sqref="F95"/>
    </sheetView>
  </sheetViews>
  <sheetFormatPr baseColWidth="10" defaultRowHeight="14.4" x14ac:dyDescent="0.3"/>
  <cols>
    <col min="1" max="1" width="11.5546875" style="82" customWidth="1"/>
    <col min="2" max="2" width="11.44140625" style="93" customWidth="1"/>
    <col min="3" max="3" width="11.44140625" style="94" customWidth="1"/>
    <col min="4" max="4" width="8.33203125" style="94" bestFit="1" customWidth="1"/>
    <col min="5" max="5" width="21.6640625" style="94" bestFit="1" customWidth="1"/>
    <col min="6" max="6" width="32.109375" style="82" bestFit="1" customWidth="1"/>
    <col min="7" max="7" width="11.5546875" customWidth="1"/>
    <col min="8" max="8" width="17.88671875" bestFit="1" customWidth="1"/>
    <col min="10" max="10" width="11.5546875" style="82" customWidth="1"/>
  </cols>
  <sheetData>
    <row r="1" spans="1:12" x14ac:dyDescent="0.3">
      <c r="A1" s="82" t="s">
        <v>65</v>
      </c>
      <c r="B1" s="93" t="s">
        <v>66</v>
      </c>
      <c r="C1" s="94" t="s">
        <v>67</v>
      </c>
      <c r="D1" s="94" t="s">
        <v>68</v>
      </c>
      <c r="E1" s="94" t="s">
        <v>69</v>
      </c>
      <c r="F1" s="82" t="s">
        <v>70</v>
      </c>
      <c r="G1" t="s">
        <v>71</v>
      </c>
      <c r="H1" t="s">
        <v>72</v>
      </c>
      <c r="I1" t="s">
        <v>73</v>
      </c>
      <c r="J1" s="82" t="s">
        <v>74</v>
      </c>
      <c r="K1" s="82" t="s">
        <v>75</v>
      </c>
      <c r="L1" s="82" t="s">
        <v>76</v>
      </c>
    </row>
    <row r="2" spans="1:12" x14ac:dyDescent="0.3">
      <c r="B2" s="93">
        <f>'Nach Mannschaften sortiert'!D2</f>
        <v>46199</v>
      </c>
      <c r="C2" s="94">
        <f>'Nach Mannschaften sortiert'!E2</f>
        <v>0.66666666666666663</v>
      </c>
      <c r="D2" s="94">
        <f>IF(I2="KM",C2+"1:45",IF(I2="U23",C2+"1:45",IF(I2="U16",C2+"1:45",IF(I2="U15",C2+"1:30",IF(I2="U14",C2+"1:30",IF(I2="U13",C2+"1:35",IF(I2="U12_1",C2+"1:10",IF(I2="U12_2",C2+"1:10",IF(I2="U11",C2+"1:10",IF(I2="U10",C2+"1:03",IF(I2="U9",C2+"1:03",C2+"3:00")))))))))))</f>
        <v>0.72916666666666663</v>
      </c>
      <c r="E2" s="94" t="str">
        <f>UPPER('Nach Mannschaften sortiert'!F2)</f>
        <v>WIMPASSING</v>
      </c>
      <c r="G2" t="str">
        <f>'Nach Mannschaften sortiert'!H2</f>
        <v>Heim</v>
      </c>
      <c r="H2" t="str">
        <f>'Nach Mannschaften sortiert'!G2</f>
        <v>SK Rapid Wien</v>
      </c>
      <c r="I2" t="str">
        <f>'Nach Mannschaften sortiert'!C2</f>
        <v>U15</v>
      </c>
      <c r="J2" s="82" t="s">
        <v>77</v>
      </c>
      <c r="K2" t="s">
        <v>78</v>
      </c>
      <c r="L2" t="s">
        <v>79</v>
      </c>
    </row>
    <row r="3" spans="1:12" x14ac:dyDescent="0.3">
      <c r="B3" s="93">
        <f>'Nach Mannschaften sortiert'!D3</f>
        <v>46199</v>
      </c>
      <c r="C3" s="94">
        <f>'Nach Mannschaften sortiert'!E3</f>
        <v>0.75</v>
      </c>
      <c r="D3" s="94">
        <f t="shared" ref="D3:D67" si="0">IF(I3="KM",C3+"1:45",IF(I3="U23",C3+"1:45",IF(I3="U16",C3+"1:45",IF(I3="U15",C3+"1:30",IF(I3="U14",C3+"1:30",IF(I3="U13",C3+"1:35",IF(I3="U12_1",C3+"1:10",IF(I3="U12_2",C3+"1:10",IF(I3="U11",C3+"1:10",IF(I3="U10",C3+"1:03",IF(I3="U9",C3+"1:03",C3+"3:00")))))))))))</f>
        <v>0.82291666666666663</v>
      </c>
      <c r="E3" s="94" t="str">
        <f>UPPER('Nach Mannschaften sortiert'!F3)</f>
        <v>WIMPASSING</v>
      </c>
      <c r="G3" t="str">
        <f>'Nach Mannschaften sortiert'!H3</f>
        <v>Heim</v>
      </c>
      <c r="H3" t="str">
        <f>'Nach Mannschaften sortiert'!G3</f>
        <v>SK Rapid Wien</v>
      </c>
      <c r="I3" t="str">
        <f>'Nach Mannschaften sortiert'!C3</f>
        <v>U16</v>
      </c>
      <c r="J3" s="82" t="s">
        <v>77</v>
      </c>
      <c r="K3" t="s">
        <v>78</v>
      </c>
      <c r="L3" t="s">
        <v>79</v>
      </c>
    </row>
    <row r="4" spans="1:12" x14ac:dyDescent="0.3">
      <c r="B4" s="93">
        <f>'Nach Mannschaften sortiert'!D4</f>
        <v>46213</v>
      </c>
      <c r="C4" s="94">
        <f>'Nach Mannschaften sortiert'!E4</f>
        <v>0.79166666666666663</v>
      </c>
      <c r="D4" s="94">
        <f t="shared" si="0"/>
        <v>0.86458333333333326</v>
      </c>
      <c r="E4" s="94" t="str">
        <f>UPPER('Nach Mannschaften sortiert'!F4)</f>
        <v>NEUDÖRFL</v>
      </c>
      <c r="G4" t="str">
        <f>'Nach Mannschaften sortiert'!H4</f>
        <v>Auswärts</v>
      </c>
      <c r="H4" t="str">
        <f>'Nach Mannschaften sortiert'!G4</f>
        <v>Neudörfl</v>
      </c>
      <c r="I4" t="str">
        <f>'Nach Mannschaften sortiert'!C4</f>
        <v>KM</v>
      </c>
      <c r="J4" s="82" t="s">
        <v>77</v>
      </c>
      <c r="K4" t="s">
        <v>78</v>
      </c>
      <c r="L4" t="s">
        <v>79</v>
      </c>
    </row>
    <row r="5" spans="1:12" x14ac:dyDescent="0.3">
      <c r="B5" s="93">
        <f>'Nach Mannschaften sortiert'!D5</f>
        <v>46217</v>
      </c>
      <c r="C5" s="94">
        <f>'Nach Mannschaften sortiert'!E5</f>
        <v>0.8125</v>
      </c>
      <c r="D5" s="94">
        <f t="shared" si="0"/>
        <v>0.88541666666666663</v>
      </c>
      <c r="E5" s="94" t="str">
        <f>UPPER('Nach Mannschaften sortiert'!F5)</f>
        <v>PÖTTSCHING</v>
      </c>
      <c r="G5" t="str">
        <f>'Nach Mannschaften sortiert'!H5</f>
        <v>Auswärts</v>
      </c>
      <c r="H5" t="str">
        <f>'Nach Mannschaften sortiert'!G5</f>
        <v>Pöttsching</v>
      </c>
      <c r="I5" t="str">
        <f>'Nach Mannschaften sortiert'!C5</f>
        <v>KM</v>
      </c>
      <c r="J5" s="82" t="s">
        <v>77</v>
      </c>
      <c r="K5" t="s">
        <v>78</v>
      </c>
      <c r="L5" t="s">
        <v>79</v>
      </c>
    </row>
    <row r="6" spans="1:12" x14ac:dyDescent="0.3">
      <c r="B6" s="93">
        <f>'Nach Mannschaften sortiert'!D6</f>
        <v>46220</v>
      </c>
      <c r="C6" s="94">
        <f>'Nach Mannschaften sortiert'!E6</f>
        <v>0.79166666666666663</v>
      </c>
      <c r="D6" s="94">
        <f t="shared" si="0"/>
        <v>0.86458333333333326</v>
      </c>
      <c r="E6" s="94" t="str">
        <f>UPPER('Nach Mannschaften sortiert'!F6)</f>
        <v>ROHBACH</v>
      </c>
      <c r="G6" t="str">
        <f>'Nach Mannschaften sortiert'!H6</f>
        <v>Auswärts</v>
      </c>
      <c r="H6" t="str">
        <f>'Nach Mannschaften sortiert'!G6</f>
        <v>Rohrbach</v>
      </c>
      <c r="I6" t="str">
        <f>'Nach Mannschaften sortiert'!C6</f>
        <v>KM</v>
      </c>
      <c r="J6" s="82" t="s">
        <v>77</v>
      </c>
      <c r="K6" t="s">
        <v>78</v>
      </c>
      <c r="L6" t="s">
        <v>79</v>
      </c>
    </row>
    <row r="7" spans="1:12" x14ac:dyDescent="0.3">
      <c r="B7" s="93">
        <f>'Nach Mannschaften sortiert'!D7</f>
        <v>46227</v>
      </c>
      <c r="C7" s="94">
        <f>'Nach Mannschaften sortiert'!E7</f>
        <v>0.8125</v>
      </c>
      <c r="D7" s="94">
        <f t="shared" si="0"/>
        <v>0.88541666666666663</v>
      </c>
      <c r="E7" s="94" t="str">
        <f>UPPER('Nach Mannschaften sortiert'!F7)</f>
        <v>SOMMEREIN</v>
      </c>
      <c r="G7" t="str">
        <f>'Nach Mannschaften sortiert'!H7</f>
        <v>Auswärts</v>
      </c>
      <c r="H7" t="str">
        <f>'Nach Mannschaften sortiert'!G7</f>
        <v>Sommerein</v>
      </c>
      <c r="I7" t="str">
        <f>'Nach Mannschaften sortiert'!C7</f>
        <v>KM</v>
      </c>
      <c r="J7" s="82" t="s">
        <v>77</v>
      </c>
      <c r="K7" t="s">
        <v>78</v>
      </c>
      <c r="L7" t="s">
        <v>79</v>
      </c>
    </row>
    <row r="8" spans="1:12" x14ac:dyDescent="0.3">
      <c r="B8" s="93">
        <f>'Nach Mannschaften sortiert'!D8</f>
        <v>46234</v>
      </c>
      <c r="C8" s="94">
        <f>'Nach Mannschaften sortiert'!E8</f>
        <v>0.70833333333333337</v>
      </c>
      <c r="D8" s="94">
        <f t="shared" si="0"/>
        <v>0.78125</v>
      </c>
      <c r="E8" s="94" t="str">
        <f>UPPER('Nach Mannschaften sortiert'!F8)</f>
        <v>WIENER NEUSTADT</v>
      </c>
      <c r="G8" t="str">
        <f>'Nach Mannschaften sortiert'!H8</f>
        <v>Auswärts</v>
      </c>
      <c r="H8" t="str">
        <f>'Nach Mannschaften sortiert'!G8</f>
        <v>Admira Wiener Neustadt</v>
      </c>
      <c r="I8" t="str">
        <f>'Nach Mannschaften sortiert'!C8</f>
        <v>U23</v>
      </c>
      <c r="J8" s="82" t="s">
        <v>162</v>
      </c>
      <c r="K8" t="s">
        <v>78</v>
      </c>
      <c r="L8" t="s">
        <v>79</v>
      </c>
    </row>
    <row r="9" spans="1:12" x14ac:dyDescent="0.3">
      <c r="B9" s="93">
        <f>'Nach Mannschaften sortiert'!D9</f>
        <v>46235</v>
      </c>
      <c r="C9" s="94">
        <f>'Nach Mannschaften sortiert'!E9</f>
        <v>0.72916666666666663</v>
      </c>
      <c r="D9" s="94">
        <f t="shared" si="0"/>
        <v>0.80208333333333326</v>
      </c>
      <c r="E9" s="94" t="str">
        <f>UPPER('Nach Mannschaften sortiert'!F9)</f>
        <v>KITTSEE</v>
      </c>
      <c r="F9" s="82" t="s">
        <v>194</v>
      </c>
      <c r="G9" t="str">
        <f>'Nach Mannschaften sortiert'!H9</f>
        <v>Auswärts</v>
      </c>
      <c r="H9" t="str">
        <f>'Nach Mannschaften sortiert'!G9</f>
        <v>Kittsee</v>
      </c>
      <c r="I9" t="str">
        <f>'Nach Mannschaften sortiert'!C9</f>
        <v>KM</v>
      </c>
      <c r="J9" s="82" t="s">
        <v>77</v>
      </c>
      <c r="K9" t="s">
        <v>78</v>
      </c>
      <c r="L9" t="s">
        <v>79</v>
      </c>
    </row>
    <row r="10" spans="1:12" x14ac:dyDescent="0.3">
      <c r="B10" s="93">
        <f>'Nach Mannschaften sortiert'!D10</f>
        <v>46236</v>
      </c>
      <c r="C10" s="94">
        <f>'Nach Mannschaften sortiert'!E10</f>
        <v>0.4375</v>
      </c>
      <c r="D10" s="94">
        <f t="shared" si="0"/>
        <v>0.51041666666666663</v>
      </c>
      <c r="E10" s="94" t="str">
        <f>UPPER('Nach Mannschaften sortiert'!F10)</f>
        <v>NEUFELD</v>
      </c>
      <c r="G10" t="str">
        <f>'Nach Mannschaften sortiert'!H10</f>
        <v>Heim</v>
      </c>
      <c r="H10" t="str">
        <f>'Nach Mannschaften sortiert'!G10</f>
        <v>Theresienfeld</v>
      </c>
      <c r="I10" t="str">
        <f>'Nach Mannschaften sortiert'!C10</f>
        <v>U16</v>
      </c>
      <c r="J10" s="82" t="s">
        <v>162</v>
      </c>
      <c r="K10" t="s">
        <v>78</v>
      </c>
      <c r="L10" t="s">
        <v>79</v>
      </c>
    </row>
    <row r="11" spans="1:12" x14ac:dyDescent="0.3">
      <c r="B11" s="93">
        <f>'Nach Mannschaften sortiert'!D11</f>
        <v>46241</v>
      </c>
      <c r="C11" s="94">
        <f>'Nach Mannschaften sortiert'!E11</f>
        <v>0.79166666666666663</v>
      </c>
      <c r="D11" s="94">
        <f t="shared" si="0"/>
        <v>0.86458333333333326</v>
      </c>
      <c r="E11" s="94" t="str">
        <f>UPPER('Nach Mannschaften sortiert'!F11)</f>
        <v>NEUFELD</v>
      </c>
      <c r="G11" t="str">
        <f>'Nach Mannschaften sortiert'!H11</f>
        <v>Heim</v>
      </c>
      <c r="H11" t="str">
        <f>'Nach Mannschaften sortiert'!G11</f>
        <v>Bad Fischau</v>
      </c>
      <c r="I11" t="str">
        <f>'Nach Mannschaften sortiert'!C11</f>
        <v>KM</v>
      </c>
      <c r="J11" s="82" t="s">
        <v>77</v>
      </c>
      <c r="K11" t="s">
        <v>78</v>
      </c>
      <c r="L11" t="s">
        <v>79</v>
      </c>
    </row>
    <row r="12" spans="1:12" x14ac:dyDescent="0.3">
      <c r="B12" s="93">
        <f>'Nach Mannschaften sortiert'!D12</f>
        <v>46243</v>
      </c>
      <c r="C12" s="94">
        <f>'Nach Mannschaften sortiert'!E12</f>
        <v>0.45833333333333331</v>
      </c>
      <c r="D12" s="94">
        <f t="shared" si="0"/>
        <v>0.53125</v>
      </c>
      <c r="E12" s="94" t="str">
        <f>UPPER('Nach Mannschaften sortiert'!F12)</f>
        <v>WIENER NEUDORF</v>
      </c>
      <c r="G12" t="str">
        <f>'Nach Mannschaften sortiert'!H12</f>
        <v>Auswärts</v>
      </c>
      <c r="H12" t="str">
        <f>'Nach Mannschaften sortiert'!G12</f>
        <v>Wiener Neudorf</v>
      </c>
      <c r="I12" t="str">
        <f>'Nach Mannschaften sortiert'!C12</f>
        <v>U16</v>
      </c>
      <c r="J12" s="82" t="s">
        <v>77</v>
      </c>
      <c r="K12" t="s">
        <v>78</v>
      </c>
      <c r="L12" t="s">
        <v>79</v>
      </c>
    </row>
    <row r="13" spans="1:12" x14ac:dyDescent="0.3">
      <c r="B13" s="93">
        <f>'Nach Mannschaften sortiert'!D13</f>
        <v>46243</v>
      </c>
      <c r="C13" s="94">
        <f>'Nach Mannschaften sortiert'!E13</f>
        <v>0.625</v>
      </c>
      <c r="D13" s="94">
        <f t="shared" si="0"/>
        <v>0.6875</v>
      </c>
      <c r="E13" s="94" t="str">
        <f>UPPER('Nach Mannschaften sortiert'!F13)</f>
        <v>GROßHÖFLEIN</v>
      </c>
      <c r="G13" t="str">
        <f>'Nach Mannschaften sortiert'!H13</f>
        <v>Heim</v>
      </c>
      <c r="H13" t="str">
        <f>'Nach Mannschaften sortiert'!G13</f>
        <v>Vienna U13</v>
      </c>
      <c r="I13" t="str">
        <f>'Nach Mannschaften sortiert'!C13</f>
        <v>U14</v>
      </c>
      <c r="J13" s="82" t="s">
        <v>77</v>
      </c>
      <c r="K13" t="s">
        <v>78</v>
      </c>
      <c r="L13" t="s">
        <v>79</v>
      </c>
    </row>
    <row r="14" spans="1:12" s="127" customFormat="1" x14ac:dyDescent="0.3">
      <c r="A14" s="82"/>
      <c r="B14" s="93">
        <f>'Nach Mannschaften sortiert'!D14</f>
        <v>46245</v>
      </c>
      <c r="C14" s="94">
        <f>'Nach Mannschaften sortiert'!E14</f>
        <v>0.79166666666666663</v>
      </c>
      <c r="D14" s="94">
        <f t="shared" ref="D14" si="1">IF(I14="KM",C14+"1:45",IF(I14="U23",C14+"1:45",IF(I14="U16",C14+"1:45",IF(I14="U15",C14+"1:30",IF(I14="U14",C14+"1:30",IF(I14="U13",C14+"1:35",IF(I14="U12_1",C14+"1:10",IF(I14="U12_2",C14+"1:10",IF(I14="U11",C14+"1:10",IF(I14="U10",C14+"1:03",IF(I14="U9",C14+"1:03",C14+"3:00")))))))))))</f>
        <v>0.86458333333333326</v>
      </c>
      <c r="E14" s="94" t="str">
        <f>UPPER('Nach Mannschaften sortiert'!F14)</f>
        <v>WR. NEUSTADT</v>
      </c>
      <c r="F14" s="82"/>
      <c r="G14" s="127" t="str">
        <f>'Nach Mannschaften sortiert'!H14</f>
        <v>Auswärts</v>
      </c>
      <c r="H14" s="127" t="str">
        <f>'Nach Mannschaften sortiert'!G14</f>
        <v>Admira Wiener Neustadt</v>
      </c>
      <c r="I14" s="127" t="str">
        <f>'Nach Mannschaften sortiert'!C14</f>
        <v>U23</v>
      </c>
      <c r="J14" s="82" t="s">
        <v>77</v>
      </c>
      <c r="K14" s="127" t="s">
        <v>78</v>
      </c>
      <c r="L14" s="127" t="s">
        <v>79</v>
      </c>
    </row>
    <row r="15" spans="1:12" x14ac:dyDescent="0.3">
      <c r="B15" s="93">
        <f>'Nach Mannschaften sortiert'!D15</f>
        <v>46247</v>
      </c>
      <c r="C15" s="94">
        <f>'Nach Mannschaften sortiert'!E15</f>
        <v>0.79166666666666663</v>
      </c>
      <c r="D15" s="94">
        <f t="shared" si="0"/>
        <v>0.85416666666666663</v>
      </c>
      <c r="E15" s="94" t="str">
        <f>UPPER('Nach Mannschaften sortiert'!F15)</f>
        <v>OGGAU</v>
      </c>
      <c r="G15" t="str">
        <f>'Nach Mannschaften sortiert'!H15</f>
        <v>Auswärts</v>
      </c>
      <c r="H15" t="str">
        <f>'Nach Mannschaften sortiert'!G15</f>
        <v>Oggau</v>
      </c>
      <c r="I15" t="str">
        <f>'Nach Mannschaften sortiert'!C15</f>
        <v>U14</v>
      </c>
      <c r="J15" s="82" t="s">
        <v>77</v>
      </c>
      <c r="K15" t="s">
        <v>78</v>
      </c>
      <c r="L15" t="s">
        <v>79</v>
      </c>
    </row>
    <row r="16" spans="1:12" x14ac:dyDescent="0.3">
      <c r="B16" s="93">
        <f>'Nach Mannschaften sortiert'!D16</f>
        <v>46255</v>
      </c>
      <c r="C16" s="94">
        <f>'Nach Mannschaften sortiert'!E16</f>
        <v>0.75</v>
      </c>
      <c r="D16" s="94">
        <f t="shared" si="0"/>
        <v>0.8125</v>
      </c>
      <c r="E16" s="94" t="str">
        <f>UPPER('Nach Mannschaften sortiert'!F16)</f>
        <v>GROßHÖFLEIN</v>
      </c>
      <c r="G16" t="str">
        <f>'Nach Mannschaften sortiert'!H16</f>
        <v>Heim</v>
      </c>
      <c r="H16" t="str">
        <f>'Nach Mannschaften sortiert'!G16</f>
        <v>Bad Erlach</v>
      </c>
      <c r="I16" t="str">
        <f>'Nach Mannschaften sortiert'!C16</f>
        <v>U14</v>
      </c>
      <c r="J16" s="82" t="s">
        <v>77</v>
      </c>
      <c r="K16" t="s">
        <v>78</v>
      </c>
      <c r="L16" t="s">
        <v>79</v>
      </c>
    </row>
    <row r="17" spans="2:12" x14ac:dyDescent="0.3">
      <c r="B17" s="93">
        <f>'Nach Mannschaften sortiert'!D17</f>
        <v>46256</v>
      </c>
      <c r="C17" s="94">
        <f>'Nach Mannschaften sortiert'!E17</f>
        <v>0.70833333333333337</v>
      </c>
      <c r="D17" s="94">
        <f t="shared" si="0"/>
        <v>0.78125</v>
      </c>
      <c r="E17" s="94" t="str">
        <f>UPPER('Nach Mannschaften sortiert'!F17)</f>
        <v>LAXENBURG</v>
      </c>
      <c r="G17" t="str">
        <f>'Nach Mannschaften sortiert'!H17</f>
        <v>Auswärts</v>
      </c>
      <c r="H17" t="str">
        <f>'Nach Mannschaften sortiert'!G17</f>
        <v>Laxenburg</v>
      </c>
      <c r="I17" t="str">
        <f>'Nach Mannschaften sortiert'!C17</f>
        <v>U16</v>
      </c>
      <c r="J17" s="82" t="s">
        <v>162</v>
      </c>
      <c r="K17" t="s">
        <v>78</v>
      </c>
      <c r="L17" t="s">
        <v>79</v>
      </c>
    </row>
    <row r="18" spans="2:12" x14ac:dyDescent="0.3">
      <c r="B18" s="93">
        <f>'Nach Mannschaften sortiert'!D18</f>
        <v>46260</v>
      </c>
      <c r="C18" s="94">
        <f>'Nach Mannschaften sortiert'!E18</f>
        <v>0.41666666666666669</v>
      </c>
      <c r="D18" s="94">
        <f t="shared" si="0"/>
        <v>0.48958333333333337</v>
      </c>
      <c r="E18" s="94" t="str">
        <f>UPPER('Nach Mannschaften sortiert'!F18)</f>
        <v>NEUFELD</v>
      </c>
      <c r="G18" t="str">
        <f>'Nach Mannschaften sortiert'!H18</f>
        <v>Heim</v>
      </c>
      <c r="H18" t="str">
        <f>'Nach Mannschaften sortiert'!G18</f>
        <v>Traiskirchen</v>
      </c>
      <c r="I18" t="str">
        <f>'Nach Mannschaften sortiert'!C18</f>
        <v>U16</v>
      </c>
      <c r="J18" s="82" t="s">
        <v>162</v>
      </c>
      <c r="K18" t="s">
        <v>78</v>
      </c>
      <c r="L18" t="s">
        <v>79</v>
      </c>
    </row>
    <row r="19" spans="2:12" x14ac:dyDescent="0.3">
      <c r="B19" s="93">
        <f>'Nach Mannschaften sortiert'!D19</f>
        <v>46260</v>
      </c>
      <c r="C19" s="94">
        <f>'Nach Mannschaften sortiert'!E19</f>
        <v>0.79166666666666663</v>
      </c>
      <c r="D19" s="94">
        <f t="shared" si="0"/>
        <v>0.85416666666666663</v>
      </c>
      <c r="E19" s="94" t="str">
        <f>UPPER('Nach Mannschaften sortiert'!F19)</f>
        <v>GROßHÖFLEIN</v>
      </c>
      <c r="G19" t="str">
        <f>'Nach Mannschaften sortiert'!H19</f>
        <v>Heim</v>
      </c>
      <c r="H19" t="str">
        <f>'Nach Mannschaften sortiert'!G19</f>
        <v>SPG Leitha/Stotzing</v>
      </c>
      <c r="I19" t="str">
        <f>'Nach Mannschaften sortiert'!C19</f>
        <v>U14</v>
      </c>
      <c r="J19" s="82" t="s">
        <v>77</v>
      </c>
      <c r="K19" t="s">
        <v>78</v>
      </c>
      <c r="L19" t="s">
        <v>79</v>
      </c>
    </row>
    <row r="20" spans="2:12" x14ac:dyDescent="0.3">
      <c r="B20" s="93">
        <f>'Nach Mannschaften sortiert'!D20</f>
        <v>46263</v>
      </c>
      <c r="C20" s="94">
        <f>'Nach Mannschaften sortiert'!E20</f>
        <v>0.4375</v>
      </c>
      <c r="D20" s="94">
        <f t="shared" si="0"/>
        <v>0.5</v>
      </c>
      <c r="E20" s="94" t="str">
        <f>UPPER('Nach Mannschaften sortiert'!F20)</f>
        <v>GROßHÖFLEIN</v>
      </c>
      <c r="G20" t="str">
        <f>'Nach Mannschaften sortiert'!H20</f>
        <v>Heim</v>
      </c>
      <c r="H20" t="str">
        <f>'Nach Mannschaften sortiert'!G20</f>
        <v>Oggau</v>
      </c>
      <c r="I20" t="str">
        <f>'Nach Mannschaften sortiert'!C20</f>
        <v>U14</v>
      </c>
      <c r="J20" s="82" t="s">
        <v>77</v>
      </c>
      <c r="K20" t="s">
        <v>78</v>
      </c>
      <c r="L20" t="s">
        <v>79</v>
      </c>
    </row>
    <row r="21" spans="2:12" x14ac:dyDescent="0.3">
      <c r="B21" s="93">
        <f>'Nach Mannschaften sortiert'!D21</f>
        <v>46264</v>
      </c>
      <c r="C21" s="94">
        <f>'Nach Mannschaften sortiert'!E21</f>
        <v>0.4375</v>
      </c>
      <c r="D21" s="94">
        <f t="shared" si="0"/>
        <v>0.51041666666666663</v>
      </c>
      <c r="E21" s="94" t="str">
        <f>UPPER('Nach Mannschaften sortiert'!F21)</f>
        <v>THERESIENFELD</v>
      </c>
      <c r="G21" t="str">
        <f>'Nach Mannschaften sortiert'!H21</f>
        <v>Auswärts</v>
      </c>
      <c r="H21" t="str">
        <f>'Nach Mannschaften sortiert'!G21</f>
        <v>SPG Theresienfeld</v>
      </c>
      <c r="I21" t="str">
        <f>'Nach Mannschaften sortiert'!C21</f>
        <v>U16</v>
      </c>
      <c r="J21" s="82" t="s">
        <v>77</v>
      </c>
      <c r="K21" t="s">
        <v>78</v>
      </c>
      <c r="L21" t="s">
        <v>79</v>
      </c>
    </row>
    <row r="22" spans="2:12" x14ac:dyDescent="0.3">
      <c r="B22" s="93">
        <f>'Nach Mannschaften sortiert'!D22</f>
        <v>46445</v>
      </c>
      <c r="C22" s="94">
        <f>'Nach Mannschaften sortiert'!E22</f>
        <v>0.5</v>
      </c>
      <c r="D22" s="94">
        <f t="shared" si="0"/>
        <v>0.57291666666666663</v>
      </c>
      <c r="E22" s="94" t="str">
        <f>UPPER('Nach Mannschaften sortiert'!F22)</f>
        <v>BAD ERLACH</v>
      </c>
      <c r="G22" t="str">
        <f>'Nach Mannschaften sortiert'!H22</f>
        <v>Auswärts</v>
      </c>
      <c r="H22" t="str">
        <f>'Nach Mannschaften sortiert'!G22</f>
        <v>Bad Erlach</v>
      </c>
      <c r="I22" t="str">
        <f>'Nach Mannschaften sortiert'!C22</f>
        <v>KM</v>
      </c>
      <c r="J22" s="82" t="s">
        <v>77</v>
      </c>
      <c r="K22" t="s">
        <v>78</v>
      </c>
      <c r="L22" t="s">
        <v>79</v>
      </c>
    </row>
    <row r="23" spans="2:12" x14ac:dyDescent="0.3">
      <c r="B23" s="93">
        <f>'Nach Mannschaften sortiert'!D23</f>
        <v>46250</v>
      </c>
      <c r="C23" s="94">
        <f>'Nach Mannschaften sortiert'!E23</f>
        <v>0.72916666666666663</v>
      </c>
      <c r="D23" s="94">
        <f t="shared" si="0"/>
        <v>0.80208333333333326</v>
      </c>
      <c r="E23" s="94" t="str">
        <f>UPPER('Nach Mannschaften sortiert'!F23)</f>
        <v>KITTSEE</v>
      </c>
      <c r="F23" s="82" t="s">
        <v>195</v>
      </c>
      <c r="G23" t="str">
        <f>'Nach Mannschaften sortiert'!H23</f>
        <v>Auswärts</v>
      </c>
      <c r="H23" t="str">
        <f>'Nach Mannschaften sortiert'!G23</f>
        <v>Kittsee</v>
      </c>
      <c r="I23" t="str">
        <f>'Nach Mannschaften sortiert'!C23</f>
        <v>KM</v>
      </c>
      <c r="J23" s="82" t="s">
        <v>77</v>
      </c>
      <c r="K23" t="s">
        <v>80</v>
      </c>
      <c r="L23" t="s">
        <v>79</v>
      </c>
    </row>
    <row r="24" spans="2:12" x14ac:dyDescent="0.3">
      <c r="B24" s="93">
        <f>'Nach Mannschaften sortiert'!D24</f>
        <v>46255</v>
      </c>
      <c r="C24" s="94">
        <f>'Nach Mannschaften sortiert'!E24</f>
        <v>0.83333333333333337</v>
      </c>
      <c r="D24" s="94">
        <f t="shared" si="0"/>
        <v>0.90625</v>
      </c>
      <c r="E24" s="94" t="str">
        <f>UPPER('Nach Mannschaften sortiert'!F24)</f>
        <v>DEUTSCH JAHRNDORF</v>
      </c>
      <c r="F24" s="82" t="s">
        <v>197</v>
      </c>
      <c r="G24" t="str">
        <f>'Nach Mannschaften sortiert'!H24</f>
        <v>Auswärts</v>
      </c>
      <c r="H24" t="str">
        <f>'Nach Mannschaften sortiert'!G24</f>
        <v>Deutsch Jahrndorf</v>
      </c>
      <c r="I24" t="str">
        <f>'Nach Mannschaften sortiert'!C24</f>
        <v>KM</v>
      </c>
      <c r="J24" s="82" t="s">
        <v>77</v>
      </c>
      <c r="K24" t="s">
        <v>80</v>
      </c>
      <c r="L24" t="s">
        <v>79</v>
      </c>
    </row>
    <row r="25" spans="2:12" x14ac:dyDescent="0.3">
      <c r="B25" s="93">
        <f>'Nach Mannschaften sortiert'!D25</f>
        <v>46263</v>
      </c>
      <c r="C25" s="94">
        <f>'Nach Mannschaften sortiert'!E25</f>
        <v>0.75</v>
      </c>
      <c r="D25" s="94">
        <f t="shared" si="0"/>
        <v>0.82291666666666663</v>
      </c>
      <c r="E25" s="94" t="str">
        <f>UPPER('Nach Mannschaften sortiert'!F25)</f>
        <v>NEUFELD</v>
      </c>
      <c r="F25" s="82" t="s">
        <v>199</v>
      </c>
      <c r="G25" t="str">
        <f>'Nach Mannschaften sortiert'!H25</f>
        <v>Heim</v>
      </c>
      <c r="H25" t="str">
        <f>'Nach Mannschaften sortiert'!G25</f>
        <v>Tadten</v>
      </c>
      <c r="I25" t="str">
        <f>'Nach Mannschaften sortiert'!C25</f>
        <v>KM</v>
      </c>
      <c r="J25" s="82" t="s">
        <v>77</v>
      </c>
      <c r="K25" t="s">
        <v>80</v>
      </c>
      <c r="L25" t="s">
        <v>79</v>
      </c>
    </row>
    <row r="26" spans="2:12" x14ac:dyDescent="0.3">
      <c r="B26" s="93">
        <f>'Nach Mannschaften sortiert'!D26</f>
        <v>46270</v>
      </c>
      <c r="C26" s="94">
        <f>'Nach Mannschaften sortiert'!E26</f>
        <v>0.6875</v>
      </c>
      <c r="D26" s="94">
        <f t="shared" si="0"/>
        <v>0.76041666666666663</v>
      </c>
      <c r="E26" s="94" t="str">
        <f>UPPER('Nach Mannschaften sortiert'!F26)</f>
        <v>MÖNCHHOF</v>
      </c>
      <c r="F26" s="82" t="s">
        <v>201</v>
      </c>
      <c r="G26" t="str">
        <f>'Nach Mannschaften sortiert'!H26</f>
        <v>Auswärts</v>
      </c>
      <c r="H26" t="str">
        <f>'Nach Mannschaften sortiert'!G26</f>
        <v>Mönchhof</v>
      </c>
      <c r="I26" t="str">
        <f>'Nach Mannschaften sortiert'!C26</f>
        <v>KM</v>
      </c>
      <c r="J26" s="82" t="s">
        <v>77</v>
      </c>
      <c r="K26" t="s">
        <v>80</v>
      </c>
      <c r="L26" t="s">
        <v>79</v>
      </c>
    </row>
    <row r="27" spans="2:12" x14ac:dyDescent="0.3">
      <c r="B27" s="93">
        <f>'Nach Mannschaften sortiert'!D27</f>
        <v>46276</v>
      </c>
      <c r="C27" s="94">
        <f>'Nach Mannschaften sortiert'!E27</f>
        <v>0.8125</v>
      </c>
      <c r="D27" s="94">
        <f t="shared" si="0"/>
        <v>0.88541666666666663</v>
      </c>
      <c r="E27" s="94" t="str">
        <f>UPPER('Nach Mannschaften sortiert'!F27)</f>
        <v>NEUFELD</v>
      </c>
      <c r="F27" s="82" t="s">
        <v>209</v>
      </c>
      <c r="G27" t="str">
        <f>'Nach Mannschaften sortiert'!H27</f>
        <v>Heim</v>
      </c>
      <c r="H27" t="str">
        <f>'Nach Mannschaften sortiert'!G27</f>
        <v>Winden</v>
      </c>
      <c r="I27" t="str">
        <f>'Nach Mannschaften sortiert'!C27</f>
        <v>KM</v>
      </c>
      <c r="J27" s="82" t="s">
        <v>77</v>
      </c>
      <c r="K27" t="s">
        <v>80</v>
      </c>
      <c r="L27" t="s">
        <v>79</v>
      </c>
    </row>
    <row r="28" spans="2:12" x14ac:dyDescent="0.3">
      <c r="B28" s="93">
        <f>'Nach Mannschaften sortiert'!D28</f>
        <v>46284</v>
      </c>
      <c r="C28" s="94">
        <f>'Nach Mannschaften sortiert'!E28</f>
        <v>0.66666666666666663</v>
      </c>
      <c r="D28" s="94">
        <f t="shared" si="0"/>
        <v>0.73958333333333326</v>
      </c>
      <c r="E28" s="94" t="str">
        <f>UPPER('Nach Mannschaften sortiert'!F28)</f>
        <v>GATTENDORF</v>
      </c>
      <c r="F28" s="82" t="s">
        <v>212</v>
      </c>
      <c r="G28" t="str">
        <f>'Nach Mannschaften sortiert'!H28</f>
        <v>Auswärts</v>
      </c>
      <c r="H28" t="str">
        <f>'Nach Mannschaften sortiert'!G28</f>
        <v>Gattendorf</v>
      </c>
      <c r="I28" t="str">
        <f>'Nach Mannschaften sortiert'!C28</f>
        <v>KM</v>
      </c>
      <c r="J28" s="82" t="s">
        <v>77</v>
      </c>
      <c r="K28" t="s">
        <v>80</v>
      </c>
      <c r="L28" t="s">
        <v>79</v>
      </c>
    </row>
    <row r="29" spans="2:12" x14ac:dyDescent="0.3">
      <c r="B29" s="93">
        <f>'Nach Mannschaften sortiert'!D29</f>
        <v>46291</v>
      </c>
      <c r="C29" s="94">
        <f>'Nach Mannschaften sortiert'!E29</f>
        <v>0.75</v>
      </c>
      <c r="D29" s="94">
        <f t="shared" si="0"/>
        <v>0.82291666666666663</v>
      </c>
      <c r="E29" s="94" t="str">
        <f>UPPER('Nach Mannschaften sortiert'!F29)</f>
        <v>NEUFELD</v>
      </c>
      <c r="F29" s="82" t="s">
        <v>220</v>
      </c>
      <c r="G29" t="str">
        <f>'Nach Mannschaften sortiert'!H29</f>
        <v>Heim</v>
      </c>
      <c r="H29" t="str">
        <f>'Nach Mannschaften sortiert'!G29</f>
        <v>Wallern</v>
      </c>
      <c r="I29" t="str">
        <f>'Nach Mannschaften sortiert'!C29</f>
        <v>KM</v>
      </c>
      <c r="J29" s="82" t="s">
        <v>77</v>
      </c>
      <c r="K29" t="s">
        <v>80</v>
      </c>
      <c r="L29" t="s">
        <v>79</v>
      </c>
    </row>
    <row r="30" spans="2:12" x14ac:dyDescent="0.3">
      <c r="B30" s="93">
        <f>'Nach Mannschaften sortiert'!D30</f>
        <v>46297</v>
      </c>
      <c r="C30" s="94">
        <f>'Nach Mannschaften sortiert'!E30</f>
        <v>0.8125</v>
      </c>
      <c r="D30" s="94">
        <f t="shared" si="0"/>
        <v>0.88541666666666663</v>
      </c>
      <c r="E30" s="94" t="str">
        <f>UPPER('Nach Mannschaften sortiert'!F30)</f>
        <v>SIEGENDORF</v>
      </c>
      <c r="F30" s="82" t="s">
        <v>225</v>
      </c>
      <c r="G30" t="str">
        <f>'Nach Mannschaften sortiert'!H30</f>
        <v>Auswärts</v>
      </c>
      <c r="H30" t="str">
        <f>'Nach Mannschaften sortiert'!G30</f>
        <v>Siegendorf</v>
      </c>
      <c r="I30" t="str">
        <f>'Nach Mannschaften sortiert'!C30</f>
        <v>KM</v>
      </c>
      <c r="J30" s="82" t="s">
        <v>77</v>
      </c>
      <c r="K30" t="s">
        <v>80</v>
      </c>
      <c r="L30" t="s">
        <v>79</v>
      </c>
    </row>
    <row r="31" spans="2:12" x14ac:dyDescent="0.3">
      <c r="B31" s="93">
        <f>'Nach Mannschaften sortiert'!D31</f>
        <v>46304</v>
      </c>
      <c r="C31" s="94">
        <f>'Nach Mannschaften sortiert'!E31</f>
        <v>0.8125</v>
      </c>
      <c r="D31" s="94">
        <f t="shared" si="0"/>
        <v>0.88541666666666663</v>
      </c>
      <c r="E31" s="94" t="str">
        <f>UPPER('Nach Mannschaften sortiert'!F31)</f>
        <v>NEUFELD</v>
      </c>
      <c r="F31" s="82" t="s">
        <v>221</v>
      </c>
      <c r="G31" t="str">
        <f>'Nach Mannschaften sortiert'!H31</f>
        <v>Heim</v>
      </c>
      <c r="H31" t="str">
        <f>'Nach Mannschaften sortiert'!G31</f>
        <v>Wimpassing</v>
      </c>
      <c r="I31" t="str">
        <f>'Nach Mannschaften sortiert'!C31</f>
        <v>KM</v>
      </c>
      <c r="J31" s="82" t="s">
        <v>77</v>
      </c>
      <c r="K31" t="s">
        <v>80</v>
      </c>
      <c r="L31" t="s">
        <v>79</v>
      </c>
    </row>
    <row r="32" spans="2:12" x14ac:dyDescent="0.3">
      <c r="B32" s="93">
        <f>'Nach Mannschaften sortiert'!D32</f>
        <v>46311</v>
      </c>
      <c r="C32" s="94">
        <f>'Nach Mannschaften sortiert'!E32</f>
        <v>0.8125</v>
      </c>
      <c r="D32" s="94">
        <f t="shared" si="0"/>
        <v>0.88541666666666663</v>
      </c>
      <c r="E32" s="94" t="str">
        <f>UPPER('Nach Mannschaften sortiert'!F32)</f>
        <v>HORNSTEIN</v>
      </c>
      <c r="F32" s="82" t="s">
        <v>240</v>
      </c>
      <c r="G32" t="str">
        <f>'Nach Mannschaften sortiert'!H32</f>
        <v>Auswärts</v>
      </c>
      <c r="H32" t="str">
        <f>'Nach Mannschaften sortiert'!G32</f>
        <v>Hornstein</v>
      </c>
      <c r="I32" t="str">
        <f>'Nach Mannschaften sortiert'!C32</f>
        <v>KM</v>
      </c>
      <c r="J32" s="82" t="s">
        <v>77</v>
      </c>
      <c r="K32" t="s">
        <v>80</v>
      </c>
      <c r="L32" t="s">
        <v>79</v>
      </c>
    </row>
    <row r="33" spans="2:12" x14ac:dyDescent="0.3">
      <c r="B33" s="93">
        <f>'Nach Mannschaften sortiert'!D33</f>
        <v>46318</v>
      </c>
      <c r="C33" s="94">
        <f>'Nach Mannschaften sortiert'!E33</f>
        <v>0.8125</v>
      </c>
      <c r="D33" s="94">
        <f t="shared" si="0"/>
        <v>0.88541666666666663</v>
      </c>
      <c r="E33" s="94" t="str">
        <f>UPPER('Nach Mannschaften sortiert'!F33)</f>
        <v>NEUFELD</v>
      </c>
      <c r="G33" t="str">
        <f>'Nach Mannschaften sortiert'!H33</f>
        <v>Heim</v>
      </c>
      <c r="H33" t="str">
        <f>'Nach Mannschaften sortiert'!G33</f>
        <v>Gols</v>
      </c>
      <c r="I33" t="str">
        <f>'Nach Mannschaften sortiert'!C33</f>
        <v>KM</v>
      </c>
      <c r="J33" s="82" t="s">
        <v>77</v>
      </c>
      <c r="K33" t="s">
        <v>80</v>
      </c>
      <c r="L33" t="s">
        <v>79</v>
      </c>
    </row>
    <row r="34" spans="2:12" x14ac:dyDescent="0.3">
      <c r="B34" s="93">
        <f>'Nach Mannschaften sortiert'!D34</f>
        <v>46326</v>
      </c>
      <c r="C34" s="94">
        <f>'Nach Mannschaften sortiert'!E34</f>
        <v>0.75</v>
      </c>
      <c r="D34" s="94">
        <f t="shared" si="0"/>
        <v>0.82291666666666663</v>
      </c>
      <c r="E34" s="94" t="str">
        <f>UPPER('Nach Mannschaften sortiert'!F34)</f>
        <v>ILLMITZ</v>
      </c>
      <c r="G34" t="str">
        <f>'Nach Mannschaften sortiert'!H34</f>
        <v>Auswärts</v>
      </c>
      <c r="H34" t="str">
        <f>'Nach Mannschaften sortiert'!G34</f>
        <v>Illmitz</v>
      </c>
      <c r="I34" t="str">
        <f>'Nach Mannschaften sortiert'!C34</f>
        <v>KM</v>
      </c>
      <c r="J34" s="82" t="s">
        <v>77</v>
      </c>
      <c r="K34" t="s">
        <v>80</v>
      </c>
      <c r="L34" t="s">
        <v>79</v>
      </c>
    </row>
    <row r="35" spans="2:12" x14ac:dyDescent="0.3">
      <c r="B35" s="93">
        <f>'Nach Mannschaften sortiert'!D35</f>
        <v>46333</v>
      </c>
      <c r="C35" s="94">
        <f>'Nach Mannschaften sortiert'!E35</f>
        <v>0.6875</v>
      </c>
      <c r="D35" s="94">
        <f t="shared" si="0"/>
        <v>0.76041666666666663</v>
      </c>
      <c r="E35" s="94" t="str">
        <f>UPPER('Nach Mannschaften sortiert'!F35)</f>
        <v>NEUFELD</v>
      </c>
      <c r="G35" t="str">
        <f>'Nach Mannschaften sortiert'!H35</f>
        <v>Heim</v>
      </c>
      <c r="H35" t="str">
        <f>'Nach Mannschaften sortiert'!G35</f>
        <v>Andau</v>
      </c>
      <c r="I35" t="str">
        <f>'Nach Mannschaften sortiert'!C35</f>
        <v>KM</v>
      </c>
      <c r="J35" s="82" t="s">
        <v>77</v>
      </c>
      <c r="K35" t="s">
        <v>80</v>
      </c>
      <c r="L35" t="s">
        <v>79</v>
      </c>
    </row>
    <row r="36" spans="2:12" x14ac:dyDescent="0.3">
      <c r="B36" s="93">
        <f>'Nach Mannschaften sortiert'!D36</f>
        <v>46250</v>
      </c>
      <c r="C36" s="94">
        <f>'Nach Mannschaften sortiert'!E36</f>
        <v>0.64583333333333337</v>
      </c>
      <c r="D36" s="94">
        <f t="shared" si="0"/>
        <v>0.71875</v>
      </c>
      <c r="E36" s="94" t="str">
        <f>UPPER('Nach Mannschaften sortiert'!F36)</f>
        <v>KITTSEE</v>
      </c>
      <c r="F36" s="82" t="s">
        <v>196</v>
      </c>
      <c r="G36" t="str">
        <f>'Nach Mannschaften sortiert'!H36</f>
        <v>Auswärts</v>
      </c>
      <c r="H36" t="str">
        <f>'Nach Mannschaften sortiert'!G36</f>
        <v>Kittsee</v>
      </c>
      <c r="I36" t="str">
        <f>'Nach Mannschaften sortiert'!C36</f>
        <v>U23</v>
      </c>
      <c r="J36" s="82" t="s">
        <v>77</v>
      </c>
      <c r="K36" t="s">
        <v>80</v>
      </c>
      <c r="L36" t="s">
        <v>79</v>
      </c>
    </row>
    <row r="37" spans="2:12" x14ac:dyDescent="0.3">
      <c r="B37" s="93">
        <f>'Nach Mannschaften sortiert'!D37</f>
        <v>46255</v>
      </c>
      <c r="C37" s="94">
        <f>'Nach Mannschaften sortiert'!E37</f>
        <v>0.75</v>
      </c>
      <c r="D37" s="94">
        <f t="shared" si="0"/>
        <v>0.82291666666666663</v>
      </c>
      <c r="E37" s="94" t="str">
        <f>UPPER('Nach Mannschaften sortiert'!F37)</f>
        <v>DEUTSCH JAHRNDORF</v>
      </c>
      <c r="F37" s="82" t="s">
        <v>198</v>
      </c>
      <c r="G37" t="str">
        <f>'Nach Mannschaften sortiert'!H37</f>
        <v>Auswärts</v>
      </c>
      <c r="H37" t="str">
        <f>'Nach Mannschaften sortiert'!G37</f>
        <v>Deutsch Jahrndorf</v>
      </c>
      <c r="I37" t="str">
        <f>'Nach Mannschaften sortiert'!C37</f>
        <v>U23</v>
      </c>
      <c r="J37" s="82" t="s">
        <v>77</v>
      </c>
      <c r="K37" t="s">
        <v>80</v>
      </c>
      <c r="L37" t="s">
        <v>79</v>
      </c>
    </row>
    <row r="38" spans="2:12" x14ac:dyDescent="0.3">
      <c r="B38" s="93">
        <f>'Nach Mannschaften sortiert'!D38</f>
        <v>46263</v>
      </c>
      <c r="C38" s="94">
        <f>'Nach Mannschaften sortiert'!E38</f>
        <v>0.66666666666666663</v>
      </c>
      <c r="D38" s="94">
        <f t="shared" si="0"/>
        <v>0.73958333333333326</v>
      </c>
      <c r="E38" s="94" t="str">
        <f>UPPER('Nach Mannschaften sortiert'!F38)</f>
        <v>NEUFELD</v>
      </c>
      <c r="F38" s="82" t="s">
        <v>200</v>
      </c>
      <c r="G38" t="str">
        <f>'Nach Mannschaften sortiert'!H38</f>
        <v>Heim</v>
      </c>
      <c r="H38" t="str">
        <f>'Nach Mannschaften sortiert'!G38</f>
        <v>Tadten</v>
      </c>
      <c r="I38" t="str">
        <f>'Nach Mannschaften sortiert'!C38</f>
        <v>U23</v>
      </c>
      <c r="J38" s="82" t="s">
        <v>77</v>
      </c>
      <c r="K38" t="s">
        <v>80</v>
      </c>
      <c r="L38" t="s">
        <v>79</v>
      </c>
    </row>
    <row r="39" spans="2:12" x14ac:dyDescent="0.3">
      <c r="B39" s="93">
        <f>'Nach Mannschaften sortiert'!D39</f>
        <v>46270</v>
      </c>
      <c r="C39" s="94">
        <f>'Nach Mannschaften sortiert'!E39</f>
        <v>0.60416666666666663</v>
      </c>
      <c r="D39" s="94">
        <f t="shared" si="0"/>
        <v>0.67708333333333326</v>
      </c>
      <c r="E39" s="94" t="str">
        <f>UPPER('Nach Mannschaften sortiert'!F39)</f>
        <v>MÖNCHHOF</v>
      </c>
      <c r="F39" s="82" t="s">
        <v>202</v>
      </c>
      <c r="G39" t="str">
        <f>'Nach Mannschaften sortiert'!H39</f>
        <v>Auswärts</v>
      </c>
      <c r="H39" t="str">
        <f>'Nach Mannschaften sortiert'!G39</f>
        <v>Mönchhof</v>
      </c>
      <c r="I39" t="str">
        <f>'Nach Mannschaften sortiert'!C39</f>
        <v>U23</v>
      </c>
      <c r="J39" s="82" t="s">
        <v>77</v>
      </c>
      <c r="K39" t="s">
        <v>80</v>
      </c>
      <c r="L39" t="s">
        <v>79</v>
      </c>
    </row>
    <row r="40" spans="2:12" x14ac:dyDescent="0.3">
      <c r="B40" s="93">
        <f>'Nach Mannschaften sortiert'!D40</f>
        <v>46276</v>
      </c>
      <c r="C40" s="94">
        <f>'Nach Mannschaften sortiert'!E40</f>
        <v>0.72916666666666663</v>
      </c>
      <c r="D40" s="94">
        <f t="shared" si="0"/>
        <v>0.80208333333333326</v>
      </c>
      <c r="E40" s="94" t="str">
        <f>UPPER('Nach Mannschaften sortiert'!F40)</f>
        <v>NEUFELD</v>
      </c>
      <c r="F40" s="82" t="s">
        <v>207</v>
      </c>
      <c r="G40" t="str">
        <f>'Nach Mannschaften sortiert'!H40</f>
        <v>Heim</v>
      </c>
      <c r="H40" t="str">
        <f>'Nach Mannschaften sortiert'!G40</f>
        <v>Winden</v>
      </c>
      <c r="I40" t="str">
        <f>'Nach Mannschaften sortiert'!C40</f>
        <v>U23</v>
      </c>
      <c r="J40" s="82" t="s">
        <v>77</v>
      </c>
      <c r="K40" t="s">
        <v>80</v>
      </c>
      <c r="L40" t="s">
        <v>79</v>
      </c>
    </row>
    <row r="41" spans="2:12" x14ac:dyDescent="0.3">
      <c r="B41" s="93">
        <f>'Nach Mannschaften sortiert'!D41</f>
        <v>46284</v>
      </c>
      <c r="C41" s="94">
        <f>'Nach Mannschaften sortiert'!E41</f>
        <v>0.58333333333333337</v>
      </c>
      <c r="D41" s="94">
        <f t="shared" si="0"/>
        <v>0.65625</v>
      </c>
      <c r="E41" s="94" t="str">
        <f>UPPER('Nach Mannschaften sortiert'!F41)</f>
        <v>GATTENDORF</v>
      </c>
      <c r="F41" s="82" t="s">
        <v>213</v>
      </c>
      <c r="G41" t="str">
        <f>'Nach Mannschaften sortiert'!H41</f>
        <v>Auswärts</v>
      </c>
      <c r="H41" t="str">
        <f>'Nach Mannschaften sortiert'!G41</f>
        <v>Gattendorf</v>
      </c>
      <c r="I41" t="str">
        <f>'Nach Mannschaften sortiert'!C41</f>
        <v>U23</v>
      </c>
      <c r="J41" s="82" t="s">
        <v>77</v>
      </c>
      <c r="K41" t="s">
        <v>80</v>
      </c>
      <c r="L41" t="s">
        <v>79</v>
      </c>
    </row>
    <row r="42" spans="2:12" x14ac:dyDescent="0.3">
      <c r="B42" s="93">
        <f>'Nach Mannschaften sortiert'!D42</f>
        <v>46291</v>
      </c>
      <c r="C42" s="94">
        <f>'Nach Mannschaften sortiert'!E42</f>
        <v>0.66666666666666663</v>
      </c>
      <c r="D42" s="94">
        <f t="shared" si="0"/>
        <v>0.73958333333333326</v>
      </c>
      <c r="E42" s="94" t="str">
        <f>UPPER('Nach Mannschaften sortiert'!F42)</f>
        <v>NEUFELD</v>
      </c>
      <c r="F42" s="82" t="s">
        <v>221</v>
      </c>
      <c r="G42" t="str">
        <f>'Nach Mannschaften sortiert'!H42</f>
        <v>Heim</v>
      </c>
      <c r="H42" t="str">
        <f>'Nach Mannschaften sortiert'!G42</f>
        <v>Wallern</v>
      </c>
      <c r="I42" t="str">
        <f>'Nach Mannschaften sortiert'!C42</f>
        <v>U23</v>
      </c>
      <c r="J42" s="82" t="s">
        <v>77</v>
      </c>
      <c r="K42" t="s">
        <v>80</v>
      </c>
      <c r="L42" t="s">
        <v>79</v>
      </c>
    </row>
    <row r="43" spans="2:12" x14ac:dyDescent="0.3">
      <c r="B43" s="93">
        <f>'Nach Mannschaften sortiert'!D43</f>
        <v>46297</v>
      </c>
      <c r="C43" s="94">
        <f>'Nach Mannschaften sortiert'!E43</f>
        <v>0.72916666666666663</v>
      </c>
      <c r="D43" s="94">
        <f t="shared" si="0"/>
        <v>0.80208333333333326</v>
      </c>
      <c r="E43" s="94" t="str">
        <f>UPPER('Nach Mannschaften sortiert'!F43)</f>
        <v>SIEGENDORF</v>
      </c>
      <c r="F43" s="82" t="s">
        <v>224</v>
      </c>
      <c r="G43" t="str">
        <f>'Nach Mannschaften sortiert'!H43</f>
        <v>Auswärts</v>
      </c>
      <c r="H43" t="str">
        <f>'Nach Mannschaften sortiert'!G43</f>
        <v>Siegendorf</v>
      </c>
      <c r="I43" t="str">
        <f>'Nach Mannschaften sortiert'!C43</f>
        <v>U23</v>
      </c>
      <c r="J43" s="82" t="s">
        <v>77</v>
      </c>
      <c r="K43" t="s">
        <v>80</v>
      </c>
      <c r="L43" t="s">
        <v>79</v>
      </c>
    </row>
    <row r="44" spans="2:12" x14ac:dyDescent="0.3">
      <c r="B44" s="93">
        <f>'Nach Mannschaften sortiert'!D44</f>
        <v>46304</v>
      </c>
      <c r="C44" s="94">
        <f>'Nach Mannschaften sortiert'!E44</f>
        <v>0.72916666666666663</v>
      </c>
      <c r="D44" s="94">
        <f t="shared" si="0"/>
        <v>0.80208333333333326</v>
      </c>
      <c r="E44" s="94" t="str">
        <f>UPPER('Nach Mannschaften sortiert'!F44)</f>
        <v>NEUFELD</v>
      </c>
      <c r="F44" s="82" t="s">
        <v>229</v>
      </c>
      <c r="G44" t="str">
        <f>'Nach Mannschaften sortiert'!H44</f>
        <v>Heim</v>
      </c>
      <c r="H44" t="str">
        <f>'Nach Mannschaften sortiert'!G44</f>
        <v>Wimpassing</v>
      </c>
      <c r="I44" t="str">
        <f>'Nach Mannschaften sortiert'!C44</f>
        <v>U23</v>
      </c>
      <c r="J44" s="82" t="s">
        <v>77</v>
      </c>
      <c r="K44" t="s">
        <v>80</v>
      </c>
      <c r="L44" t="s">
        <v>79</v>
      </c>
    </row>
    <row r="45" spans="2:12" x14ac:dyDescent="0.3">
      <c r="B45" s="93">
        <f>'Nach Mannschaften sortiert'!D45</f>
        <v>46311</v>
      </c>
      <c r="C45" s="94">
        <f>'Nach Mannschaften sortiert'!E45</f>
        <v>0.72916666666666663</v>
      </c>
      <c r="D45" s="94">
        <f t="shared" si="0"/>
        <v>0.80208333333333326</v>
      </c>
      <c r="E45" s="94" t="str">
        <f>UPPER('Nach Mannschaften sortiert'!F45)</f>
        <v>HORNSTEIN</v>
      </c>
      <c r="F45" s="82" t="s">
        <v>241</v>
      </c>
      <c r="G45" t="str">
        <f>'Nach Mannschaften sortiert'!H45</f>
        <v>Auswärts</v>
      </c>
      <c r="H45" t="str">
        <f>'Nach Mannschaften sortiert'!G45</f>
        <v>Hornstein</v>
      </c>
      <c r="I45" t="str">
        <f>'Nach Mannschaften sortiert'!C45</f>
        <v>U23</v>
      </c>
      <c r="J45" s="82" t="s">
        <v>77</v>
      </c>
      <c r="K45" t="s">
        <v>80</v>
      </c>
      <c r="L45" t="s">
        <v>79</v>
      </c>
    </row>
    <row r="46" spans="2:12" x14ac:dyDescent="0.3">
      <c r="B46" s="93">
        <f>'Nach Mannschaften sortiert'!D46</f>
        <v>46318</v>
      </c>
      <c r="C46" s="94">
        <f>'Nach Mannschaften sortiert'!E46</f>
        <v>0.72916666666666663</v>
      </c>
      <c r="D46" s="94">
        <f t="shared" si="0"/>
        <v>0.80208333333333326</v>
      </c>
      <c r="E46" s="94" t="str">
        <f>UPPER('Nach Mannschaften sortiert'!F46)</f>
        <v>NEUFELD</v>
      </c>
      <c r="G46" t="str">
        <f>'Nach Mannschaften sortiert'!H46</f>
        <v>Heim</v>
      </c>
      <c r="H46" t="str">
        <f>'Nach Mannschaften sortiert'!G46</f>
        <v>Gols</v>
      </c>
      <c r="I46" t="str">
        <f>'Nach Mannschaften sortiert'!C46</f>
        <v>U23</v>
      </c>
      <c r="J46" s="82" t="s">
        <v>77</v>
      </c>
      <c r="K46" t="s">
        <v>80</v>
      </c>
      <c r="L46" t="s">
        <v>79</v>
      </c>
    </row>
    <row r="47" spans="2:12" x14ac:dyDescent="0.3">
      <c r="B47" s="93">
        <f>'Nach Mannschaften sortiert'!D47</f>
        <v>46326</v>
      </c>
      <c r="C47" s="94">
        <f>'Nach Mannschaften sortiert'!E47</f>
        <v>0.66666666666666663</v>
      </c>
      <c r="D47" s="94">
        <f t="shared" si="0"/>
        <v>0.73958333333333326</v>
      </c>
      <c r="E47" s="94" t="str">
        <f>UPPER('Nach Mannschaften sortiert'!F47)</f>
        <v>ILLMITZ</v>
      </c>
      <c r="G47" t="str">
        <f>'Nach Mannschaften sortiert'!H47</f>
        <v>Auswärts</v>
      </c>
      <c r="H47" t="str">
        <f>'Nach Mannschaften sortiert'!G47</f>
        <v>Illmitz</v>
      </c>
      <c r="I47" t="str">
        <f>'Nach Mannschaften sortiert'!C47</f>
        <v>U23</v>
      </c>
      <c r="J47" s="82" t="s">
        <v>77</v>
      </c>
      <c r="K47" t="s">
        <v>80</v>
      </c>
      <c r="L47" t="s">
        <v>79</v>
      </c>
    </row>
    <row r="48" spans="2:12" x14ac:dyDescent="0.3">
      <c r="B48" s="93">
        <f>'Nach Mannschaften sortiert'!D48</f>
        <v>46333</v>
      </c>
      <c r="C48" s="94">
        <f>'Nach Mannschaften sortiert'!E48</f>
        <v>0.60416666666666663</v>
      </c>
      <c r="D48" s="94">
        <f t="shared" si="0"/>
        <v>0.67708333333333326</v>
      </c>
      <c r="E48" s="94" t="str">
        <f>UPPER('Nach Mannschaften sortiert'!F48)</f>
        <v>NEUFELD</v>
      </c>
      <c r="G48" t="str">
        <f>'Nach Mannschaften sortiert'!H48</f>
        <v>Heim</v>
      </c>
      <c r="H48" t="str">
        <f>'Nach Mannschaften sortiert'!G48</f>
        <v>Andau</v>
      </c>
      <c r="I48" t="str">
        <f>'Nach Mannschaften sortiert'!C48</f>
        <v>U23</v>
      </c>
      <c r="J48" s="82" t="s">
        <v>77</v>
      </c>
      <c r="K48" t="s">
        <v>80</v>
      </c>
      <c r="L48" t="s">
        <v>79</v>
      </c>
    </row>
    <row r="49" spans="2:12" x14ac:dyDescent="0.3">
      <c r="B49" s="93">
        <f>'Nach Mannschaften sortiert'!D49</f>
        <v>46271</v>
      </c>
      <c r="C49" s="94">
        <f>'Nach Mannschaften sortiert'!E49</f>
        <v>0</v>
      </c>
      <c r="D49" s="94">
        <f t="shared" si="0"/>
        <v>7.2916666666666671E-2</v>
      </c>
      <c r="E49" s="94" t="str">
        <f>UPPER('Nach Mannschaften sortiert'!F49)</f>
        <v/>
      </c>
      <c r="G49">
        <f>'Nach Mannschaften sortiert'!H49</f>
        <v>0</v>
      </c>
      <c r="H49" t="str">
        <f>'Nach Mannschaften sortiert'!G49</f>
        <v>Spielfrei</v>
      </c>
      <c r="I49" t="str">
        <f>'Nach Mannschaften sortiert'!C49</f>
        <v>U16</v>
      </c>
      <c r="J49" s="82" t="s">
        <v>192</v>
      </c>
      <c r="K49" t="s">
        <v>80</v>
      </c>
      <c r="L49" t="s">
        <v>79</v>
      </c>
    </row>
    <row r="50" spans="2:12" x14ac:dyDescent="0.3">
      <c r="B50" s="93">
        <f>'Nach Mannschaften sortiert'!D50</f>
        <v>46277</v>
      </c>
      <c r="C50" s="94">
        <f>'Nach Mannschaften sortiert'!E50</f>
        <v>0.52083333333333337</v>
      </c>
      <c r="D50" s="94">
        <f t="shared" si="0"/>
        <v>0.59375</v>
      </c>
      <c r="E50" s="94" t="str">
        <f>UPPER('Nach Mannschaften sortiert'!F50)</f>
        <v>GOLS</v>
      </c>
      <c r="F50" s="82" t="s">
        <v>210</v>
      </c>
      <c r="G50" t="str">
        <f>'Nach Mannschaften sortiert'!H50</f>
        <v>Auswärts</v>
      </c>
      <c r="H50" t="str">
        <f>'Nach Mannschaften sortiert'!G50</f>
        <v>GMWP</v>
      </c>
      <c r="I50" t="str">
        <f>'Nach Mannschaften sortiert'!C50</f>
        <v>U16</v>
      </c>
      <c r="J50" s="82" t="s">
        <v>77</v>
      </c>
      <c r="K50" t="s">
        <v>80</v>
      </c>
      <c r="L50" t="s">
        <v>79</v>
      </c>
    </row>
    <row r="51" spans="2:12" x14ac:dyDescent="0.3">
      <c r="B51" s="93">
        <f>'Nach Mannschaften sortiert'!D51</f>
        <v>46284</v>
      </c>
      <c r="C51" s="94">
        <f>'Nach Mannschaften sortiert'!E51</f>
        <v>0.70833333333333337</v>
      </c>
      <c r="D51" s="94">
        <f t="shared" si="0"/>
        <v>0.78125</v>
      </c>
      <c r="E51" s="94" t="str">
        <f>UPPER('Nach Mannschaften sortiert'!F51)</f>
        <v>WIMPASSING</v>
      </c>
      <c r="F51" s="82" t="s">
        <v>214</v>
      </c>
      <c r="G51" t="str">
        <f>'Nach Mannschaften sortiert'!H51</f>
        <v>Heim</v>
      </c>
      <c r="H51" t="str">
        <f>'Nach Mannschaften sortiert'!G51</f>
        <v>Eisenstadt</v>
      </c>
      <c r="I51" t="str">
        <f>'Nach Mannschaften sortiert'!C51</f>
        <v>U16</v>
      </c>
      <c r="J51" s="82" t="s">
        <v>77</v>
      </c>
      <c r="K51" t="s">
        <v>80</v>
      </c>
      <c r="L51" t="s">
        <v>79</v>
      </c>
    </row>
    <row r="52" spans="2:12" x14ac:dyDescent="0.3">
      <c r="B52" s="93">
        <f>'Nach Mannschaften sortiert'!D52</f>
        <v>46292</v>
      </c>
      <c r="C52" s="94">
        <f>'Nach Mannschaften sortiert'!E52</f>
        <v>0.70833333333333337</v>
      </c>
      <c r="D52" s="94">
        <f t="shared" si="0"/>
        <v>0.78125</v>
      </c>
      <c r="E52" s="94" t="str">
        <f>UPPER('Nach Mannschaften sortiert'!F52)</f>
        <v>GROßHÖFLEIN</v>
      </c>
      <c r="F52" s="82" t="s">
        <v>224</v>
      </c>
      <c r="G52" t="str">
        <f>'Nach Mannschaften sortiert'!H52</f>
        <v>Auswärts</v>
      </c>
      <c r="H52" t="str">
        <f>'Nach Mannschaften sortiert'!G52</f>
        <v>Großhöflein</v>
      </c>
      <c r="I52" t="str">
        <f>'Nach Mannschaften sortiert'!C52</f>
        <v>U16</v>
      </c>
      <c r="J52" s="82" t="s">
        <v>77</v>
      </c>
      <c r="K52" t="s">
        <v>80</v>
      </c>
      <c r="L52" t="s">
        <v>79</v>
      </c>
    </row>
    <row r="53" spans="2:12" x14ac:dyDescent="0.3">
      <c r="B53" s="93">
        <f>'Nach Mannschaften sortiert'!D53</f>
        <v>46298</v>
      </c>
      <c r="C53" s="94">
        <f>'Nach Mannschaften sortiert'!E53</f>
        <v>0.58333333333333337</v>
      </c>
      <c r="D53" s="94">
        <f t="shared" si="0"/>
        <v>0.65625</v>
      </c>
      <c r="E53" s="94" t="str">
        <f>UPPER('Nach Mannschaften sortiert'!F53)</f>
        <v>NEUFELD</v>
      </c>
      <c r="F53" s="82" t="s">
        <v>214</v>
      </c>
      <c r="G53" t="str">
        <f>'Nach Mannschaften sortiert'!H53</f>
        <v>Heim</v>
      </c>
      <c r="H53" t="str">
        <f>'Nach Mannschaften sortiert'!G53</f>
        <v>Neusiedl</v>
      </c>
      <c r="I53" t="str">
        <f>'Nach Mannschaften sortiert'!C53</f>
        <v>U16</v>
      </c>
      <c r="J53" s="82" t="s">
        <v>77</v>
      </c>
      <c r="K53" t="s">
        <v>80</v>
      </c>
      <c r="L53" t="s">
        <v>79</v>
      </c>
    </row>
    <row r="54" spans="2:12" x14ac:dyDescent="0.3">
      <c r="B54" s="93">
        <f>'Nach Mannschaften sortiert'!D54</f>
        <v>46305</v>
      </c>
      <c r="C54" s="94">
        <f>'Nach Mannschaften sortiert'!E54</f>
        <v>0.66666666666666663</v>
      </c>
      <c r="D54" s="94">
        <f t="shared" si="0"/>
        <v>0.73958333333333326</v>
      </c>
      <c r="E54" s="94" t="str">
        <f>UPPER('Nach Mannschaften sortiert'!F54)</f>
        <v>NEUFELD</v>
      </c>
      <c r="F54" s="82" t="s">
        <v>220</v>
      </c>
      <c r="G54" t="str">
        <f>'Nach Mannschaften sortiert'!H54</f>
        <v>Heim</v>
      </c>
      <c r="H54" t="str">
        <f>'Nach Mannschaften sortiert'!G54</f>
        <v>Parndorf</v>
      </c>
      <c r="I54" t="str">
        <f>'Nach Mannschaften sortiert'!C54</f>
        <v>U16</v>
      </c>
      <c r="J54" s="82" t="s">
        <v>77</v>
      </c>
      <c r="K54" t="s">
        <v>80</v>
      </c>
      <c r="L54" t="s">
        <v>79</v>
      </c>
    </row>
    <row r="55" spans="2:12" x14ac:dyDescent="0.3">
      <c r="B55" s="93">
        <f>'Nach Mannschaften sortiert'!D55</f>
        <v>46311</v>
      </c>
      <c r="C55" s="94">
        <f>'Nach Mannschaften sortiert'!E55</f>
        <v>0.75</v>
      </c>
      <c r="D55" s="94">
        <f t="shared" si="0"/>
        <v>0.82291666666666663</v>
      </c>
      <c r="E55" s="94" t="str">
        <f>UPPER('Nach Mannschaften sortiert'!F55)</f>
        <v>ST. GEORGEN</v>
      </c>
      <c r="F55" s="82" t="s">
        <v>214</v>
      </c>
      <c r="G55" t="str">
        <f>'Nach Mannschaften sortiert'!H55</f>
        <v>Auswärts</v>
      </c>
      <c r="H55" t="str">
        <f>'Nach Mannschaften sortiert'!G55</f>
        <v>St. Georgen/Eisenstadt</v>
      </c>
      <c r="I55" t="str">
        <f>'Nach Mannschaften sortiert'!C55</f>
        <v>U16</v>
      </c>
      <c r="J55" s="82" t="s">
        <v>77</v>
      </c>
      <c r="K55" t="s">
        <v>80</v>
      </c>
      <c r="L55" t="s">
        <v>79</v>
      </c>
    </row>
    <row r="56" spans="2:12" x14ac:dyDescent="0.3">
      <c r="B56" s="93">
        <f>'Nach Mannschaften sortiert'!D56</f>
        <v>46320</v>
      </c>
      <c r="C56" s="94">
        <f>'Nach Mannschaften sortiert'!E56</f>
        <v>0</v>
      </c>
      <c r="D56" s="94">
        <f t="shared" si="0"/>
        <v>7.2916666666666671E-2</v>
      </c>
      <c r="E56" s="94" t="str">
        <f>UPPER('Nach Mannschaften sortiert'!F56)</f>
        <v/>
      </c>
      <c r="G56">
        <f>'Nach Mannschaften sortiert'!H56</f>
        <v>0</v>
      </c>
      <c r="H56" t="str">
        <f>'Nach Mannschaften sortiert'!G56</f>
        <v>Spielfrei</v>
      </c>
      <c r="I56" t="str">
        <f>'Nach Mannschaften sortiert'!C56</f>
        <v>U16</v>
      </c>
      <c r="J56" s="82" t="s">
        <v>192</v>
      </c>
      <c r="K56" t="s">
        <v>80</v>
      </c>
      <c r="L56" t="s">
        <v>79</v>
      </c>
    </row>
    <row r="57" spans="2:12" x14ac:dyDescent="0.3">
      <c r="B57" s="93">
        <f>'Nach Mannschaften sortiert'!D57</f>
        <v>46326</v>
      </c>
      <c r="C57" s="94">
        <f>'Nach Mannschaften sortiert'!E57</f>
        <v>0.60416666666666663</v>
      </c>
      <c r="D57" s="94">
        <f t="shared" si="0"/>
        <v>0.67708333333333326</v>
      </c>
      <c r="E57" s="94" t="str">
        <f>UPPER('Nach Mannschaften sortiert'!F57)</f>
        <v>NEUFELD</v>
      </c>
      <c r="G57" t="str">
        <f>'Nach Mannschaften sortiert'!H57</f>
        <v>Heim</v>
      </c>
      <c r="H57" t="str">
        <f>'Nach Mannschaften sortiert'!G57</f>
        <v>SPG GMWP</v>
      </c>
      <c r="I57" t="str">
        <f>'Nach Mannschaften sortiert'!C57</f>
        <v>U16</v>
      </c>
      <c r="J57" s="82" t="s">
        <v>77</v>
      </c>
      <c r="K57" t="s">
        <v>80</v>
      </c>
      <c r="L57" t="s">
        <v>79</v>
      </c>
    </row>
    <row r="58" spans="2:12" x14ac:dyDescent="0.3">
      <c r="B58" s="93">
        <f>'Nach Mannschaften sortiert'!D58</f>
        <v>46333</v>
      </c>
      <c r="C58" s="94">
        <f>'Nach Mannschaften sortiert'!E58</f>
        <v>0.54166666666666663</v>
      </c>
      <c r="D58" s="94">
        <f t="shared" si="0"/>
        <v>0.61458333333333326</v>
      </c>
      <c r="E58" s="94" t="str">
        <f>UPPER('Nach Mannschaften sortiert'!F58)</f>
        <v>TRAUSDORF</v>
      </c>
      <c r="G58" t="str">
        <f>'Nach Mannschaften sortiert'!H58</f>
        <v>Auswärts</v>
      </c>
      <c r="H58" t="str">
        <f>'Nach Mannschaften sortiert'!G58</f>
        <v>Eisenstadt</v>
      </c>
      <c r="I58" t="str">
        <f>'Nach Mannschaften sortiert'!C58</f>
        <v>U16</v>
      </c>
      <c r="J58" s="82" t="s">
        <v>77</v>
      </c>
      <c r="K58" t="s">
        <v>80</v>
      </c>
      <c r="L58" t="s">
        <v>79</v>
      </c>
    </row>
    <row r="59" spans="2:12" x14ac:dyDescent="0.3">
      <c r="B59" s="93">
        <f>'Nach Mannschaften sortiert'!D59</f>
        <v>46340</v>
      </c>
      <c r="C59" s="94">
        <f>'Nach Mannschaften sortiert'!E59</f>
        <v>0.625</v>
      </c>
      <c r="D59" s="94">
        <f t="shared" si="0"/>
        <v>0.69791666666666663</v>
      </c>
      <c r="E59" s="94" t="str">
        <f>UPPER('Nach Mannschaften sortiert'!F59)</f>
        <v>NEUFELD</v>
      </c>
      <c r="G59" t="str">
        <f>'Nach Mannschaften sortiert'!H59</f>
        <v>Heim</v>
      </c>
      <c r="H59" t="str">
        <f>'Nach Mannschaften sortiert'!G59</f>
        <v>Großhöflein</v>
      </c>
      <c r="I59" t="str">
        <f>'Nach Mannschaften sortiert'!C59</f>
        <v>U16</v>
      </c>
      <c r="J59" s="82" t="s">
        <v>77</v>
      </c>
      <c r="K59" t="s">
        <v>80</v>
      </c>
      <c r="L59" t="s">
        <v>79</v>
      </c>
    </row>
    <row r="60" spans="2:12" x14ac:dyDescent="0.3">
      <c r="B60" s="93">
        <f>'Nach Mannschaften sortiert'!D60</f>
        <v>46270</v>
      </c>
      <c r="C60" s="94">
        <f>'Nach Mannschaften sortiert'!E60</f>
        <v>0.4375</v>
      </c>
      <c r="D60" s="94">
        <f t="shared" si="0"/>
        <v>0.5</v>
      </c>
      <c r="E60" s="94" t="str">
        <f>UPPER('Nach Mannschaften sortiert'!F60)</f>
        <v>GROßHÖFLEIN</v>
      </c>
      <c r="F60" s="82" t="s">
        <v>204</v>
      </c>
      <c r="G60" t="str">
        <f>'Nach Mannschaften sortiert'!H60</f>
        <v>Heim</v>
      </c>
      <c r="H60" t="str">
        <f>'Nach Mannschaften sortiert'!G60</f>
        <v>St. Georgen/Eisenstadt</v>
      </c>
      <c r="I60" t="str">
        <f>'Nach Mannschaften sortiert'!C60</f>
        <v>U14</v>
      </c>
      <c r="J60" s="82" t="s">
        <v>77</v>
      </c>
      <c r="K60" t="s">
        <v>80</v>
      </c>
      <c r="L60" t="s">
        <v>79</v>
      </c>
    </row>
    <row r="61" spans="2:12" x14ac:dyDescent="0.3">
      <c r="B61" s="93">
        <f>'Nach Mannschaften sortiert'!D61</f>
        <v>46288</v>
      </c>
      <c r="C61" s="94">
        <f>'Nach Mannschaften sortiert'!E61</f>
        <v>0.79166666666666663</v>
      </c>
      <c r="D61" s="94">
        <f t="shared" si="0"/>
        <v>0.85416666666666663</v>
      </c>
      <c r="E61" s="94" t="str">
        <f>UPPER('Nach Mannschaften sortiert'!F61)</f>
        <v>NEUDÖRFL</v>
      </c>
      <c r="F61" s="82" t="s">
        <v>217</v>
      </c>
      <c r="G61" t="str">
        <f>'Nach Mannschaften sortiert'!H61</f>
        <v>Auswärts</v>
      </c>
      <c r="H61" t="str">
        <f>'Nach Mannschaften sortiert'!G61</f>
        <v>Neudörfl</v>
      </c>
      <c r="I61" t="str">
        <f>'Nach Mannschaften sortiert'!C61</f>
        <v>U14</v>
      </c>
      <c r="J61" s="82" t="s">
        <v>77</v>
      </c>
      <c r="K61" t="s">
        <v>80</v>
      </c>
      <c r="L61" t="s">
        <v>79</v>
      </c>
    </row>
    <row r="62" spans="2:12" x14ac:dyDescent="0.3">
      <c r="B62" s="93">
        <f>'Nach Mannschaften sortiert'!D62</f>
        <v>46284</v>
      </c>
      <c r="C62" s="94">
        <f>'Nach Mannschaften sortiert'!E62</f>
        <v>0.66666666666666663</v>
      </c>
      <c r="D62" s="94">
        <f t="shared" si="0"/>
        <v>0.72916666666666663</v>
      </c>
      <c r="E62" s="94" t="str">
        <f>UPPER('Nach Mannschaften sortiert'!F62)</f>
        <v>GROßHÖFLEIN</v>
      </c>
      <c r="F62" s="82" t="s">
        <v>215</v>
      </c>
      <c r="G62" t="str">
        <f>'Nach Mannschaften sortiert'!H62</f>
        <v>Heim</v>
      </c>
      <c r="H62" t="str">
        <f>'Nach Mannschaften sortiert'!G62</f>
        <v>Parndorf</v>
      </c>
      <c r="I62" t="str">
        <f>'Nach Mannschaften sortiert'!C62</f>
        <v>U14</v>
      </c>
      <c r="J62" s="82" t="s">
        <v>77</v>
      </c>
      <c r="K62" t="s">
        <v>80</v>
      </c>
      <c r="L62" t="s">
        <v>79</v>
      </c>
    </row>
    <row r="63" spans="2:12" x14ac:dyDescent="0.3">
      <c r="B63" s="93">
        <f>'Nach Mannschaften sortiert'!D63</f>
        <v>46292</v>
      </c>
      <c r="C63" s="94">
        <f>'Nach Mannschaften sortiert'!E63</f>
        <v>0.4375</v>
      </c>
      <c r="D63" s="94">
        <f t="shared" si="0"/>
        <v>0.5</v>
      </c>
      <c r="E63" s="94" t="str">
        <f>UPPER('Nach Mannschaften sortiert'!F63)</f>
        <v>GROßHÖFLEIN</v>
      </c>
      <c r="F63" s="82" t="s">
        <v>222</v>
      </c>
      <c r="G63" t="str">
        <f>'Nach Mannschaften sortiert'!H63</f>
        <v>Heim</v>
      </c>
      <c r="H63" t="str">
        <f>'Nach Mannschaften sortiert'!G63</f>
        <v>SPG Seewinkel</v>
      </c>
      <c r="I63" t="str">
        <f>'Nach Mannschaften sortiert'!C63</f>
        <v>U14</v>
      </c>
      <c r="J63" s="82" t="s">
        <v>77</v>
      </c>
      <c r="K63" t="s">
        <v>80</v>
      </c>
      <c r="L63" t="s">
        <v>79</v>
      </c>
    </row>
    <row r="64" spans="2:12" x14ac:dyDescent="0.3">
      <c r="B64" s="93">
        <f>'Nach Mannschaften sortiert'!D64</f>
        <v>46298</v>
      </c>
      <c r="C64" s="94">
        <f>'Nach Mannschaften sortiert'!E64</f>
        <v>0.70833333333333337</v>
      </c>
      <c r="D64" s="94">
        <f t="shared" si="0"/>
        <v>0.77083333333333337</v>
      </c>
      <c r="E64" s="94" t="str">
        <f>UPPER('Nach Mannschaften sortiert'!F64)</f>
        <v>DRAßBURG</v>
      </c>
      <c r="F64" s="82" t="s">
        <v>228</v>
      </c>
      <c r="G64" t="str">
        <f>'Nach Mannschaften sortiert'!H64</f>
        <v>Auswärts</v>
      </c>
      <c r="H64" t="str">
        <f>'Nach Mannschaften sortiert'!G64</f>
        <v>SPG Draßburg/ZSP/Kemeten</v>
      </c>
      <c r="I64" t="str">
        <f>'Nach Mannschaften sortiert'!C64</f>
        <v>U14</v>
      </c>
      <c r="J64" s="82" t="s">
        <v>77</v>
      </c>
      <c r="K64" t="s">
        <v>80</v>
      </c>
      <c r="L64" t="s">
        <v>79</v>
      </c>
    </row>
    <row r="65" spans="2:12" x14ac:dyDescent="0.3">
      <c r="B65" s="93">
        <f>'Nach Mannschaften sortiert'!D65</f>
        <v>46306</v>
      </c>
      <c r="C65" s="94">
        <f>'Nach Mannschaften sortiert'!E65</f>
        <v>0.45833333333333331</v>
      </c>
      <c r="D65" s="94">
        <f t="shared" si="0"/>
        <v>0.52083333333333326</v>
      </c>
      <c r="E65" s="94" t="str">
        <f>UPPER('Nach Mannschaften sortiert'!F65)</f>
        <v>NEUFELD</v>
      </c>
      <c r="G65" t="str">
        <f>'Nach Mannschaften sortiert'!H65</f>
        <v>Heim</v>
      </c>
      <c r="H65" t="str">
        <f>'Nach Mannschaften sortiert'!G65</f>
        <v>SPG Pubach/Breitenbrunn/Winden</v>
      </c>
      <c r="I65" t="str">
        <f>'Nach Mannschaften sortiert'!C65</f>
        <v>U14</v>
      </c>
      <c r="J65" s="82" t="s">
        <v>77</v>
      </c>
      <c r="K65" t="s">
        <v>80</v>
      </c>
      <c r="L65" t="s">
        <v>79</v>
      </c>
    </row>
    <row r="66" spans="2:12" x14ac:dyDescent="0.3">
      <c r="B66" s="93">
        <f>'Nach Mannschaften sortiert'!D66</f>
        <v>46313</v>
      </c>
      <c r="C66" s="94">
        <f>'Nach Mannschaften sortiert'!E66</f>
        <v>0.45833333333333331</v>
      </c>
      <c r="D66" s="94">
        <f t="shared" si="0"/>
        <v>0.52083333333333326</v>
      </c>
      <c r="E66" s="94" t="str">
        <f>UPPER('Nach Mannschaften sortiert'!F66)</f>
        <v>KEMETEN</v>
      </c>
      <c r="G66" t="str">
        <f>'Nach Mannschaften sortiert'!H66</f>
        <v>Auswärts</v>
      </c>
      <c r="H66" t="str">
        <f>'Nach Mannschaften sortiert'!G66</f>
        <v>Kemeten</v>
      </c>
      <c r="I66" t="str">
        <f>'Nach Mannschaften sortiert'!C66</f>
        <v>U14</v>
      </c>
      <c r="J66" s="82" t="s">
        <v>77</v>
      </c>
      <c r="K66" t="s">
        <v>80</v>
      </c>
      <c r="L66" t="s">
        <v>79</v>
      </c>
    </row>
    <row r="67" spans="2:12" x14ac:dyDescent="0.3">
      <c r="B67" s="93">
        <f>'Nach Mannschaften sortiert'!D67</f>
        <v>46320</v>
      </c>
      <c r="C67" s="94">
        <f>'Nach Mannschaften sortiert'!E67</f>
        <v>0.58333333333333337</v>
      </c>
      <c r="D67" s="94">
        <f t="shared" si="0"/>
        <v>0.64583333333333337</v>
      </c>
      <c r="E67" s="94" t="str">
        <f>UPPER('Nach Mannschaften sortiert'!F67)</f>
        <v>NEUFELD</v>
      </c>
      <c r="G67" t="str">
        <f>'Nach Mannschaften sortiert'!H67</f>
        <v>Heim</v>
      </c>
      <c r="H67" t="str">
        <f>'Nach Mannschaften sortiert'!G67</f>
        <v>MSV 2020</v>
      </c>
      <c r="I67" t="str">
        <f>'Nach Mannschaften sortiert'!C67</f>
        <v>U14</v>
      </c>
      <c r="J67" s="82" t="s">
        <v>77</v>
      </c>
      <c r="K67" t="s">
        <v>80</v>
      </c>
      <c r="L67" t="s">
        <v>79</v>
      </c>
    </row>
    <row r="68" spans="2:12" x14ac:dyDescent="0.3">
      <c r="B68" s="93">
        <f>'Nach Mannschaften sortiert'!D68</f>
        <v>46326</v>
      </c>
      <c r="C68" s="94">
        <f>'Nach Mannschaften sortiert'!E68</f>
        <v>0.58333333333333337</v>
      </c>
      <c r="D68" s="94">
        <f t="shared" ref="D68:D131" si="2">IF(I68="KM",C68+"1:45",IF(I68="U23",C68+"1:45",IF(I68="U16",C68+"1:45",IF(I68="U15",C68+"1:30",IF(I68="U14",C68+"1:30",IF(I68="U13",C68+"1:35",IF(I68="U12_1",C68+"1:10",IF(I68="U12_2",C68+"1:10",IF(I68="U11",C68+"1:10",IF(I68="U10",C68+"1:03",IF(I68="U9",C68+"1:03",C68+"3:00")))))))))))</f>
        <v>0.64583333333333337</v>
      </c>
      <c r="E68" s="94" t="str">
        <f>UPPER('Nach Mannschaften sortiert'!F68)</f>
        <v>GOLS</v>
      </c>
      <c r="G68" t="str">
        <f>'Nach Mannschaften sortiert'!H68</f>
        <v>Auswärts</v>
      </c>
      <c r="H68" t="str">
        <f>'Nach Mannschaften sortiert'!G68</f>
        <v>GMWP</v>
      </c>
      <c r="I68" t="str">
        <f>'Nach Mannschaften sortiert'!C68</f>
        <v>U14</v>
      </c>
      <c r="J68" s="82" t="s">
        <v>77</v>
      </c>
      <c r="K68" t="s">
        <v>80</v>
      </c>
      <c r="L68" t="s">
        <v>79</v>
      </c>
    </row>
    <row r="69" spans="2:12" x14ac:dyDescent="0.3">
      <c r="B69" s="93">
        <f>'Nach Mannschaften sortiert'!D69</f>
        <v>46270</v>
      </c>
      <c r="C69" s="94">
        <f>'Nach Mannschaften sortiert'!E69</f>
        <v>0.58333333333333337</v>
      </c>
      <c r="D69" s="94">
        <f t="shared" si="2"/>
        <v>0.63194444444444453</v>
      </c>
      <c r="E69" s="94" t="str">
        <f>UPPER('Nach Mannschaften sortiert'!F69)</f>
        <v>STEINBRUNN</v>
      </c>
      <c r="F69" s="82" t="s">
        <v>206</v>
      </c>
      <c r="G69" t="str">
        <f>'Nach Mannschaften sortiert'!H69</f>
        <v>Heim</v>
      </c>
      <c r="H69" t="str">
        <f>'Nach Mannschaften sortiert'!G69</f>
        <v>Stotzing</v>
      </c>
      <c r="I69" t="str">
        <f>'Nach Mannschaften sortiert'!C69</f>
        <v>U12_1</v>
      </c>
      <c r="J69" s="82" t="s">
        <v>77</v>
      </c>
      <c r="K69" t="s">
        <v>80</v>
      </c>
      <c r="L69" t="s">
        <v>79</v>
      </c>
    </row>
    <row r="70" spans="2:12" x14ac:dyDescent="0.3">
      <c r="B70" s="93">
        <f>'Nach Mannschaften sortiert'!D70</f>
        <v>46277</v>
      </c>
      <c r="C70" s="94">
        <f>'Nach Mannschaften sortiert'!E70</f>
        <v>0.47916666666666669</v>
      </c>
      <c r="D70" s="94">
        <f t="shared" si="2"/>
        <v>0.52777777777777779</v>
      </c>
      <c r="E70" s="94" t="str">
        <f>UPPER('Nach Mannschaften sortiert'!F70)</f>
        <v>KLINGENBACH</v>
      </c>
      <c r="F70" s="82" t="s">
        <v>208</v>
      </c>
      <c r="G70" t="str">
        <f>'Nach Mannschaften sortiert'!H70</f>
        <v>Auswärts</v>
      </c>
      <c r="H70" t="str">
        <f>'Nach Mannschaften sortiert'!G70</f>
        <v>SPG Klimpuh Juniors</v>
      </c>
      <c r="I70" t="str">
        <f>'Nach Mannschaften sortiert'!C70</f>
        <v>U12_1</v>
      </c>
      <c r="J70" s="82" t="s">
        <v>77</v>
      </c>
      <c r="K70" t="s">
        <v>80</v>
      </c>
      <c r="L70" t="s">
        <v>79</v>
      </c>
    </row>
    <row r="71" spans="2:12" x14ac:dyDescent="0.3">
      <c r="B71" s="93">
        <f>'Nach Mannschaften sortiert'!D71</f>
        <v>46287</v>
      </c>
      <c r="C71" s="94">
        <f>'Nach Mannschaften sortiert'!E71</f>
        <v>0.72916666666666663</v>
      </c>
      <c r="D71" s="94">
        <f t="shared" si="2"/>
        <v>0.77777777777777779</v>
      </c>
      <c r="E71" s="94" t="str">
        <f>UPPER('Nach Mannschaften sortiert'!F71)</f>
        <v>NEUFELD</v>
      </c>
      <c r="F71" s="82" t="s">
        <v>237</v>
      </c>
      <c r="G71" t="str">
        <f>'Nach Mannschaften sortiert'!H71</f>
        <v>Heim</v>
      </c>
      <c r="H71" t="str">
        <f>'Nach Mannschaften sortiert'!G71</f>
        <v>Leithaprodersdorf</v>
      </c>
      <c r="I71" t="str">
        <f>'Nach Mannschaften sortiert'!C71</f>
        <v>U12_1</v>
      </c>
      <c r="J71" s="82" t="s">
        <v>77</v>
      </c>
      <c r="K71" t="s">
        <v>80</v>
      </c>
      <c r="L71" t="s">
        <v>79</v>
      </c>
    </row>
    <row r="72" spans="2:12" x14ac:dyDescent="0.3">
      <c r="B72" s="93">
        <f>'Nach Mannschaften sortiert'!D72</f>
        <v>46291</v>
      </c>
      <c r="C72" s="94">
        <f>'Nach Mannschaften sortiert'!E72</f>
        <v>0.5</v>
      </c>
      <c r="D72" s="94">
        <f t="shared" si="2"/>
        <v>0.54861111111111116</v>
      </c>
      <c r="E72" s="94" t="str">
        <f>UPPER('Nach Mannschaften sortiert'!F72)</f>
        <v>EISENSTADT</v>
      </c>
      <c r="F72" s="82" t="s">
        <v>238</v>
      </c>
      <c r="G72" t="str">
        <f>'Nach Mannschaften sortiert'!H72</f>
        <v>Auswärts</v>
      </c>
      <c r="H72" t="str">
        <f>'Nach Mannschaften sortiert'!G72</f>
        <v>SC "muki" Eisenstadt/Rust</v>
      </c>
      <c r="I72" t="str">
        <f>'Nach Mannschaften sortiert'!C72</f>
        <v>U12_1</v>
      </c>
      <c r="J72" s="82" t="s">
        <v>77</v>
      </c>
      <c r="K72" t="s">
        <v>80</v>
      </c>
      <c r="L72" t="s">
        <v>79</v>
      </c>
    </row>
    <row r="73" spans="2:12" x14ac:dyDescent="0.3">
      <c r="B73" s="93">
        <f>'Nach Mannschaften sortiert'!D73</f>
        <v>46307</v>
      </c>
      <c r="C73" s="94">
        <f>'Nach Mannschaften sortiert'!E73</f>
        <v>0.72916666666666663</v>
      </c>
      <c r="D73" s="94">
        <f t="shared" si="2"/>
        <v>0.77777777777777779</v>
      </c>
      <c r="E73" s="94" t="str">
        <f>UPPER('Nach Mannschaften sortiert'!F73)</f>
        <v>STEINBRUNN</v>
      </c>
      <c r="F73" s="82" t="s">
        <v>235</v>
      </c>
      <c r="G73" t="str">
        <f>'Nach Mannschaften sortiert'!H73</f>
        <v>Heim</v>
      </c>
      <c r="H73" t="str">
        <f>'Nach Mannschaften sortiert'!G73</f>
        <v>Hornstein/Wimpasing</v>
      </c>
      <c r="I73" t="str">
        <f>'Nach Mannschaften sortiert'!C73</f>
        <v>U12_1</v>
      </c>
      <c r="J73" s="82" t="s">
        <v>77</v>
      </c>
      <c r="K73" t="s">
        <v>80</v>
      </c>
      <c r="L73" t="s">
        <v>79</v>
      </c>
    </row>
    <row r="74" spans="2:12" x14ac:dyDescent="0.3">
      <c r="B74" s="93">
        <f>'Nach Mannschaften sortiert'!D74</f>
        <v>46304</v>
      </c>
      <c r="C74" s="94">
        <f>'Nach Mannschaften sortiert'!E74</f>
        <v>0.66666666666666663</v>
      </c>
      <c r="D74" s="94">
        <f t="shared" si="2"/>
        <v>0.71527777777777779</v>
      </c>
      <c r="E74" s="94" t="str">
        <f>UPPER('Nach Mannschaften sortiert'!F74)</f>
        <v>STOTZING</v>
      </c>
      <c r="F74" s="82" t="s">
        <v>239</v>
      </c>
      <c r="G74" t="str">
        <f>'Nach Mannschaften sortiert'!H74</f>
        <v>Auswärts</v>
      </c>
      <c r="H74" t="str">
        <f>'Nach Mannschaften sortiert'!G74</f>
        <v>Stotzing</v>
      </c>
      <c r="I74" t="str">
        <f>'Nach Mannschaften sortiert'!C74</f>
        <v>U12_1</v>
      </c>
      <c r="J74" s="82" t="s">
        <v>77</v>
      </c>
      <c r="K74" t="s">
        <v>80</v>
      </c>
      <c r="L74" t="s">
        <v>79</v>
      </c>
    </row>
    <row r="75" spans="2:12" x14ac:dyDescent="0.3">
      <c r="B75" s="93">
        <f>'Nach Mannschaften sortiert'!D75</f>
        <v>46312</v>
      </c>
      <c r="C75" s="94">
        <f>'Nach Mannschaften sortiert'!E75</f>
        <v>0.625</v>
      </c>
      <c r="D75" s="94">
        <f t="shared" si="2"/>
        <v>0.67361111111111116</v>
      </c>
      <c r="E75" s="94" t="str">
        <f>UPPER('Nach Mannschaften sortiert'!F75)</f>
        <v>NEUFELD</v>
      </c>
      <c r="G75" t="str">
        <f>'Nach Mannschaften sortiert'!H75</f>
        <v>Heim</v>
      </c>
      <c r="H75" t="str">
        <f>'Nach Mannschaften sortiert'!G75</f>
        <v>SPG Klimpuh Juniors</v>
      </c>
      <c r="I75" t="str">
        <f>'Nach Mannschaften sortiert'!C75</f>
        <v>U12_1</v>
      </c>
      <c r="J75" s="82" t="s">
        <v>77</v>
      </c>
      <c r="K75" t="s">
        <v>80</v>
      </c>
      <c r="L75" t="s">
        <v>79</v>
      </c>
    </row>
    <row r="76" spans="2:12" x14ac:dyDescent="0.3">
      <c r="B76" s="93">
        <f>'Nach Mannschaften sortiert'!D76</f>
        <v>46319</v>
      </c>
      <c r="C76" s="94">
        <f>'Nach Mannschaften sortiert'!E76</f>
        <v>0.625</v>
      </c>
      <c r="D76" s="94">
        <f t="shared" si="2"/>
        <v>0.67361111111111116</v>
      </c>
      <c r="E76" s="94" t="str">
        <f>UPPER('Nach Mannschaften sortiert'!F76)</f>
        <v>LEITHAPRODERSDORF</v>
      </c>
      <c r="G76" t="str">
        <f>'Nach Mannschaften sortiert'!H76</f>
        <v>Auswärts</v>
      </c>
      <c r="H76" t="str">
        <f>'Nach Mannschaften sortiert'!G76</f>
        <v>Leithaprodersdorf</v>
      </c>
      <c r="I76" t="str">
        <f>'Nach Mannschaften sortiert'!C76</f>
        <v>U12_1</v>
      </c>
      <c r="J76" s="82" t="s">
        <v>77</v>
      </c>
      <c r="K76" t="s">
        <v>80</v>
      </c>
      <c r="L76" t="s">
        <v>79</v>
      </c>
    </row>
    <row r="77" spans="2:12" x14ac:dyDescent="0.3">
      <c r="B77" s="93">
        <f>'Nach Mannschaften sortiert'!D77</f>
        <v>46316</v>
      </c>
      <c r="C77" s="94">
        <f>'Nach Mannschaften sortiert'!E77</f>
        <v>0.75</v>
      </c>
      <c r="D77" s="94">
        <f t="shared" si="2"/>
        <v>0.79861111111111116</v>
      </c>
      <c r="E77" s="94" t="str">
        <f>UPPER('Nach Mannschaften sortiert'!F77)</f>
        <v>STEINBRUNN</v>
      </c>
      <c r="G77" t="str">
        <f>'Nach Mannschaften sortiert'!H77</f>
        <v>Heim</v>
      </c>
      <c r="H77" t="str">
        <f>'Nach Mannschaften sortiert'!G77</f>
        <v>SC "muki" Eisenstadt/Rust</v>
      </c>
      <c r="I77" t="str">
        <f>'Nach Mannschaften sortiert'!C77</f>
        <v>U12_1</v>
      </c>
      <c r="J77" s="82" t="s">
        <v>77</v>
      </c>
      <c r="K77" t="s">
        <v>80</v>
      </c>
      <c r="L77" t="s">
        <v>79</v>
      </c>
    </row>
    <row r="78" spans="2:12" x14ac:dyDescent="0.3">
      <c r="B78" s="93">
        <f>'Nach Mannschaften sortiert'!D78</f>
        <v>46333</v>
      </c>
      <c r="C78" s="94">
        <f>'Nach Mannschaften sortiert'!E78</f>
        <v>0.5625</v>
      </c>
      <c r="D78" s="94">
        <f t="shared" si="2"/>
        <v>0.61111111111111116</v>
      </c>
      <c r="E78" s="94" t="str">
        <f>UPPER('Nach Mannschaften sortiert'!F78)</f>
        <v>HORNSTEIN</v>
      </c>
      <c r="G78" t="str">
        <f>'Nach Mannschaften sortiert'!H78</f>
        <v>Auswärts</v>
      </c>
      <c r="H78" t="str">
        <f>'Nach Mannschaften sortiert'!G78</f>
        <v>Hornstein/Wimpasing</v>
      </c>
      <c r="I78" t="str">
        <f>'Nach Mannschaften sortiert'!C78</f>
        <v>U12_1</v>
      </c>
      <c r="J78" s="82" t="s">
        <v>77</v>
      </c>
      <c r="K78" t="s">
        <v>80</v>
      </c>
      <c r="L78" t="s">
        <v>79</v>
      </c>
    </row>
    <row r="79" spans="2:12" x14ac:dyDescent="0.3">
      <c r="B79" s="93">
        <f>'Nach Mannschaften sortiert'!D79</f>
        <v>46270</v>
      </c>
      <c r="C79" s="94">
        <f>'Nach Mannschaften sortiert'!E79</f>
        <v>0.5</v>
      </c>
      <c r="D79" s="94">
        <f t="shared" si="2"/>
        <v>0.54861111111111116</v>
      </c>
      <c r="E79" s="94" t="str">
        <f>UPPER('Nach Mannschaften sortiert'!F79)</f>
        <v>STEINBRUNN</v>
      </c>
      <c r="F79" s="82" t="s">
        <v>205</v>
      </c>
      <c r="G79" t="str">
        <f>'Nach Mannschaften sortiert'!H79</f>
        <v>Heim</v>
      </c>
      <c r="H79" t="str">
        <f>'Nach Mannschaften sortiert'!G79</f>
        <v>St. Margarethen</v>
      </c>
      <c r="I79" t="str">
        <f>'Nach Mannschaften sortiert'!C79</f>
        <v>U12_2</v>
      </c>
      <c r="J79" s="82" t="s">
        <v>77</v>
      </c>
      <c r="K79" t="s">
        <v>80</v>
      </c>
      <c r="L79" t="s">
        <v>79</v>
      </c>
    </row>
    <row r="80" spans="2:12" x14ac:dyDescent="0.3">
      <c r="B80" s="93">
        <f>'Nach Mannschaften sortiert'!D80</f>
        <v>46278</v>
      </c>
      <c r="C80" s="94">
        <f>'Nach Mannschaften sortiert'!E80</f>
        <v>0.58333333333333337</v>
      </c>
      <c r="D80" s="94">
        <f t="shared" si="2"/>
        <v>0.63194444444444453</v>
      </c>
      <c r="E80" s="94" t="str">
        <f>UPPER('Nach Mannschaften sortiert'!F80)</f>
        <v>ST. GEORGEN</v>
      </c>
      <c r="F80" s="82" t="s">
        <v>232</v>
      </c>
      <c r="G80" t="str">
        <f>'Nach Mannschaften sortiert'!H80</f>
        <v>Auswärts</v>
      </c>
      <c r="H80" t="str">
        <f>'Nach Mannschaften sortiert'!G80</f>
        <v>St. Georgen/Eisenstadt</v>
      </c>
      <c r="I80" t="str">
        <f>'Nach Mannschaften sortiert'!C80</f>
        <v>U12_2</v>
      </c>
      <c r="J80" s="82" t="s">
        <v>77</v>
      </c>
      <c r="K80" t="s">
        <v>80</v>
      </c>
      <c r="L80" t="s">
        <v>79</v>
      </c>
    </row>
    <row r="81" spans="2:12" x14ac:dyDescent="0.3">
      <c r="B81" s="93">
        <f>'Nach Mannschaften sortiert'!D81</f>
        <v>46284</v>
      </c>
      <c r="C81" s="94">
        <f>'Nach Mannschaften sortiert'!E81</f>
        <v>0.45833333333333331</v>
      </c>
      <c r="D81" s="94">
        <f t="shared" si="2"/>
        <v>0.50694444444444442</v>
      </c>
      <c r="E81" s="94" t="str">
        <f>UPPER('Nach Mannschaften sortiert'!F81)</f>
        <v>GROßHÖFLEIN</v>
      </c>
      <c r="F81" s="82" t="s">
        <v>233</v>
      </c>
      <c r="G81" t="str">
        <f>'Nach Mannschaften sortiert'!H81</f>
        <v>Auswärts</v>
      </c>
      <c r="H81" t="str">
        <f>'Nach Mannschaften sortiert'!G81</f>
        <v>Großhöflein</v>
      </c>
      <c r="I81" t="str">
        <f>'Nach Mannschaften sortiert'!C81</f>
        <v>U12_2</v>
      </c>
      <c r="J81" s="82" t="s">
        <v>77</v>
      </c>
      <c r="K81" t="s">
        <v>80</v>
      </c>
      <c r="L81" t="s">
        <v>79</v>
      </c>
    </row>
    <row r="82" spans="2:12" x14ac:dyDescent="0.3">
      <c r="B82" s="93">
        <f>'Nach Mannschaften sortiert'!D82</f>
        <v>46292</v>
      </c>
      <c r="C82" s="94">
        <f>'Nach Mannschaften sortiert'!E82</f>
        <v>0.625</v>
      </c>
      <c r="D82" s="94">
        <f t="shared" si="2"/>
        <v>0.67361111111111116</v>
      </c>
      <c r="E82" s="94" t="str">
        <f>UPPER('Nach Mannschaften sortiert'!F82)</f>
        <v>NEUFELD</v>
      </c>
      <c r="F82" s="82" t="s">
        <v>234</v>
      </c>
      <c r="G82" t="str">
        <f>'Nach Mannschaften sortiert'!H82</f>
        <v>Heim</v>
      </c>
      <c r="H82" t="str">
        <f>'Nach Mannschaften sortiert'!G82</f>
        <v>Purbach/Breitenbrunn/Winden</v>
      </c>
      <c r="I82" t="str">
        <f>'Nach Mannschaften sortiert'!C82</f>
        <v>U12_2</v>
      </c>
      <c r="J82" s="82" t="s">
        <v>77</v>
      </c>
      <c r="K82" t="s">
        <v>80</v>
      </c>
      <c r="L82" t="s">
        <v>79</v>
      </c>
    </row>
    <row r="83" spans="2:12" x14ac:dyDescent="0.3">
      <c r="B83" s="93">
        <f>'Nach Mannschaften sortiert'!D83</f>
        <v>46297</v>
      </c>
      <c r="C83" s="94">
        <f>'Nach Mannschaften sortiert'!E83</f>
        <v>0.66666666666666663</v>
      </c>
      <c r="D83" s="94">
        <f t="shared" si="2"/>
        <v>0.71527777777777779</v>
      </c>
      <c r="E83" s="94" t="str">
        <f>UPPER('Nach Mannschaften sortiert'!F83)</f>
        <v>OGGAU</v>
      </c>
      <c r="F83" s="82" t="s">
        <v>235</v>
      </c>
      <c r="G83" t="str">
        <f>'Nach Mannschaften sortiert'!H83</f>
        <v>Auswärts</v>
      </c>
      <c r="H83" t="str">
        <f>'Nach Mannschaften sortiert'!G83</f>
        <v>Oggau</v>
      </c>
      <c r="I83" t="str">
        <f>'Nach Mannschaften sortiert'!C83</f>
        <v>U12_2</v>
      </c>
      <c r="J83" s="82" t="s">
        <v>77</v>
      </c>
      <c r="K83" t="s">
        <v>80</v>
      </c>
      <c r="L83" t="s">
        <v>79</v>
      </c>
    </row>
    <row r="84" spans="2:12" x14ac:dyDescent="0.3">
      <c r="B84" s="93">
        <f>'Nach Mannschaften sortiert'!D84</f>
        <v>46305</v>
      </c>
      <c r="C84" s="94">
        <f>'Nach Mannschaften sortiert'!E84</f>
        <v>0.47916666666666669</v>
      </c>
      <c r="D84" s="94">
        <f t="shared" si="2"/>
        <v>0.52777777777777779</v>
      </c>
      <c r="E84" s="94" t="str">
        <f>UPPER('Nach Mannschaften sortiert'!F84)</f>
        <v>ST. MARGARETHEN</v>
      </c>
      <c r="F84" s="82" t="s">
        <v>236</v>
      </c>
      <c r="G84" t="str">
        <f>'Nach Mannschaften sortiert'!H84</f>
        <v>Auswärts</v>
      </c>
      <c r="H84" t="str">
        <f>'Nach Mannschaften sortiert'!G84</f>
        <v>St. Margarethen</v>
      </c>
      <c r="I84" t="str">
        <f>'Nach Mannschaften sortiert'!C84</f>
        <v>U12_2</v>
      </c>
      <c r="J84" s="82" t="s">
        <v>77</v>
      </c>
      <c r="K84" t="s">
        <v>80</v>
      </c>
      <c r="L84" t="s">
        <v>79</v>
      </c>
    </row>
    <row r="85" spans="2:12" x14ac:dyDescent="0.3">
      <c r="B85" s="93">
        <f>'Nach Mannschaften sortiert'!D85</f>
        <v>46311</v>
      </c>
      <c r="C85" s="94">
        <f>'Nach Mannschaften sortiert'!E85</f>
        <v>0.75</v>
      </c>
      <c r="D85" s="94">
        <f t="shared" si="2"/>
        <v>0.79861111111111116</v>
      </c>
      <c r="E85" s="94" t="str">
        <f>UPPER('Nach Mannschaften sortiert'!F85)</f>
        <v>STEINBRUNN</v>
      </c>
      <c r="F85" s="82" t="s">
        <v>242</v>
      </c>
      <c r="G85" t="str">
        <f>'Nach Mannschaften sortiert'!H85</f>
        <v>Heim</v>
      </c>
      <c r="H85" t="str">
        <f>'Nach Mannschaften sortiert'!G85</f>
        <v>St. Georgen/Eisenstadt</v>
      </c>
      <c r="I85" t="str">
        <f>'Nach Mannschaften sortiert'!C85</f>
        <v>U12_2</v>
      </c>
      <c r="J85" s="82" t="s">
        <v>77</v>
      </c>
      <c r="K85" t="s">
        <v>80</v>
      </c>
      <c r="L85" t="s">
        <v>79</v>
      </c>
    </row>
    <row r="86" spans="2:12" x14ac:dyDescent="0.3">
      <c r="B86" s="93">
        <f>'Nach Mannschaften sortiert'!D86</f>
        <v>46318</v>
      </c>
      <c r="C86" s="94">
        <f>'Nach Mannschaften sortiert'!E86</f>
        <v>0.70833333333333337</v>
      </c>
      <c r="D86" s="94">
        <f t="shared" si="2"/>
        <v>0.75694444444444453</v>
      </c>
      <c r="E86" s="94" t="str">
        <f>UPPER('Nach Mannschaften sortiert'!F86)</f>
        <v>STEINBRUNN</v>
      </c>
      <c r="G86" t="str">
        <f>'Nach Mannschaften sortiert'!H86</f>
        <v>Heim</v>
      </c>
      <c r="H86" t="str">
        <f>'Nach Mannschaften sortiert'!G86</f>
        <v>Großhöflein</v>
      </c>
      <c r="I86" t="str">
        <f>'Nach Mannschaften sortiert'!C86</f>
        <v>U12_2</v>
      </c>
      <c r="J86" s="82" t="s">
        <v>77</v>
      </c>
      <c r="K86" t="s">
        <v>80</v>
      </c>
      <c r="L86" t="s">
        <v>79</v>
      </c>
    </row>
    <row r="87" spans="2:12" x14ac:dyDescent="0.3">
      <c r="B87" s="93">
        <f>'Nach Mannschaften sortiert'!D87</f>
        <v>46327</v>
      </c>
      <c r="C87" s="94">
        <f>'Nach Mannschaften sortiert'!E87</f>
        <v>0.47916666666666669</v>
      </c>
      <c r="D87" s="94">
        <f t="shared" si="2"/>
        <v>0.52777777777777779</v>
      </c>
      <c r="E87" s="94" t="str">
        <f>UPPER('Nach Mannschaften sortiert'!F87)</f>
        <v>PURBACH</v>
      </c>
      <c r="G87" t="str">
        <f>'Nach Mannschaften sortiert'!H87</f>
        <v>Auswärts</v>
      </c>
      <c r="H87" t="str">
        <f>'Nach Mannschaften sortiert'!G87</f>
        <v>Purbach/Breitenbrunn/Winden</v>
      </c>
      <c r="I87" t="str">
        <f>'Nach Mannschaften sortiert'!C87</f>
        <v>U12_2</v>
      </c>
      <c r="J87" s="82" t="s">
        <v>77</v>
      </c>
      <c r="K87" t="s">
        <v>80</v>
      </c>
      <c r="L87" t="s">
        <v>79</v>
      </c>
    </row>
    <row r="88" spans="2:12" x14ac:dyDescent="0.3">
      <c r="B88" s="93">
        <f>'Nach Mannschaften sortiert'!D88</f>
        <v>46332</v>
      </c>
      <c r="C88" s="94">
        <f>'Nach Mannschaften sortiert'!E88</f>
        <v>0.70833333333333337</v>
      </c>
      <c r="D88" s="94">
        <f t="shared" si="2"/>
        <v>0.75694444444444453</v>
      </c>
      <c r="E88" s="94" t="str">
        <f>UPPER('Nach Mannschaften sortiert'!F88)</f>
        <v>STEINBRUNN</v>
      </c>
      <c r="G88" t="str">
        <f>'Nach Mannschaften sortiert'!H88</f>
        <v>Heim</v>
      </c>
      <c r="H88" t="str">
        <f>'Nach Mannschaften sortiert'!G88</f>
        <v>Oggau</v>
      </c>
      <c r="I88" t="str">
        <f>'Nach Mannschaften sortiert'!C88</f>
        <v>U12_2</v>
      </c>
      <c r="J88" s="82" t="s">
        <v>77</v>
      </c>
      <c r="K88" t="s">
        <v>80</v>
      </c>
      <c r="L88" t="s">
        <v>79</v>
      </c>
    </row>
    <row r="89" spans="2:12" x14ac:dyDescent="0.3">
      <c r="B89" s="93">
        <f>'Nach Mannschaften sortiert'!D89</f>
        <v>46270</v>
      </c>
      <c r="C89" s="94">
        <f>'Nach Mannschaften sortiert'!E89</f>
        <v>0.41666666666666669</v>
      </c>
      <c r="D89" s="94">
        <f t="shared" si="2"/>
        <v>0.46527777777777779</v>
      </c>
      <c r="E89" s="94" t="str">
        <f>UPPER('Nach Mannschaften sortiert'!F89)</f>
        <v>STEINBRUNN</v>
      </c>
      <c r="F89" s="82" t="s">
        <v>203</v>
      </c>
      <c r="G89" t="str">
        <f>'Nach Mannschaften sortiert'!H89</f>
        <v>Heim</v>
      </c>
      <c r="H89" t="str">
        <f>'Nach Mannschaften sortiert'!G89</f>
        <v>Leithaprodersdorf</v>
      </c>
      <c r="I89" t="str">
        <f>'Nach Mannschaften sortiert'!C89</f>
        <v>U11</v>
      </c>
      <c r="J89" s="82" t="s">
        <v>77</v>
      </c>
      <c r="K89" t="s">
        <v>80</v>
      </c>
      <c r="L89" t="s">
        <v>79</v>
      </c>
    </row>
    <row r="90" spans="2:12" x14ac:dyDescent="0.3">
      <c r="B90" s="93">
        <f>'Nach Mannschaften sortiert'!D90</f>
        <v>46276</v>
      </c>
      <c r="C90" s="94">
        <f>'Nach Mannschaften sortiert'!E90</f>
        <v>0.77083333333333337</v>
      </c>
      <c r="D90" s="94">
        <f t="shared" si="2"/>
        <v>0.81944444444444453</v>
      </c>
      <c r="E90" s="94" t="str">
        <f>UPPER('Nach Mannschaften sortiert'!F90)</f>
        <v>HORNSTEIN</v>
      </c>
      <c r="F90" s="82" t="s">
        <v>208</v>
      </c>
      <c r="G90" t="str">
        <f>'Nach Mannschaften sortiert'!H90</f>
        <v>Auswärts</v>
      </c>
      <c r="H90" t="str">
        <f>'Nach Mannschaften sortiert'!G90</f>
        <v>Hornstein</v>
      </c>
      <c r="I90" t="str">
        <f>'Nach Mannschaften sortiert'!C90</f>
        <v>U11</v>
      </c>
      <c r="J90" s="82" t="s">
        <v>77</v>
      </c>
      <c r="K90" t="s">
        <v>80</v>
      </c>
      <c r="L90" t="s">
        <v>79</v>
      </c>
    </row>
    <row r="91" spans="2:12" x14ac:dyDescent="0.3">
      <c r="B91" s="93">
        <f>'Nach Mannschaften sortiert'!D91</f>
        <v>46284</v>
      </c>
      <c r="C91" s="94">
        <f>'Nach Mannschaften sortiert'!E91</f>
        <v>0.41666666666666669</v>
      </c>
      <c r="D91" s="94">
        <f t="shared" si="2"/>
        <v>0.46527777777777779</v>
      </c>
      <c r="E91" s="94" t="str">
        <f>UPPER('Nach Mannschaften sortiert'!F91)</f>
        <v>WULKAPRODERSDORF</v>
      </c>
      <c r="F91" s="82" t="s">
        <v>216</v>
      </c>
      <c r="G91" t="str">
        <f>'Nach Mannschaften sortiert'!H91</f>
        <v>Auswärts</v>
      </c>
      <c r="H91" t="str">
        <f>'Nach Mannschaften sortiert'!G91</f>
        <v>Wulkaprodersdorf</v>
      </c>
      <c r="I91" t="str">
        <f>'Nach Mannschaften sortiert'!C91</f>
        <v>U11</v>
      </c>
      <c r="J91" s="82" t="s">
        <v>77</v>
      </c>
      <c r="K91" t="s">
        <v>80</v>
      </c>
      <c r="L91" t="s">
        <v>79</v>
      </c>
    </row>
    <row r="92" spans="2:12" x14ac:dyDescent="0.3">
      <c r="B92" s="93">
        <f>'Nach Mannschaften sortiert'!D92</f>
        <v>46292</v>
      </c>
      <c r="C92" s="94">
        <f>'Nach Mannschaften sortiert'!E92</f>
        <v>0.54166666666666663</v>
      </c>
      <c r="D92" s="94">
        <f t="shared" si="2"/>
        <v>0.59027777777777779</v>
      </c>
      <c r="E92" s="94" t="str">
        <f>UPPER('Nach Mannschaften sortiert'!F92)</f>
        <v>NEUFELD</v>
      </c>
      <c r="F92" s="82" t="s">
        <v>223</v>
      </c>
      <c r="G92" t="str">
        <f>'Nach Mannschaften sortiert'!H92</f>
        <v>Heim</v>
      </c>
      <c r="H92" t="str">
        <f>'Nach Mannschaften sortiert'!G92</f>
        <v>Wulkaprodersdorf</v>
      </c>
      <c r="I92" t="str">
        <f>'Nach Mannschaften sortiert'!C92</f>
        <v>U11</v>
      </c>
      <c r="J92" s="82" t="s">
        <v>77</v>
      </c>
      <c r="K92" t="s">
        <v>80</v>
      </c>
      <c r="L92" t="s">
        <v>79</v>
      </c>
    </row>
    <row r="93" spans="2:12" x14ac:dyDescent="0.3">
      <c r="B93" s="93">
        <f>'Nach Mannschaften sortiert'!D93</f>
        <v>46298</v>
      </c>
      <c r="C93" s="94">
        <f>'Nach Mannschaften sortiert'!E93</f>
        <v>0.41666666666666669</v>
      </c>
      <c r="D93" s="94">
        <f t="shared" si="2"/>
        <v>0.46527777777777779</v>
      </c>
      <c r="E93" s="94" t="str">
        <f>UPPER('Nach Mannschaften sortiert'!F93)</f>
        <v>STEINBRUNN</v>
      </c>
      <c r="F93" s="82" t="s">
        <v>226</v>
      </c>
      <c r="G93" t="str">
        <f>'Nach Mannschaften sortiert'!H93</f>
        <v>Heim</v>
      </c>
      <c r="H93" t="str">
        <f>'Nach Mannschaften sortiert'!G93</f>
        <v>Hornstein</v>
      </c>
      <c r="I93" t="str">
        <f>'Nach Mannschaften sortiert'!C93</f>
        <v>U11</v>
      </c>
      <c r="J93" s="82" t="s">
        <v>77</v>
      </c>
      <c r="K93" t="s">
        <v>80</v>
      </c>
      <c r="L93" t="s">
        <v>79</v>
      </c>
    </row>
    <row r="94" spans="2:12" x14ac:dyDescent="0.3">
      <c r="B94" s="93">
        <f>'Nach Mannschaften sortiert'!D94</f>
        <v>46305</v>
      </c>
      <c r="C94" s="94">
        <f>'Nach Mannschaften sortiert'!E94</f>
        <v>0.5625</v>
      </c>
      <c r="D94" s="94">
        <f t="shared" si="2"/>
        <v>0.61111111111111116</v>
      </c>
      <c r="E94" s="94" t="str">
        <f>UPPER('Nach Mannschaften sortiert'!F94)</f>
        <v>LEITHAPRODERSDORF</v>
      </c>
      <c r="F94" s="82" t="s">
        <v>230</v>
      </c>
      <c r="G94" t="str">
        <f>'Nach Mannschaften sortiert'!H94</f>
        <v>Auswärts</v>
      </c>
      <c r="H94" t="str">
        <f>'Nach Mannschaften sortiert'!G94</f>
        <v>Leithaprodersdorf</v>
      </c>
      <c r="I94" t="str">
        <f>'Nach Mannschaften sortiert'!C94</f>
        <v>U11</v>
      </c>
      <c r="J94" s="82" t="s">
        <v>77</v>
      </c>
      <c r="K94" t="s">
        <v>80</v>
      </c>
      <c r="L94" t="s">
        <v>79</v>
      </c>
    </row>
    <row r="95" spans="2:12" x14ac:dyDescent="0.3">
      <c r="B95" s="93">
        <f>'Nach Mannschaften sortiert'!D95</f>
        <v>46312</v>
      </c>
      <c r="C95" s="94">
        <f>'Nach Mannschaften sortiert'!E95</f>
        <v>0.54166666666666663</v>
      </c>
      <c r="D95" s="94">
        <f t="shared" si="2"/>
        <v>0.59027777777777779</v>
      </c>
      <c r="E95" s="94" t="str">
        <f>UPPER('Nach Mannschaften sortiert'!F95)</f>
        <v>NEUFELD</v>
      </c>
      <c r="F95" s="82" t="s">
        <v>244</v>
      </c>
      <c r="G95" t="str">
        <f>'Nach Mannschaften sortiert'!H95</f>
        <v>Heim</v>
      </c>
      <c r="H95" t="str">
        <f>'Nach Mannschaften sortiert'!G95</f>
        <v>Leithaprodersdorf</v>
      </c>
      <c r="I95" t="str">
        <f>'Nach Mannschaften sortiert'!C95</f>
        <v>U11</v>
      </c>
      <c r="J95" s="82" t="s">
        <v>77</v>
      </c>
      <c r="K95" t="s">
        <v>80</v>
      </c>
      <c r="L95" t="s">
        <v>79</v>
      </c>
    </row>
    <row r="96" spans="2:12" x14ac:dyDescent="0.3">
      <c r="B96" s="93">
        <f>'Nach Mannschaften sortiert'!D96</f>
        <v>46320</v>
      </c>
      <c r="C96" s="94">
        <f>'Nach Mannschaften sortiert'!E96</f>
        <v>0.5</v>
      </c>
      <c r="D96" s="94">
        <f t="shared" si="2"/>
        <v>0.54861111111111116</v>
      </c>
      <c r="E96" s="94" t="str">
        <f>UPPER('Nach Mannschaften sortiert'!F96)</f>
        <v>HORNSTEIN</v>
      </c>
      <c r="G96" t="str">
        <f>'Nach Mannschaften sortiert'!H96</f>
        <v>Auswärts</v>
      </c>
      <c r="H96" t="str">
        <f>'Nach Mannschaften sortiert'!G96</f>
        <v>Hornstein</v>
      </c>
      <c r="I96" t="str">
        <f>'Nach Mannschaften sortiert'!C96</f>
        <v>U11</v>
      </c>
      <c r="J96" s="82" t="s">
        <v>77</v>
      </c>
      <c r="K96" t="s">
        <v>80</v>
      </c>
      <c r="L96" t="s">
        <v>79</v>
      </c>
    </row>
    <row r="97" spans="2:12" x14ac:dyDescent="0.3">
      <c r="B97" s="93">
        <f>'Nach Mannschaften sortiert'!D97</f>
        <v>46326</v>
      </c>
      <c r="C97" s="94">
        <f>'Nach Mannschaften sortiert'!E97</f>
        <v>0.4375</v>
      </c>
      <c r="D97" s="94">
        <f t="shared" si="2"/>
        <v>0.4861111111111111</v>
      </c>
      <c r="E97" s="94" t="str">
        <f>UPPER('Nach Mannschaften sortiert'!F97)</f>
        <v>WULKAPRODERSDORF</v>
      </c>
      <c r="G97" t="str">
        <f>'Nach Mannschaften sortiert'!H97</f>
        <v>Auswärts</v>
      </c>
      <c r="H97" t="str">
        <f>'Nach Mannschaften sortiert'!G97</f>
        <v>Wulkaprodersdorf</v>
      </c>
      <c r="I97" t="str">
        <f>'Nach Mannschaften sortiert'!C97</f>
        <v>U11</v>
      </c>
      <c r="J97" s="82" t="s">
        <v>77</v>
      </c>
      <c r="K97" t="s">
        <v>80</v>
      </c>
      <c r="L97" t="s">
        <v>79</v>
      </c>
    </row>
    <row r="98" spans="2:12" x14ac:dyDescent="0.3">
      <c r="B98" s="93">
        <f>'Nach Mannschaften sortiert'!D98</f>
        <v>46312</v>
      </c>
      <c r="C98" s="94">
        <f>'Nach Mannschaften sortiert'!E98</f>
        <v>0.39583333333333331</v>
      </c>
      <c r="D98" s="94">
        <f t="shared" si="2"/>
        <v>0.43958333333333333</v>
      </c>
      <c r="E98" s="94" t="str">
        <f>UPPER('Nach Mannschaften sortiert'!F98)</f>
        <v>NEUFELD</v>
      </c>
      <c r="G98" t="str">
        <f>'Nach Mannschaften sortiert'!H98</f>
        <v>Heim</v>
      </c>
      <c r="H98" t="str">
        <f>'Nach Mannschaften sortiert'!G98</f>
        <v>Heimturnier</v>
      </c>
      <c r="I98" t="str">
        <f>'Nach Mannschaften sortiert'!C98</f>
        <v>U10</v>
      </c>
      <c r="J98" s="82" t="s">
        <v>77</v>
      </c>
      <c r="K98" t="s">
        <v>80</v>
      </c>
      <c r="L98" t="s">
        <v>79</v>
      </c>
    </row>
    <row r="99" spans="2:12" x14ac:dyDescent="0.3">
      <c r="B99" s="93">
        <f>'Nach Mannschaften sortiert'!D99</f>
        <v>46277</v>
      </c>
      <c r="C99" s="94">
        <f>'Nach Mannschaften sortiert'!E99</f>
        <v>0.47916666666666669</v>
      </c>
      <c r="D99" s="94">
        <f t="shared" si="2"/>
        <v>0.5229166666666667</v>
      </c>
      <c r="E99" s="94" t="str">
        <f>UPPER('Nach Mannschaften sortiert'!F99)</f>
        <v>SIEGENDORF</v>
      </c>
      <c r="G99" t="str">
        <f>'Nach Mannschaften sortiert'!H99</f>
        <v>Auswärts</v>
      </c>
      <c r="H99" t="str">
        <f>'Nach Mannschaften sortiert'!G99</f>
        <v>Turnier</v>
      </c>
      <c r="I99" t="str">
        <f>'Nach Mannschaften sortiert'!C99</f>
        <v>U10</v>
      </c>
      <c r="J99" s="82" t="s">
        <v>77</v>
      </c>
      <c r="K99" t="s">
        <v>80</v>
      </c>
      <c r="L99" t="s">
        <v>79</v>
      </c>
    </row>
    <row r="100" spans="2:12" x14ac:dyDescent="0.3">
      <c r="B100" s="93">
        <f>'Nach Mannschaften sortiert'!D100</f>
        <v>46305</v>
      </c>
      <c r="C100" s="94">
        <f>'Nach Mannschaften sortiert'!E100</f>
        <v>0.375</v>
      </c>
      <c r="D100" s="94">
        <f t="shared" si="2"/>
        <v>0.41875000000000001</v>
      </c>
      <c r="E100" s="94" t="str">
        <f>UPPER('Nach Mannschaften sortiert'!F100)</f>
        <v>TRAUSDORF</v>
      </c>
      <c r="G100" t="str">
        <f>'Nach Mannschaften sortiert'!H100</f>
        <v>Auswärts</v>
      </c>
      <c r="H100" t="str">
        <f>'Nach Mannschaften sortiert'!G100</f>
        <v>Turnier</v>
      </c>
      <c r="I100" t="str">
        <f>'Nach Mannschaften sortiert'!C100</f>
        <v>U10</v>
      </c>
      <c r="J100" s="82" t="s">
        <v>77</v>
      </c>
      <c r="K100" t="s">
        <v>80</v>
      </c>
      <c r="L100" t="s">
        <v>79</v>
      </c>
    </row>
    <row r="101" spans="2:12" x14ac:dyDescent="0.3">
      <c r="B101" s="93">
        <f>'Nach Mannschaften sortiert'!D101</f>
        <v>46270</v>
      </c>
      <c r="C101" s="94">
        <f>'Nach Mannschaften sortiert'!E101</f>
        <v>0.54166666666666663</v>
      </c>
      <c r="D101" s="94">
        <f t="shared" si="2"/>
        <v>0.58541666666666659</v>
      </c>
      <c r="E101" s="94" t="str">
        <f>UPPER('Nach Mannschaften sortiert'!F101)</f>
        <v>RUST</v>
      </c>
      <c r="G101" t="str">
        <f>'Nach Mannschaften sortiert'!H101</f>
        <v>Auswärts</v>
      </c>
      <c r="H101" t="str">
        <f>'Nach Mannschaften sortiert'!G101</f>
        <v>Turnier</v>
      </c>
      <c r="I101" t="str">
        <f>'Nach Mannschaften sortiert'!C101</f>
        <v>U10</v>
      </c>
      <c r="J101" s="82" t="s">
        <v>77</v>
      </c>
      <c r="K101" t="s">
        <v>80</v>
      </c>
      <c r="L101" t="s">
        <v>79</v>
      </c>
    </row>
    <row r="102" spans="2:12" x14ac:dyDescent="0.3">
      <c r="B102" s="93">
        <f>'Nach Mannschaften sortiert'!D102</f>
        <v>46291</v>
      </c>
      <c r="C102" s="94">
        <f>'Nach Mannschaften sortiert'!E102</f>
        <v>0.58333333333333337</v>
      </c>
      <c r="D102" s="94">
        <f t="shared" si="2"/>
        <v>0.62708333333333333</v>
      </c>
      <c r="E102" s="94" t="str">
        <f>UPPER('Nach Mannschaften sortiert'!F102)</f>
        <v>ST.GEORGEN</v>
      </c>
      <c r="G102" t="str">
        <f>'Nach Mannschaften sortiert'!H102</f>
        <v>Auswärts</v>
      </c>
      <c r="H102" t="str">
        <f>'Nach Mannschaften sortiert'!G102</f>
        <v>Turnier</v>
      </c>
      <c r="I102" t="str">
        <f>'Nach Mannschaften sortiert'!C102</f>
        <v>U10</v>
      </c>
      <c r="J102" s="82" t="s">
        <v>77</v>
      </c>
      <c r="K102" t="s">
        <v>80</v>
      </c>
      <c r="L102" t="s">
        <v>79</v>
      </c>
    </row>
    <row r="103" spans="2:12" x14ac:dyDescent="0.3">
      <c r="B103" s="93">
        <f>'Nach Mannschaften sortiert'!D103</f>
        <v>46289</v>
      </c>
      <c r="C103" s="94">
        <f>'Nach Mannschaften sortiert'!E103</f>
        <v>0.70833333333333337</v>
      </c>
      <c r="D103" s="94">
        <f t="shared" si="2"/>
        <v>0.75208333333333333</v>
      </c>
      <c r="E103" s="94" t="str">
        <f>UPPER('Nach Mannschaften sortiert'!F103)</f>
        <v>GROßHÖFLEIN</v>
      </c>
      <c r="F103" s="82" t="s">
        <v>218</v>
      </c>
      <c r="G103" t="str">
        <f>'Nach Mannschaften sortiert'!H103</f>
        <v>Auswärts</v>
      </c>
      <c r="H103" t="str">
        <f>'Nach Mannschaften sortiert'!G103</f>
        <v>Großhöflein</v>
      </c>
      <c r="I103" t="str">
        <f>'Nach Mannschaften sortiert'!C103</f>
        <v>U9</v>
      </c>
      <c r="J103" s="82" t="s">
        <v>77</v>
      </c>
      <c r="K103" t="s">
        <v>80</v>
      </c>
      <c r="L103" t="s">
        <v>79</v>
      </c>
    </row>
    <row r="104" spans="2:12" x14ac:dyDescent="0.3">
      <c r="B104" s="93">
        <f>'Nach Mannschaften sortiert'!D104</f>
        <v>46278</v>
      </c>
      <c r="C104" s="94">
        <f>'Nach Mannschaften sortiert'!E104</f>
        <v>0.45833333333333331</v>
      </c>
      <c r="D104" s="94">
        <f t="shared" si="2"/>
        <v>0.50208333333333333</v>
      </c>
      <c r="E104" s="94" t="str">
        <f>UPPER('Nach Mannschaften sortiert'!F104)</f>
        <v>NEUFELD</v>
      </c>
      <c r="F104" s="82" t="s">
        <v>211</v>
      </c>
      <c r="G104" t="str">
        <f>'Nach Mannschaften sortiert'!H104</f>
        <v>Heim</v>
      </c>
      <c r="H104" t="str">
        <f>'Nach Mannschaften sortiert'!G104</f>
        <v>Steinbrunn</v>
      </c>
      <c r="I104" t="str">
        <f>'Nach Mannschaften sortiert'!C104</f>
        <v>U9</v>
      </c>
      <c r="J104" s="82" t="s">
        <v>77</v>
      </c>
      <c r="K104" t="s">
        <v>80</v>
      </c>
      <c r="L104" t="s">
        <v>79</v>
      </c>
    </row>
    <row r="105" spans="2:12" x14ac:dyDescent="0.3">
      <c r="B105" s="93">
        <f>'Nach Mannschaften sortiert'!D105</f>
        <v>46283</v>
      </c>
      <c r="C105" s="94">
        <f>'Nach Mannschaften sortiert'!E105</f>
        <v>0</v>
      </c>
      <c r="D105" s="94">
        <f t="shared" si="2"/>
        <v>4.3750000000000004E-2</v>
      </c>
      <c r="E105" s="94" t="str">
        <f>UPPER('Nach Mannschaften sortiert'!F105)</f>
        <v/>
      </c>
      <c r="G105">
        <f>'Nach Mannschaften sortiert'!H105</f>
        <v>0</v>
      </c>
      <c r="H105" t="str">
        <f>'Nach Mannschaften sortiert'!G105</f>
        <v>Spielfrei</v>
      </c>
      <c r="I105" t="str">
        <f>'Nach Mannschaften sortiert'!C105</f>
        <v>U9</v>
      </c>
      <c r="J105" s="82" t="s">
        <v>192</v>
      </c>
      <c r="K105" t="s">
        <v>80</v>
      </c>
      <c r="L105" t="s">
        <v>79</v>
      </c>
    </row>
    <row r="106" spans="2:12" x14ac:dyDescent="0.3">
      <c r="B106" s="93">
        <f>'Nach Mannschaften sortiert'!D106</f>
        <v>46291</v>
      </c>
      <c r="C106" s="94">
        <f>'Nach Mannschaften sortiert'!E106</f>
        <v>0.41666666666666669</v>
      </c>
      <c r="D106" s="94">
        <f t="shared" si="2"/>
        <v>0.4604166666666667</v>
      </c>
      <c r="E106" s="94" t="str">
        <f>UPPER('Nach Mannschaften sortiert'!F106)</f>
        <v>EISENSTADT</v>
      </c>
      <c r="F106" s="82" t="s">
        <v>219</v>
      </c>
      <c r="G106" t="str">
        <f>'Nach Mannschaften sortiert'!H106</f>
        <v>Auswärts</v>
      </c>
      <c r="H106" t="str">
        <f>'Nach Mannschaften sortiert'!G106</f>
        <v>Eisenstadt</v>
      </c>
      <c r="I106" t="str">
        <f>'Nach Mannschaften sortiert'!C106</f>
        <v>U9</v>
      </c>
      <c r="J106" s="82" t="s">
        <v>77</v>
      </c>
      <c r="K106" t="s">
        <v>80</v>
      </c>
      <c r="L106" t="s">
        <v>79</v>
      </c>
    </row>
    <row r="107" spans="2:12" x14ac:dyDescent="0.3">
      <c r="B107" s="93">
        <f>'Nach Mannschaften sortiert'!D107</f>
        <v>46298</v>
      </c>
      <c r="C107" s="94">
        <f>'Nach Mannschaften sortiert'!E107</f>
        <v>0.39583333333333331</v>
      </c>
      <c r="D107" s="94">
        <f t="shared" si="2"/>
        <v>0.43958333333333333</v>
      </c>
      <c r="E107" s="94" t="str">
        <f>UPPER('Nach Mannschaften sortiert'!F107)</f>
        <v>NEUFELD</v>
      </c>
      <c r="F107" s="82" t="s">
        <v>227</v>
      </c>
      <c r="G107" t="str">
        <f>'Nach Mannschaften sortiert'!H107</f>
        <v>Heim</v>
      </c>
      <c r="H107" t="str">
        <f>'Nach Mannschaften sortiert'!G107</f>
        <v>Hornstein</v>
      </c>
      <c r="I107" t="str">
        <f>'Nach Mannschaften sortiert'!C107</f>
        <v>U9</v>
      </c>
      <c r="J107" s="82" t="s">
        <v>77</v>
      </c>
      <c r="K107" t="s">
        <v>80</v>
      </c>
      <c r="L107" t="s">
        <v>79</v>
      </c>
    </row>
    <row r="108" spans="2:12" x14ac:dyDescent="0.3">
      <c r="B108" s="93">
        <f>'Nach Mannschaften sortiert'!D108</f>
        <v>46305</v>
      </c>
      <c r="C108" s="94">
        <f>'Nach Mannschaften sortiert'!E108</f>
        <v>0.58333333333333337</v>
      </c>
      <c r="D108" s="94">
        <f t="shared" si="2"/>
        <v>0.62708333333333333</v>
      </c>
      <c r="E108" s="94" t="str">
        <f>UPPER('Nach Mannschaften sortiert'!F108)</f>
        <v>NEUFELD</v>
      </c>
      <c r="F108" s="82" t="s">
        <v>231</v>
      </c>
      <c r="G108" t="str">
        <f>'Nach Mannschaften sortiert'!H108</f>
        <v>Heim</v>
      </c>
      <c r="H108" t="str">
        <f>'Nach Mannschaften sortiert'!G108</f>
        <v>Großhöflein</v>
      </c>
      <c r="I108" t="str">
        <f>'Nach Mannschaften sortiert'!C108</f>
        <v>U9</v>
      </c>
      <c r="J108" s="82" t="s">
        <v>77</v>
      </c>
      <c r="K108" t="s">
        <v>80</v>
      </c>
      <c r="L108" t="s">
        <v>79</v>
      </c>
    </row>
    <row r="109" spans="2:12" x14ac:dyDescent="0.3">
      <c r="B109" s="93">
        <f>'Nach Mannschaften sortiert'!D109</f>
        <v>46312</v>
      </c>
      <c r="C109" s="94">
        <f>'Nach Mannschaften sortiert'!E109</f>
        <v>0.39583333333333331</v>
      </c>
      <c r="D109" s="94">
        <f t="shared" si="2"/>
        <v>0.43958333333333333</v>
      </c>
      <c r="E109" s="94" t="str">
        <f>UPPER('Nach Mannschaften sortiert'!F109)</f>
        <v>STEINBRUNN</v>
      </c>
      <c r="F109" s="82" t="s">
        <v>243</v>
      </c>
      <c r="G109" t="str">
        <f>'Nach Mannschaften sortiert'!H109</f>
        <v>Auswärts</v>
      </c>
      <c r="H109" t="str">
        <f>'Nach Mannschaften sortiert'!G109</f>
        <v>Steinbrunn</v>
      </c>
      <c r="I109" t="str">
        <f>'Nach Mannschaften sortiert'!C109</f>
        <v>U9</v>
      </c>
      <c r="J109" s="82" t="s">
        <v>77</v>
      </c>
      <c r="K109" t="s">
        <v>80</v>
      </c>
      <c r="L109" t="s">
        <v>79</v>
      </c>
    </row>
    <row r="110" spans="2:12" x14ac:dyDescent="0.3">
      <c r="B110" s="93">
        <f>'Nach Mannschaften sortiert'!D110</f>
        <v>46318</v>
      </c>
      <c r="C110" s="94">
        <f>'Nach Mannschaften sortiert'!E110</f>
        <v>0</v>
      </c>
      <c r="D110" s="94">
        <f t="shared" si="2"/>
        <v>4.3750000000000004E-2</v>
      </c>
      <c r="E110" s="94" t="str">
        <f>UPPER('Nach Mannschaften sortiert'!F110)</f>
        <v/>
      </c>
      <c r="G110">
        <f>'Nach Mannschaften sortiert'!H110</f>
        <v>0</v>
      </c>
      <c r="H110" t="str">
        <f>'Nach Mannschaften sortiert'!G110</f>
        <v>Spielfrei</v>
      </c>
      <c r="I110" t="str">
        <f>'Nach Mannschaften sortiert'!C110</f>
        <v>U9</v>
      </c>
      <c r="J110" s="82" t="s">
        <v>192</v>
      </c>
      <c r="K110" t="s">
        <v>80</v>
      </c>
      <c r="L110" t="s">
        <v>79</v>
      </c>
    </row>
    <row r="111" spans="2:12" x14ac:dyDescent="0.3">
      <c r="B111" s="93">
        <f>'Nach Mannschaften sortiert'!D111</f>
        <v>46326</v>
      </c>
      <c r="C111" s="94">
        <f>'Nach Mannschaften sortiert'!E111</f>
        <v>0.4375</v>
      </c>
      <c r="D111" s="94">
        <f t="shared" si="2"/>
        <v>0.48125000000000001</v>
      </c>
      <c r="E111" s="94" t="str">
        <f>UPPER('Nach Mannschaften sortiert'!F111)</f>
        <v>NEUFELD</v>
      </c>
      <c r="G111" t="str">
        <f>'Nach Mannschaften sortiert'!H111</f>
        <v>Heim</v>
      </c>
      <c r="H111" t="str">
        <f>'Nach Mannschaften sortiert'!G111</f>
        <v>Eisenstadt</v>
      </c>
      <c r="I111" t="str">
        <f>'Nach Mannschaften sortiert'!C111</f>
        <v>U9</v>
      </c>
      <c r="J111" s="82" t="s">
        <v>77</v>
      </c>
      <c r="K111" t="s">
        <v>80</v>
      </c>
      <c r="L111" t="s">
        <v>79</v>
      </c>
    </row>
    <row r="112" spans="2:12" x14ac:dyDescent="0.3">
      <c r="B112" s="93">
        <f>'Nach Mannschaften sortiert'!D112</f>
        <v>46333</v>
      </c>
      <c r="C112" s="94">
        <f>'Nach Mannschaften sortiert'!E112</f>
        <v>0.5</v>
      </c>
      <c r="D112" s="94">
        <f t="shared" si="2"/>
        <v>0.54374999999999996</v>
      </c>
      <c r="E112" s="94" t="str">
        <f>UPPER('Nach Mannschaften sortiert'!F112)</f>
        <v>HORNSTEIN</v>
      </c>
      <c r="G112" t="str">
        <f>'Nach Mannschaften sortiert'!H112</f>
        <v>Auswärts</v>
      </c>
      <c r="H112" t="str">
        <f>'Nach Mannschaften sortiert'!G112</f>
        <v>Hornstein</v>
      </c>
      <c r="I112" t="str">
        <f>'Nach Mannschaften sortiert'!C112</f>
        <v>U9</v>
      </c>
      <c r="J112" s="82" t="s">
        <v>77</v>
      </c>
      <c r="K112" t="s">
        <v>80</v>
      </c>
      <c r="L112" t="s">
        <v>79</v>
      </c>
    </row>
    <row r="113" spans="2:12" x14ac:dyDescent="0.3">
      <c r="B113" s="93">
        <f>'Nach Mannschaften sortiert'!D113</f>
        <v>46312</v>
      </c>
      <c r="C113" s="94">
        <f>'Nach Mannschaften sortiert'!E113</f>
        <v>0.39583333333333331</v>
      </c>
      <c r="D113" s="94">
        <f t="shared" si="2"/>
        <v>0.52083333333333326</v>
      </c>
      <c r="E113" s="94" t="str">
        <f>UPPER('Nach Mannschaften sortiert'!F113)</f>
        <v>NEUFELD</v>
      </c>
      <c r="G113" t="str">
        <f>'Nach Mannschaften sortiert'!H113</f>
        <v>Heim</v>
      </c>
      <c r="H113" t="str">
        <f>'Nach Mannschaften sortiert'!G113</f>
        <v>Heimturnier</v>
      </c>
      <c r="I113" t="str">
        <f>'Nach Mannschaften sortiert'!C113</f>
        <v>U8</v>
      </c>
      <c r="J113" s="82" t="s">
        <v>77</v>
      </c>
      <c r="K113" t="s">
        <v>80</v>
      </c>
      <c r="L113" t="s">
        <v>79</v>
      </c>
    </row>
    <row r="114" spans="2:12" x14ac:dyDescent="0.3">
      <c r="B114" s="93">
        <f>'Nach Mannschaften sortiert'!D114</f>
        <v>46284</v>
      </c>
      <c r="C114" s="94">
        <f>'Nach Mannschaften sortiert'!E114</f>
        <v>0.39583333333333331</v>
      </c>
      <c r="D114" s="94">
        <f t="shared" si="2"/>
        <v>0.52083333333333326</v>
      </c>
      <c r="E114" s="94" t="str">
        <f>UPPER('Nach Mannschaften sortiert'!F114)</f>
        <v>WIMPASSING</v>
      </c>
      <c r="G114" t="str">
        <f>'Nach Mannschaften sortiert'!H114</f>
        <v>Auswärts</v>
      </c>
      <c r="H114" t="str">
        <f>'Nach Mannschaften sortiert'!G114</f>
        <v>Turnier</v>
      </c>
      <c r="I114" t="str">
        <f>'Nach Mannschaften sortiert'!C114</f>
        <v>U8</v>
      </c>
      <c r="J114" s="82" t="s">
        <v>77</v>
      </c>
      <c r="K114" t="s">
        <v>80</v>
      </c>
      <c r="L114" t="s">
        <v>79</v>
      </c>
    </row>
    <row r="115" spans="2:12" x14ac:dyDescent="0.3">
      <c r="B115" s="93">
        <f>'Nach Mannschaften sortiert'!D115</f>
        <v>46291</v>
      </c>
      <c r="C115" s="94">
        <f>'Nach Mannschaften sortiert'!E115</f>
        <v>0.39583333333333331</v>
      </c>
      <c r="D115" s="94">
        <f t="shared" si="2"/>
        <v>0.52083333333333326</v>
      </c>
      <c r="E115" s="94" t="str">
        <f>UPPER('Nach Mannschaften sortiert'!F115)</f>
        <v>LEITHAPRODERSDORF</v>
      </c>
      <c r="G115" t="str">
        <f>'Nach Mannschaften sortiert'!H115</f>
        <v>Auswärts</v>
      </c>
      <c r="H115" t="str">
        <f>'Nach Mannschaften sortiert'!G115</f>
        <v>Turnier</v>
      </c>
      <c r="I115" t="str">
        <f>'Nach Mannschaften sortiert'!C115</f>
        <v>U8</v>
      </c>
      <c r="J115" s="82" t="s">
        <v>77</v>
      </c>
      <c r="K115" t="s">
        <v>80</v>
      </c>
      <c r="L115" t="s">
        <v>79</v>
      </c>
    </row>
    <row r="116" spans="2:12" x14ac:dyDescent="0.3">
      <c r="B116" s="93">
        <f>'Nach Mannschaften sortiert'!D116</f>
        <v>46305</v>
      </c>
      <c r="C116" s="94">
        <f>'Nach Mannschaften sortiert'!E116</f>
        <v>0.39583333333333331</v>
      </c>
      <c r="D116" s="94">
        <f t="shared" si="2"/>
        <v>0.52083333333333326</v>
      </c>
      <c r="E116" s="94" t="str">
        <f>UPPER('Nach Mannschaften sortiert'!F116)</f>
        <v>HORNSTEIN</v>
      </c>
      <c r="G116" t="str">
        <f>'Nach Mannschaften sortiert'!H116</f>
        <v>Auswärts</v>
      </c>
      <c r="H116" t="str">
        <f>'Nach Mannschaften sortiert'!G116</f>
        <v>Turnier</v>
      </c>
      <c r="I116" t="str">
        <f>'Nach Mannschaften sortiert'!C116</f>
        <v>U8</v>
      </c>
      <c r="J116" s="82" t="s">
        <v>77</v>
      </c>
      <c r="K116" t="s">
        <v>80</v>
      </c>
      <c r="L116" t="s">
        <v>79</v>
      </c>
    </row>
    <row r="117" spans="2:12" x14ac:dyDescent="0.3">
      <c r="B117" s="93">
        <f>'Nach Mannschaften sortiert'!D117</f>
        <v>46278</v>
      </c>
      <c r="C117" s="94">
        <f>'Nach Mannschaften sortiert'!E117</f>
        <v>0.41666666666666669</v>
      </c>
      <c r="D117" s="94">
        <f t="shared" si="2"/>
        <v>0.54166666666666674</v>
      </c>
      <c r="E117" s="94" t="str">
        <f>UPPER('Nach Mannschaften sortiert'!F117)</f>
        <v>STEINBRUNN</v>
      </c>
      <c r="G117" t="str">
        <f>'Nach Mannschaften sortiert'!H117</f>
        <v>Auswärts</v>
      </c>
      <c r="H117" t="str">
        <f>'Nach Mannschaften sortiert'!G117</f>
        <v>Turnier</v>
      </c>
      <c r="I117" t="str">
        <f>'Nach Mannschaften sortiert'!C117</f>
        <v>U8</v>
      </c>
      <c r="J117" s="82" t="s">
        <v>77</v>
      </c>
      <c r="K117" t="s">
        <v>80</v>
      </c>
      <c r="L117" t="s">
        <v>79</v>
      </c>
    </row>
    <row r="118" spans="2:12" x14ac:dyDescent="0.3">
      <c r="B118" s="93">
        <f>'Nach Mannschaften sortiert'!D118</f>
        <v>0</v>
      </c>
      <c r="C118" s="94">
        <f>'Nach Mannschaften sortiert'!E118</f>
        <v>0</v>
      </c>
      <c r="D118" s="94">
        <f t="shared" si="2"/>
        <v>0.125</v>
      </c>
      <c r="E118" s="94" t="str">
        <f>UPPER('Nach Mannschaften sortiert'!F118)</f>
        <v/>
      </c>
      <c r="G118">
        <f>'Nach Mannschaften sortiert'!H118</f>
        <v>0</v>
      </c>
      <c r="H118">
        <f>'Nach Mannschaften sortiert'!G118</f>
        <v>0</v>
      </c>
      <c r="I118" t="str">
        <f>'Nach Mannschaften sortiert'!C118</f>
        <v>U7</v>
      </c>
      <c r="J118" s="82" t="s">
        <v>192</v>
      </c>
      <c r="K118" t="s">
        <v>80</v>
      </c>
      <c r="L118" t="s">
        <v>79</v>
      </c>
    </row>
    <row r="119" spans="2:12" x14ac:dyDescent="0.3">
      <c r="B119" s="93">
        <f>'Nach Mannschaften sortiert'!D119</f>
        <v>0</v>
      </c>
      <c r="C119" s="94">
        <f>'Nach Mannschaften sortiert'!E119</f>
        <v>0</v>
      </c>
      <c r="D119" s="94">
        <f t="shared" si="2"/>
        <v>0.125</v>
      </c>
      <c r="E119" s="94" t="str">
        <f>UPPER('Nach Mannschaften sortiert'!F119)</f>
        <v/>
      </c>
      <c r="G119">
        <f>'Nach Mannschaften sortiert'!H119</f>
        <v>0</v>
      </c>
      <c r="H119">
        <f>'Nach Mannschaften sortiert'!G119</f>
        <v>0</v>
      </c>
      <c r="I119" t="str">
        <f>'Nach Mannschaften sortiert'!C120</f>
        <v>U7</v>
      </c>
      <c r="J119" s="82" t="s">
        <v>192</v>
      </c>
      <c r="K119" t="s">
        <v>80</v>
      </c>
      <c r="L119" t="s">
        <v>79</v>
      </c>
    </row>
    <row r="120" spans="2:12" x14ac:dyDescent="0.3">
      <c r="B120" s="93">
        <f>'Nach Mannschaften sortiert'!D120</f>
        <v>0</v>
      </c>
      <c r="C120" s="94">
        <f>'Nach Mannschaften sortiert'!E120</f>
        <v>0</v>
      </c>
      <c r="D120" s="94">
        <f t="shared" si="2"/>
        <v>0.125</v>
      </c>
      <c r="E120" s="94" t="str">
        <f>UPPER('Nach Mannschaften sortiert'!F120)</f>
        <v/>
      </c>
      <c r="G120">
        <f>'Nach Mannschaften sortiert'!H120</f>
        <v>0</v>
      </c>
      <c r="H120">
        <f>'Nach Mannschaften sortiert'!G120</f>
        <v>0</v>
      </c>
      <c r="I120" t="str">
        <f>'Nach Mannschaften sortiert'!C121</f>
        <v>U7</v>
      </c>
      <c r="J120" s="82" t="s">
        <v>192</v>
      </c>
      <c r="K120" t="s">
        <v>80</v>
      </c>
      <c r="L120" t="s">
        <v>79</v>
      </c>
    </row>
    <row r="121" spans="2:12" x14ac:dyDescent="0.3">
      <c r="B121" s="93">
        <f>'Nach Mannschaften sortiert'!D121</f>
        <v>0</v>
      </c>
      <c r="C121" s="94">
        <f>'Nach Mannschaften sortiert'!E121</f>
        <v>0</v>
      </c>
      <c r="D121" s="94">
        <f t="shared" si="2"/>
        <v>0.125</v>
      </c>
      <c r="E121" s="94" t="str">
        <f>UPPER('Nach Mannschaften sortiert'!F121)</f>
        <v/>
      </c>
      <c r="G121">
        <f>'Nach Mannschaften sortiert'!H121</f>
        <v>0</v>
      </c>
      <c r="H121">
        <f>'Nach Mannschaften sortiert'!G121</f>
        <v>0</v>
      </c>
      <c r="I121" t="str">
        <f>'Nach Mannschaften sortiert'!C122</f>
        <v>U7</v>
      </c>
      <c r="J121" s="82" t="s">
        <v>192</v>
      </c>
      <c r="K121" t="s">
        <v>80</v>
      </c>
      <c r="L121" t="s">
        <v>79</v>
      </c>
    </row>
    <row r="122" spans="2:12" x14ac:dyDescent="0.3">
      <c r="B122" s="93">
        <f>'Nach Mannschaften sortiert'!D122</f>
        <v>0</v>
      </c>
      <c r="C122" s="94">
        <f>'Nach Mannschaften sortiert'!E122</f>
        <v>0</v>
      </c>
      <c r="D122" s="94">
        <f t="shared" si="2"/>
        <v>0.125</v>
      </c>
      <c r="E122" s="94" t="str">
        <f>UPPER('Nach Mannschaften sortiert'!F122)</f>
        <v/>
      </c>
      <c r="G122">
        <f>'Nach Mannschaften sortiert'!H122</f>
        <v>0</v>
      </c>
      <c r="H122">
        <f>'Nach Mannschaften sortiert'!G122</f>
        <v>0</v>
      </c>
      <c r="I122" t="str">
        <f>'Nach Mannschaften sortiert'!C123</f>
        <v>U7</v>
      </c>
      <c r="J122" s="82" t="s">
        <v>192</v>
      </c>
      <c r="K122" t="s">
        <v>80</v>
      </c>
      <c r="L122" t="s">
        <v>79</v>
      </c>
    </row>
    <row r="123" spans="2:12" x14ac:dyDescent="0.3">
      <c r="B123" s="93">
        <f>'Nach Mannschaften sortiert'!D123</f>
        <v>46230</v>
      </c>
      <c r="C123" s="94">
        <f>'Nach Mannschaften sortiert'!E123</f>
        <v>0.375</v>
      </c>
      <c r="D123" s="94">
        <f t="shared" si="2"/>
        <v>0.5</v>
      </c>
      <c r="E123" s="94" t="str">
        <f>UPPER('Nach Mannschaften sortiert'!F123)</f>
        <v>NEUFELD</v>
      </c>
      <c r="G123" t="str">
        <f>'Nach Mannschaften sortiert'!H123</f>
        <v>Heim</v>
      </c>
      <c r="H123" t="str">
        <f>'Nach Mannschaften sortiert'!G123</f>
        <v>REAL MADRID CAMP</v>
      </c>
      <c r="I123" t="str">
        <f>'Nach Mannschaften sortiert'!C124</f>
        <v>Camp</v>
      </c>
      <c r="J123" s="82" t="s">
        <v>77</v>
      </c>
      <c r="K123" t="s">
        <v>80</v>
      </c>
      <c r="L123" t="s">
        <v>79</v>
      </c>
    </row>
    <row r="124" spans="2:12" x14ac:dyDescent="0.3">
      <c r="B124" s="93">
        <f>'Nach Mannschaften sortiert'!D124</f>
        <v>46231</v>
      </c>
      <c r="C124" s="94">
        <f>'Nach Mannschaften sortiert'!E124</f>
        <v>0.375</v>
      </c>
      <c r="D124" s="94">
        <f t="shared" si="2"/>
        <v>0.5</v>
      </c>
      <c r="E124" s="94" t="str">
        <f>UPPER('Nach Mannschaften sortiert'!F124)</f>
        <v>NEUFELD</v>
      </c>
      <c r="G124" t="str">
        <f>'Nach Mannschaften sortiert'!H124</f>
        <v>Heim</v>
      </c>
      <c r="H124" t="str">
        <f>'Nach Mannschaften sortiert'!G124</f>
        <v>REAL MADRID CAMP</v>
      </c>
      <c r="I124" t="str">
        <f>'Nach Mannschaften sortiert'!C125</f>
        <v>Camp</v>
      </c>
      <c r="J124" s="82" t="s">
        <v>77</v>
      </c>
      <c r="K124" t="s">
        <v>80</v>
      </c>
      <c r="L124" t="s">
        <v>79</v>
      </c>
    </row>
    <row r="125" spans="2:12" x14ac:dyDescent="0.3">
      <c r="B125" s="93">
        <f>'Nach Mannschaften sortiert'!D125</f>
        <v>46232</v>
      </c>
      <c r="C125" s="94">
        <f>'Nach Mannschaften sortiert'!E125</f>
        <v>0.375</v>
      </c>
      <c r="D125" s="94">
        <f t="shared" si="2"/>
        <v>0.5</v>
      </c>
      <c r="E125" s="94" t="str">
        <f>UPPER('Nach Mannschaften sortiert'!F125)</f>
        <v>NEUFELD</v>
      </c>
      <c r="G125" t="str">
        <f>'Nach Mannschaften sortiert'!H125</f>
        <v>Heim</v>
      </c>
      <c r="H125" t="str">
        <f>'Nach Mannschaften sortiert'!G125</f>
        <v>REAL MADRID CAMP</v>
      </c>
      <c r="I125" t="str">
        <f>'Nach Mannschaften sortiert'!C126</f>
        <v>Camp</v>
      </c>
      <c r="J125" s="82" t="s">
        <v>77</v>
      </c>
      <c r="K125" t="s">
        <v>80</v>
      </c>
      <c r="L125" t="s">
        <v>79</v>
      </c>
    </row>
    <row r="126" spans="2:12" x14ac:dyDescent="0.3">
      <c r="B126" s="93">
        <f>'Nach Mannschaften sortiert'!D126</f>
        <v>46233</v>
      </c>
      <c r="C126" s="94">
        <f>'Nach Mannschaften sortiert'!E126</f>
        <v>0.375</v>
      </c>
      <c r="D126" s="94">
        <f t="shared" si="2"/>
        <v>0.5</v>
      </c>
      <c r="E126" s="94" t="str">
        <f>UPPER('Nach Mannschaften sortiert'!F126)</f>
        <v>NEUFELD</v>
      </c>
      <c r="G126" t="str">
        <f>'Nach Mannschaften sortiert'!H126</f>
        <v>Heim</v>
      </c>
      <c r="H126" t="str">
        <f>'Nach Mannschaften sortiert'!G126</f>
        <v>REAL MADRID CAMP</v>
      </c>
      <c r="I126" t="str">
        <f>'Nach Mannschaften sortiert'!C127</f>
        <v>Camp</v>
      </c>
      <c r="J126" s="82" t="s">
        <v>77</v>
      </c>
      <c r="K126" t="s">
        <v>80</v>
      </c>
      <c r="L126" t="s">
        <v>79</v>
      </c>
    </row>
    <row r="127" spans="2:12" x14ac:dyDescent="0.3">
      <c r="B127" s="93">
        <f>'Nach Mannschaften sortiert'!D127</f>
        <v>46234</v>
      </c>
      <c r="C127" s="94">
        <f>'Nach Mannschaften sortiert'!E127</f>
        <v>0.375</v>
      </c>
      <c r="D127" s="94">
        <f t="shared" si="2"/>
        <v>0.5</v>
      </c>
      <c r="E127" s="94" t="str">
        <f>UPPER('Nach Mannschaften sortiert'!F127)</f>
        <v>NEUFELD</v>
      </c>
      <c r="G127" t="str">
        <f>'Nach Mannschaften sortiert'!H127</f>
        <v>Heim</v>
      </c>
      <c r="H127" t="str">
        <f>'Nach Mannschaften sortiert'!G127</f>
        <v>REAL MADRID CAMP</v>
      </c>
      <c r="I127" t="str">
        <f>'Nach Mannschaften sortiert'!C128</f>
        <v>Camp</v>
      </c>
      <c r="J127" s="82" t="s">
        <v>77</v>
      </c>
      <c r="K127" t="s">
        <v>80</v>
      </c>
      <c r="L127" t="s">
        <v>79</v>
      </c>
    </row>
    <row r="128" spans="2:12" x14ac:dyDescent="0.3">
      <c r="B128" s="93">
        <f>'Nach Mannschaften sortiert'!D128</f>
        <v>46237</v>
      </c>
      <c r="C128" s="94">
        <f>'Nach Mannschaften sortiert'!E128</f>
        <v>0.375</v>
      </c>
      <c r="D128" s="94">
        <f t="shared" si="2"/>
        <v>0.5</v>
      </c>
      <c r="E128" s="94" t="str">
        <f>UPPER('Nach Mannschaften sortiert'!F128)</f>
        <v>NEUFELD</v>
      </c>
      <c r="G128" t="str">
        <f>'Nach Mannschaften sortiert'!H128</f>
        <v>Heim</v>
      </c>
      <c r="H128" t="str">
        <f>'Nach Mannschaften sortiert'!G128</f>
        <v>MÄDCHENCAMP</v>
      </c>
      <c r="I128" t="str">
        <f>'Nach Mannschaften sortiert'!C129</f>
        <v>Camp</v>
      </c>
      <c r="J128" s="82" t="s">
        <v>77</v>
      </c>
      <c r="K128" t="s">
        <v>80</v>
      </c>
      <c r="L128" t="s">
        <v>79</v>
      </c>
    </row>
    <row r="129" spans="2:12" x14ac:dyDescent="0.3">
      <c r="B129" s="93">
        <f>'Nach Mannschaften sortiert'!D129</f>
        <v>46238</v>
      </c>
      <c r="C129" s="94">
        <f>'Nach Mannschaften sortiert'!E129</f>
        <v>0.375</v>
      </c>
      <c r="D129" s="94">
        <f t="shared" si="2"/>
        <v>0.5</v>
      </c>
      <c r="E129" s="94" t="str">
        <f>UPPER('Nach Mannschaften sortiert'!F129)</f>
        <v>NEUFELD</v>
      </c>
      <c r="G129" t="str">
        <f>'Nach Mannschaften sortiert'!H129</f>
        <v>Heim</v>
      </c>
      <c r="H129" t="str">
        <f>'Nach Mannschaften sortiert'!G129</f>
        <v>MÄDCHENCAMP</v>
      </c>
      <c r="I129" t="str">
        <f>'Nach Mannschaften sortiert'!C130</f>
        <v>Camp</v>
      </c>
      <c r="J129" s="82" t="s">
        <v>77</v>
      </c>
      <c r="K129" t="s">
        <v>80</v>
      </c>
      <c r="L129" t="s">
        <v>79</v>
      </c>
    </row>
    <row r="130" spans="2:12" x14ac:dyDescent="0.3">
      <c r="B130" s="93">
        <f>'Nach Mannschaften sortiert'!D130</f>
        <v>46239</v>
      </c>
      <c r="C130" s="94">
        <f>'Nach Mannschaften sortiert'!E130</f>
        <v>0.375</v>
      </c>
      <c r="D130" s="94">
        <f t="shared" si="2"/>
        <v>0.5</v>
      </c>
      <c r="E130" s="94" t="str">
        <f>UPPER('Nach Mannschaften sortiert'!F130)</f>
        <v>NEUFELD</v>
      </c>
      <c r="G130" t="str">
        <f>'Nach Mannschaften sortiert'!H130</f>
        <v>Heim</v>
      </c>
      <c r="H130" t="str">
        <f>'Nach Mannschaften sortiert'!G130</f>
        <v>MÄDCHENCAMP</v>
      </c>
      <c r="I130" t="str">
        <f>'Nach Mannschaften sortiert'!C131</f>
        <v>Camp</v>
      </c>
      <c r="J130" s="82" t="s">
        <v>77</v>
      </c>
      <c r="K130" t="s">
        <v>80</v>
      </c>
      <c r="L130" t="s">
        <v>79</v>
      </c>
    </row>
    <row r="131" spans="2:12" x14ac:dyDescent="0.3">
      <c r="B131" s="93">
        <f>'Nach Mannschaften sortiert'!D131</f>
        <v>46321</v>
      </c>
      <c r="C131" s="94">
        <f>'Nach Mannschaften sortiert'!E131</f>
        <v>0.375</v>
      </c>
      <c r="D131" s="94">
        <f t="shared" si="2"/>
        <v>0.5</v>
      </c>
      <c r="E131" s="94" t="str">
        <f>UPPER('Nach Mannschaften sortiert'!F131)</f>
        <v>NEUFELD</v>
      </c>
      <c r="G131" t="str">
        <f>'Nach Mannschaften sortiert'!H131</f>
        <v>Heim</v>
      </c>
      <c r="H131" t="str">
        <f>'Nach Mannschaften sortiert'!G131</f>
        <v>Teco 7 Camp</v>
      </c>
      <c r="I131" t="str">
        <f>'Nach Mannschaften sortiert'!C132</f>
        <v>Camp</v>
      </c>
      <c r="J131" s="82" t="s">
        <v>77</v>
      </c>
      <c r="K131" t="s">
        <v>80</v>
      </c>
      <c r="L131" t="s">
        <v>79</v>
      </c>
    </row>
    <row r="132" spans="2:12" x14ac:dyDescent="0.3">
      <c r="B132" s="93">
        <f>'Nach Mannschaften sortiert'!D132</f>
        <v>46322</v>
      </c>
      <c r="C132" s="94">
        <f>'Nach Mannschaften sortiert'!E132</f>
        <v>0.375</v>
      </c>
      <c r="D132" s="94">
        <f t="shared" ref="D132:D141" si="3">IF(I132="KM",C132+"1:45",IF(I132="U23",C132+"1:45",IF(I132="U16",C132+"1:45",IF(I132="U15",C132+"1:30",IF(I132="U14",C132+"1:30",IF(I132="U13",C132+"1:35",IF(I132="U12_1",C132+"1:10",IF(I132="U12_2",C132+"1:10",IF(I132="U11",C132+"1:10",IF(I132="U10",C132+"1:03",IF(I132="U9",C132+"1:03",C132+"3:00")))))))))))</f>
        <v>0.5</v>
      </c>
      <c r="E132" s="94" t="str">
        <f>UPPER('Nach Mannschaften sortiert'!F132)</f>
        <v>NEUFELD</v>
      </c>
      <c r="G132" t="str">
        <f>'Nach Mannschaften sortiert'!H132</f>
        <v>Heim</v>
      </c>
      <c r="H132" t="str">
        <f>'Nach Mannschaften sortiert'!G132</f>
        <v>Teco 7 Camp</v>
      </c>
      <c r="I132" t="str">
        <f>'Nach Mannschaften sortiert'!C133</f>
        <v>Camp</v>
      </c>
      <c r="J132" s="82" t="s">
        <v>77</v>
      </c>
      <c r="K132" t="s">
        <v>80</v>
      </c>
      <c r="L132" t="s">
        <v>79</v>
      </c>
    </row>
    <row r="133" spans="2:12" x14ac:dyDescent="0.3">
      <c r="B133" s="93">
        <f>'Nach Mannschaften sortiert'!D133</f>
        <v>46323</v>
      </c>
      <c r="C133" s="94">
        <f>'Nach Mannschaften sortiert'!E133</f>
        <v>0.375</v>
      </c>
      <c r="D133" s="94">
        <f t="shared" si="3"/>
        <v>0.5</v>
      </c>
      <c r="E133" s="94" t="str">
        <f>UPPER('Nach Mannschaften sortiert'!F133)</f>
        <v>NEUFELD</v>
      </c>
      <c r="G133" t="str">
        <f>'Nach Mannschaften sortiert'!H133</f>
        <v>Heim</v>
      </c>
      <c r="H133" t="str">
        <f>'Nach Mannschaften sortiert'!G133</f>
        <v>Teco 7 Camp</v>
      </c>
      <c r="I133" t="str">
        <f>'Nach Mannschaften sortiert'!C134</f>
        <v>Camp</v>
      </c>
      <c r="J133" s="82" t="s">
        <v>77</v>
      </c>
      <c r="K133" t="s">
        <v>80</v>
      </c>
      <c r="L133" t="s">
        <v>79</v>
      </c>
    </row>
    <row r="134" spans="2:12" x14ac:dyDescent="0.3">
      <c r="B134" s="93">
        <f>'Nach Mannschaften sortiert'!D134</f>
        <v>46256</v>
      </c>
      <c r="C134" s="94">
        <f>'Nach Mannschaften sortiert'!E134</f>
        <v>0.375</v>
      </c>
      <c r="D134" s="94">
        <f t="shared" si="3"/>
        <v>0.5</v>
      </c>
      <c r="E134" s="94" t="str">
        <f>UPPER('Nach Mannschaften sortiert'!F134)</f>
        <v>NEUFELD</v>
      </c>
      <c r="G134" t="str">
        <f>'Nach Mannschaften sortiert'!H134</f>
        <v>Heim</v>
      </c>
      <c r="H134" t="str">
        <f>'Nach Mannschaften sortiert'!G134</f>
        <v>viele Gegner</v>
      </c>
      <c r="I134" t="str">
        <f>'Nach Mannschaften sortiert'!C135</f>
        <v>Turnier</v>
      </c>
      <c r="J134" s="82" t="s">
        <v>77</v>
      </c>
      <c r="K134" t="s">
        <v>80</v>
      </c>
      <c r="L134" t="s">
        <v>79</v>
      </c>
    </row>
    <row r="135" spans="2:12" x14ac:dyDescent="0.3">
      <c r="B135" s="93">
        <f>'Nach Mannschaften sortiert'!D135</f>
        <v>46367</v>
      </c>
      <c r="C135" s="94">
        <f>'Nach Mannschaften sortiert'!E135</f>
        <v>0.6875</v>
      </c>
      <c r="D135" s="94">
        <f t="shared" si="3"/>
        <v>0.8125</v>
      </c>
      <c r="E135" s="94" t="str">
        <f>UPPER('Nach Mannschaften sortiert'!F135)</f>
        <v>STEINBRUNN</v>
      </c>
      <c r="G135" t="str">
        <f>'Nach Mannschaften sortiert'!H135</f>
        <v>Heim</v>
      </c>
      <c r="H135" t="str">
        <f>'Nach Mannschaften sortiert'!G135</f>
        <v>Hallencup 2026_27</v>
      </c>
      <c r="I135" t="str">
        <f>'Nach Mannschaften sortiert'!C136</f>
        <v>Turnier</v>
      </c>
      <c r="J135" s="82" t="s">
        <v>77</v>
      </c>
      <c r="K135" t="s">
        <v>80</v>
      </c>
      <c r="L135" t="s">
        <v>79</v>
      </c>
    </row>
    <row r="136" spans="2:12" x14ac:dyDescent="0.3">
      <c r="B136" s="93">
        <f>'Nach Mannschaften sortiert'!D136</f>
        <v>46368</v>
      </c>
      <c r="C136" s="94">
        <f>'Nach Mannschaften sortiert'!E136</f>
        <v>0.35416666666666669</v>
      </c>
      <c r="D136" s="94">
        <f t="shared" si="3"/>
        <v>0.47916666666666669</v>
      </c>
      <c r="E136" s="94" t="str">
        <f>UPPER('Nach Mannschaften sortiert'!F136)</f>
        <v>STEINBRUNN</v>
      </c>
      <c r="G136" t="str">
        <f>'Nach Mannschaften sortiert'!H136</f>
        <v>Heim</v>
      </c>
      <c r="H136" t="str">
        <f>'Nach Mannschaften sortiert'!G136</f>
        <v>Hallencup 2026_27</v>
      </c>
      <c r="I136" t="str">
        <f>'Nach Mannschaften sortiert'!C137</f>
        <v>Turnier</v>
      </c>
      <c r="J136" s="82" t="s">
        <v>77</v>
      </c>
      <c r="K136" t="s">
        <v>80</v>
      </c>
      <c r="L136" t="s">
        <v>79</v>
      </c>
    </row>
    <row r="137" spans="2:12" x14ac:dyDescent="0.3">
      <c r="B137" s="93">
        <f>'Nach Mannschaften sortiert'!D137</f>
        <v>46369</v>
      </c>
      <c r="C137" s="94">
        <f>'Nach Mannschaften sortiert'!E137</f>
        <v>0.375</v>
      </c>
      <c r="D137" s="94">
        <f t="shared" si="3"/>
        <v>0.5</v>
      </c>
      <c r="E137" s="94" t="str">
        <f>UPPER('Nach Mannschaften sortiert'!F137)</f>
        <v>STEINBRUNN</v>
      </c>
      <c r="G137" t="str">
        <f>'Nach Mannschaften sortiert'!H137</f>
        <v>Heim</v>
      </c>
      <c r="H137" t="str">
        <f>'Nach Mannschaften sortiert'!G137</f>
        <v>Hallencup 2026_27</v>
      </c>
      <c r="I137" t="str">
        <f>'Nach Mannschaften sortiert'!C138</f>
        <v>Turnier</v>
      </c>
      <c r="J137" s="82" t="s">
        <v>77</v>
      </c>
      <c r="K137" t="s">
        <v>80</v>
      </c>
      <c r="L137" t="s">
        <v>79</v>
      </c>
    </row>
    <row r="138" spans="2:12" x14ac:dyDescent="0.3">
      <c r="B138" s="93">
        <f>'Nach Mannschaften sortiert'!D138</f>
        <v>46359</v>
      </c>
      <c r="C138" s="94">
        <f>'Nach Mannschaften sortiert'!E138</f>
        <v>0.70833333333333337</v>
      </c>
      <c r="D138" s="94">
        <f t="shared" si="3"/>
        <v>0.83333333333333337</v>
      </c>
      <c r="E138" s="94" t="str">
        <f>UPPER('Nach Mannschaften sortiert'!F138)</f>
        <v>STEINBRUNN</v>
      </c>
      <c r="G138" t="str">
        <f>'Nach Mannschaften sortiert'!H138</f>
        <v>Heim</v>
      </c>
      <c r="H138" t="str">
        <f>'Nach Mannschaften sortiert'!G138</f>
        <v>Weihnachtsfeier 2026</v>
      </c>
      <c r="I138" t="str">
        <f>'Nach Mannschaften sortiert'!C139</f>
        <v>Weihnachtsfeier</v>
      </c>
      <c r="J138" s="82" t="s">
        <v>77</v>
      </c>
      <c r="K138" t="s">
        <v>80</v>
      </c>
      <c r="L138" t="s">
        <v>79</v>
      </c>
    </row>
    <row r="139" spans="2:12" x14ac:dyDescent="0.3">
      <c r="B139" s="93">
        <f>'Nach Mannschaften sortiert'!D139</f>
        <v>46402</v>
      </c>
      <c r="C139" s="94">
        <f>'Nach Mannschaften sortiert'!E139</f>
        <v>0.6875</v>
      </c>
      <c r="D139" s="94">
        <f t="shared" si="3"/>
        <v>0.8125</v>
      </c>
      <c r="E139" s="94" t="str">
        <f>UPPER('Nach Mannschaften sortiert'!F139)</f>
        <v>STEINBRUNN</v>
      </c>
      <c r="G139" t="str">
        <f>'Nach Mannschaften sortiert'!H139</f>
        <v>Heim</v>
      </c>
      <c r="H139" t="str">
        <f>'Nach Mannschaften sortiert'!G139</f>
        <v>Hallencup 2026_27</v>
      </c>
      <c r="I139" t="str">
        <f>'Nach Mannschaften sortiert'!C140</f>
        <v>Turnier</v>
      </c>
      <c r="J139" s="82" t="s">
        <v>77</v>
      </c>
      <c r="K139" t="s">
        <v>80</v>
      </c>
      <c r="L139" t="s">
        <v>79</v>
      </c>
    </row>
    <row r="140" spans="2:12" x14ac:dyDescent="0.3">
      <c r="B140" s="93">
        <f>'Nach Mannschaften sortiert'!D140</f>
        <v>46403</v>
      </c>
      <c r="C140" s="94">
        <f>'Nach Mannschaften sortiert'!E140</f>
        <v>0.35416666666666669</v>
      </c>
      <c r="D140" s="94">
        <f t="shared" si="3"/>
        <v>0.47916666666666669</v>
      </c>
      <c r="E140" s="94" t="str">
        <f>UPPER('Nach Mannschaften sortiert'!F140)</f>
        <v>STEINBRUNN</v>
      </c>
      <c r="G140" t="str">
        <f>'Nach Mannschaften sortiert'!H140</f>
        <v>Heim</v>
      </c>
      <c r="H140" t="str">
        <f>'Nach Mannschaften sortiert'!G140</f>
        <v>Hallencup 2026_27</v>
      </c>
      <c r="I140" t="str">
        <f>'Nach Mannschaften sortiert'!C141</f>
        <v>Turnier</v>
      </c>
      <c r="J140" s="82" t="s">
        <v>77</v>
      </c>
      <c r="K140" t="s">
        <v>80</v>
      </c>
      <c r="L140" t="s">
        <v>79</v>
      </c>
    </row>
    <row r="141" spans="2:12" x14ac:dyDescent="0.3">
      <c r="B141" s="93">
        <f>'Nach Mannschaften sortiert'!D141</f>
        <v>46404</v>
      </c>
      <c r="C141" s="94">
        <f>'Nach Mannschaften sortiert'!E141</f>
        <v>0.375</v>
      </c>
      <c r="D141" s="94">
        <f t="shared" si="3"/>
        <v>0.5</v>
      </c>
      <c r="E141" s="94" t="str">
        <f>UPPER('Nach Mannschaften sortiert'!F141)</f>
        <v>STEINBRUNN</v>
      </c>
      <c r="G141" t="str">
        <f>'Nach Mannschaften sortiert'!H141</f>
        <v>Heim</v>
      </c>
      <c r="H141" t="str">
        <f>'Nach Mannschaften sortiert'!G141</f>
        <v>Hallencup 2026_27</v>
      </c>
      <c r="I141" t="str">
        <f>'Nach Mannschaften sortiert'!C142</f>
        <v>Turnier</v>
      </c>
      <c r="J141" s="82" t="s">
        <v>77</v>
      </c>
      <c r="K141" t="s">
        <v>80</v>
      </c>
      <c r="L141" t="s">
        <v>79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>
    <pageSetUpPr fitToPage="1"/>
  </sheetPr>
  <dimension ref="A1:K144"/>
  <sheetViews>
    <sheetView topLeftCell="A63" zoomScale="90" zoomScaleNormal="90" workbookViewId="0">
      <selection activeCell="H131" sqref="H131"/>
    </sheetView>
  </sheetViews>
  <sheetFormatPr baseColWidth="10" defaultRowHeight="14.4" x14ac:dyDescent="0.3"/>
  <cols>
    <col min="1" max="1" width="24.109375" style="54" bestFit="1" customWidth="1"/>
    <col min="2" max="2" width="31" style="100" bestFit="1" customWidth="1"/>
    <col min="3" max="3" width="19.33203125" style="95" customWidth="1"/>
    <col min="4" max="4" width="18.33203125" style="54" customWidth="1"/>
    <col min="5" max="5" width="33.109375" style="54" bestFit="1" customWidth="1"/>
    <col min="6" max="6" width="12.5546875" style="54" bestFit="1" customWidth="1"/>
    <col min="7" max="7" width="24.6640625" style="54" customWidth="1"/>
    <col min="8" max="8" width="12" style="54" customWidth="1"/>
    <col min="9" max="9" width="12" style="54" bestFit="1" customWidth="1"/>
    <col min="10" max="10" width="48" style="54" bestFit="1" customWidth="1"/>
    <col min="11" max="11" width="59.5546875" style="54" bestFit="1" customWidth="1"/>
  </cols>
  <sheetData>
    <row r="1" spans="1:11" ht="22.95" customHeight="1" x14ac:dyDescent="0.4">
      <c r="A1" s="56" t="s">
        <v>2</v>
      </c>
      <c r="B1" s="101" t="s">
        <v>3</v>
      </c>
      <c r="C1" s="102" t="s">
        <v>154</v>
      </c>
      <c r="D1" s="56" t="s">
        <v>5</v>
      </c>
      <c r="E1" s="56" t="s">
        <v>6</v>
      </c>
      <c r="F1" s="56" t="s">
        <v>155</v>
      </c>
      <c r="G1" s="56" t="s">
        <v>156</v>
      </c>
      <c r="H1" s="56" t="s">
        <v>157</v>
      </c>
      <c r="I1" s="56" t="s">
        <v>158</v>
      </c>
      <c r="J1" s="56" t="s">
        <v>159</v>
      </c>
      <c r="K1" s="56" t="s">
        <v>160</v>
      </c>
    </row>
    <row r="2" spans="1:11" ht="15.6" customHeight="1" x14ac:dyDescent="0.3">
      <c r="A2" s="57" t="str">
        <f>'ICS2'!I117</f>
        <v>U8</v>
      </c>
      <c r="B2" s="103">
        <f>'ICS2'!B117</f>
        <v>46278</v>
      </c>
      <c r="C2" s="104">
        <f>'ICS2'!C117</f>
        <v>0.41666666666666669</v>
      </c>
      <c r="D2" s="57" t="str">
        <f>'ICS2'!E117</f>
        <v>STEINBRUNN</v>
      </c>
      <c r="E2" s="57" t="str">
        <f>'ICS2'!H117</f>
        <v>Turnier</v>
      </c>
      <c r="F2" s="57" t="str">
        <f t="shared" ref="F2:F33" si="0">A2</f>
        <v>U8</v>
      </c>
      <c r="G2" s="57" t="str">
        <f t="shared" ref="G2:G10" si="1">IF(F2="KM","Großfeld",IF(F2="U23","Großfeld",IF(F2="U16","Großfeld",IF(F2="U15","Großfeld",IF(F2="U14","Großfeld",IF(F2="U12_1","55*40",IF(F2="U12_2","55x40",IF(F2="U11","55x40",IF(F2="U10","40x25",IF(F2="U9","40x25",IF(F2="U8","29x22",IF(F2="U7","25x20","16x15"))))))))))))</f>
        <v>29x22</v>
      </c>
      <c r="H2" s="57" t="str">
        <f t="shared" ref="H2:H10" si="2">IF(F2="KM","7,32x2,44",IF(F2="U23","7,32x2,44",IF(F2="U16","7,32x2,44",IF(F2="U15","7,32x2,44",IF(F2="U14","7,32x2,44",IF(F2="U13","5x2",IF(F2="U12_1","7,32x2,44",IF(F2="U12_2","7,32x2,44",IF(F2="U11","5x2",IF(F2="U10","5x2
",IF(F2="U9","5x2","4 Minitore")))))))))))</f>
        <v>4 Minitore</v>
      </c>
      <c r="I2" s="57" t="str">
        <f t="shared" ref="I2:I10" si="3">IF(F2="KM","5",IF(F2="U23",5,IF(F2="U16","5",IF(F2="U15","5",IF(F2="U14","4",IF(F2="U13","4",IF(F2="U12_1","4",IF(F2="U12_2","4",IF(F2="U11","4",IF(F2="U10","4",IF(F2="U9","4","3")))))))))))</f>
        <v>3</v>
      </c>
      <c r="J2" s="57" t="str">
        <f t="shared" ref="J2:J33" si="4">IF(F2="KM","Pleninger Stefan &amp; Matthias Wachter",IF(F2="U23","Egzon Gentiani &amp; Dinges Stefan",IF(F2="U16","Serdar Ekinci &amp; Gernot Sevelda &amp; Hubi Oberhofer",IF(F2="U15","",IF(F2="U14","Christian Neckamm  &amp; Thomas Pöschl",IF(F2="U13","",IF(F2="U12_1","Tobias Berger &amp; Mario Magler",IF(F2="U12_2","Tobias Berger &amp; Mario Magler",IF(F2="U11","Christian Wirth",IF(F2="U10","Thomas Brandl",IF(F2="U9","Tobias Berger &amp; Sebastian Putric",IF(F2="U8","Ömer Türkes &amp; Taha Mahsumi",IF(F2="U7","Alexander Zax &amp; Jürgen Joszt",IF(F2="FKG","Ronny Archam &amp; Florian Rac",IF(A2="Camp","Berger Dieter",IF(A2="Turnier","Berger Dieter","FEHLER"))))))))))))))))</f>
        <v>Ömer Türkes &amp; Taha Mahsumi</v>
      </c>
      <c r="K2" s="57" t="str">
        <f t="shared" ref="K2:K33" si="5">IF(F2="KM","+43 664 415 99 09 &amp; +43 699 119 70 312",IF(F2="U23","+43 670 18 59 080 &amp; +43 664 451 22 16",IF(F2="U16","+43 690 104 20 129 &amp; +43 676 401 09 13 &amp; +43 699 181 68 504",IF(F2="U15","",IF(F2="U14","+43 699 192 49 527 &amp; +43 677 613 55 114",IF(F2="U13","",IF(F2="U12_1","+43 66 199 13 52 &amp;  +43 664 762 09 93",IF(F2="U12_2","+43 66 199 13 52 &amp;  +43 664 762 09 93",IF(F2="U11","+43 660 423 93 83",IF(F2="U10","+43 676 377 16 30",IF(F2="U9","+43 66 199 13 52 &amp;  +43 660 914 92 36",IF(F2="U8","+43 676 661 62 26 &amp;  +43 681 208 11 599",IF(F2="U7","+43 664 458 88 84 &amp;  +43 660 549 82 40",IF(F2="FKG","+43 699 111 93 828 &amp;  +43 660 600 25 06",IF(A2="Camp","+43 660 77 39 500",IF(A2="Turnier","+43 660 77 39 500","FEHLER"))))))))))))))))</f>
        <v>+43 676 661 62 26 &amp;  +43 681 208 11 599</v>
      </c>
    </row>
    <row r="3" spans="1:11" ht="15.6" x14ac:dyDescent="0.3">
      <c r="A3" s="57" t="str">
        <f>'ICS2'!I2</f>
        <v>U15</v>
      </c>
      <c r="B3" s="103">
        <f>'ICS2'!B2</f>
        <v>46199</v>
      </c>
      <c r="C3" s="104">
        <f>'ICS2'!C2</f>
        <v>0.66666666666666663</v>
      </c>
      <c r="D3" s="57" t="str">
        <f>'ICS2'!E2</f>
        <v>WIMPASSING</v>
      </c>
      <c r="E3" s="57" t="str">
        <f>'ICS2'!H2</f>
        <v>SK Rapid Wien</v>
      </c>
      <c r="F3" s="57" t="str">
        <f t="shared" si="0"/>
        <v>U15</v>
      </c>
      <c r="G3" s="57" t="str">
        <f t="shared" si="1"/>
        <v>Großfeld</v>
      </c>
      <c r="H3" s="57" t="str">
        <f t="shared" si="2"/>
        <v>7,32x2,44</v>
      </c>
      <c r="I3" s="57" t="str">
        <f t="shared" si="3"/>
        <v>5</v>
      </c>
      <c r="J3" s="57" t="str">
        <f t="shared" si="4"/>
        <v/>
      </c>
      <c r="K3" s="57" t="str">
        <f t="shared" si="5"/>
        <v/>
      </c>
    </row>
    <row r="4" spans="1:11" ht="15.6" x14ac:dyDescent="0.3">
      <c r="A4" s="57" t="str">
        <f>'ICS2'!I3</f>
        <v>U16</v>
      </c>
      <c r="B4" s="103">
        <f>'ICS2'!B3</f>
        <v>46199</v>
      </c>
      <c r="C4" s="104">
        <f>'ICS2'!C3</f>
        <v>0.75</v>
      </c>
      <c r="D4" s="57" t="str">
        <f>'ICS2'!E3</f>
        <v>WIMPASSING</v>
      </c>
      <c r="E4" s="57" t="str">
        <f>'ICS2'!H3</f>
        <v>SK Rapid Wien</v>
      </c>
      <c r="F4" s="57" t="str">
        <f t="shared" si="0"/>
        <v>U16</v>
      </c>
      <c r="G4" s="57" t="str">
        <f t="shared" si="1"/>
        <v>Großfeld</v>
      </c>
      <c r="H4" s="57" t="str">
        <f t="shared" si="2"/>
        <v>7,32x2,44</v>
      </c>
      <c r="I4" s="57" t="str">
        <f t="shared" si="3"/>
        <v>5</v>
      </c>
      <c r="J4" s="57" t="str">
        <f t="shared" si="4"/>
        <v>Serdar Ekinci &amp; Gernot Sevelda &amp; Hubi Oberhofer</v>
      </c>
      <c r="K4" s="57" t="str">
        <f t="shared" si="5"/>
        <v>+43 690 104 20 129 &amp; +43 676 401 09 13 &amp; +43 699 181 68 504</v>
      </c>
    </row>
    <row r="5" spans="1:11" ht="15.6" hidden="1" x14ac:dyDescent="0.3">
      <c r="A5" s="57" t="str">
        <f>'ICS2'!I123</f>
        <v>Camp</v>
      </c>
      <c r="B5" s="103">
        <f>'ICS2'!B123</f>
        <v>46230</v>
      </c>
      <c r="C5" s="104">
        <f>'ICS2'!C123</f>
        <v>0.375</v>
      </c>
      <c r="D5" s="57" t="str">
        <f>'ICS2'!E123</f>
        <v>NEUFELD</v>
      </c>
      <c r="E5" s="57" t="str">
        <f>'ICS2'!H123</f>
        <v>REAL MADRID CAMP</v>
      </c>
      <c r="F5" s="57" t="str">
        <f t="shared" si="0"/>
        <v>Camp</v>
      </c>
      <c r="G5" s="57" t="str">
        <f t="shared" si="1"/>
        <v>16x15</v>
      </c>
      <c r="H5" s="57" t="str">
        <f t="shared" si="2"/>
        <v>4 Minitore</v>
      </c>
      <c r="I5" s="57" t="str">
        <f t="shared" si="3"/>
        <v>3</v>
      </c>
      <c r="J5" s="57" t="str">
        <f t="shared" si="4"/>
        <v>Berger Dieter</v>
      </c>
      <c r="K5" s="57" t="str">
        <f t="shared" si="5"/>
        <v>+43 660 77 39 500</v>
      </c>
    </row>
    <row r="6" spans="1:11" ht="15.6" hidden="1" x14ac:dyDescent="0.3">
      <c r="A6" s="57" t="str">
        <f>'ICS2'!I124</f>
        <v>Camp</v>
      </c>
      <c r="B6" s="103">
        <f>'ICS2'!B124</f>
        <v>46231</v>
      </c>
      <c r="C6" s="104">
        <f>'ICS2'!C124</f>
        <v>0.375</v>
      </c>
      <c r="D6" s="57" t="str">
        <f>'ICS2'!E124</f>
        <v>NEUFELD</v>
      </c>
      <c r="E6" s="57" t="str">
        <f>'ICS2'!H124</f>
        <v>REAL MADRID CAMP</v>
      </c>
      <c r="F6" s="57" t="str">
        <f t="shared" si="0"/>
        <v>Camp</v>
      </c>
      <c r="G6" s="57" t="str">
        <f t="shared" si="1"/>
        <v>16x15</v>
      </c>
      <c r="H6" s="57" t="str">
        <f t="shared" si="2"/>
        <v>4 Minitore</v>
      </c>
      <c r="I6" s="57" t="str">
        <f t="shared" si="3"/>
        <v>3</v>
      </c>
      <c r="J6" s="57" t="str">
        <f t="shared" si="4"/>
        <v>Berger Dieter</v>
      </c>
      <c r="K6" s="57" t="str">
        <f t="shared" si="5"/>
        <v>+43 660 77 39 500</v>
      </c>
    </row>
    <row r="7" spans="1:11" ht="15.6" hidden="1" x14ac:dyDescent="0.3">
      <c r="A7" s="57" t="str">
        <f>'ICS2'!I125</f>
        <v>Camp</v>
      </c>
      <c r="B7" s="103">
        <f>'ICS2'!B125</f>
        <v>46232</v>
      </c>
      <c r="C7" s="104">
        <f>'ICS2'!C125</f>
        <v>0.375</v>
      </c>
      <c r="D7" s="57" t="str">
        <f>'ICS2'!E125</f>
        <v>NEUFELD</v>
      </c>
      <c r="E7" s="57" t="str">
        <f>'ICS2'!H125</f>
        <v>REAL MADRID CAMP</v>
      </c>
      <c r="F7" s="57" t="str">
        <f t="shared" si="0"/>
        <v>Camp</v>
      </c>
      <c r="G7" s="57" t="str">
        <f t="shared" si="1"/>
        <v>16x15</v>
      </c>
      <c r="H7" s="57" t="str">
        <f t="shared" si="2"/>
        <v>4 Minitore</v>
      </c>
      <c r="I7" s="57" t="str">
        <f t="shared" si="3"/>
        <v>3</v>
      </c>
      <c r="J7" s="57" t="str">
        <f t="shared" si="4"/>
        <v>Berger Dieter</v>
      </c>
      <c r="K7" s="57" t="str">
        <f t="shared" si="5"/>
        <v>+43 660 77 39 500</v>
      </c>
    </row>
    <row r="8" spans="1:11" ht="15.6" hidden="1" x14ac:dyDescent="0.3">
      <c r="A8" s="57" t="str">
        <f>'ICS2'!I126</f>
        <v>Camp</v>
      </c>
      <c r="B8" s="103">
        <f>'ICS2'!B126</f>
        <v>46233</v>
      </c>
      <c r="C8" s="104">
        <f>'ICS2'!C126</f>
        <v>0.375</v>
      </c>
      <c r="D8" s="57" t="str">
        <f>'ICS2'!E126</f>
        <v>NEUFELD</v>
      </c>
      <c r="E8" s="57" t="str">
        <f>'ICS2'!H126</f>
        <v>REAL MADRID CAMP</v>
      </c>
      <c r="F8" s="57" t="str">
        <f t="shared" si="0"/>
        <v>Camp</v>
      </c>
      <c r="G8" s="57" t="str">
        <f t="shared" si="1"/>
        <v>16x15</v>
      </c>
      <c r="H8" s="57" t="str">
        <f t="shared" si="2"/>
        <v>4 Minitore</v>
      </c>
      <c r="I8" s="57" t="str">
        <f t="shared" si="3"/>
        <v>3</v>
      </c>
      <c r="J8" s="57" t="str">
        <f t="shared" si="4"/>
        <v>Berger Dieter</v>
      </c>
      <c r="K8" s="57" t="str">
        <f t="shared" si="5"/>
        <v>+43 660 77 39 500</v>
      </c>
    </row>
    <row r="9" spans="1:11" ht="15.6" hidden="1" x14ac:dyDescent="0.3">
      <c r="A9" s="57" t="str">
        <f>'ICS2'!I127</f>
        <v>Camp</v>
      </c>
      <c r="B9" s="103">
        <f>'ICS2'!B127</f>
        <v>46234</v>
      </c>
      <c r="C9" s="104">
        <f>'ICS2'!C127</f>
        <v>0.375</v>
      </c>
      <c r="D9" s="57" t="str">
        <f>'ICS2'!E127</f>
        <v>NEUFELD</v>
      </c>
      <c r="E9" s="57" t="str">
        <f>'ICS2'!H127</f>
        <v>REAL MADRID CAMP</v>
      </c>
      <c r="F9" s="57" t="str">
        <f t="shared" si="0"/>
        <v>Camp</v>
      </c>
      <c r="G9" s="57" t="str">
        <f t="shared" si="1"/>
        <v>16x15</v>
      </c>
      <c r="H9" s="57" t="str">
        <f t="shared" si="2"/>
        <v>4 Minitore</v>
      </c>
      <c r="I9" s="57" t="str">
        <f t="shared" si="3"/>
        <v>3</v>
      </c>
      <c r="J9" s="57" t="str">
        <f t="shared" si="4"/>
        <v>Berger Dieter</v>
      </c>
      <c r="K9" s="57" t="str">
        <f t="shared" si="5"/>
        <v>+43 660 77 39 500</v>
      </c>
    </row>
    <row r="10" spans="1:11" ht="15.6" x14ac:dyDescent="0.3">
      <c r="A10" s="57" t="str">
        <f>'ICS2'!I10</f>
        <v>U16</v>
      </c>
      <c r="B10" s="103">
        <f>'ICS2'!B10</f>
        <v>46236</v>
      </c>
      <c r="C10" s="104">
        <f>'ICS2'!C10</f>
        <v>0.4375</v>
      </c>
      <c r="D10" s="57" t="str">
        <f>'ICS2'!E10</f>
        <v>NEUFELD</v>
      </c>
      <c r="E10" s="57" t="str">
        <f>'ICS2'!H10</f>
        <v>Theresienfeld</v>
      </c>
      <c r="F10" s="57" t="str">
        <f t="shared" si="0"/>
        <v>U16</v>
      </c>
      <c r="G10" s="57" t="str">
        <f t="shared" si="1"/>
        <v>Großfeld</v>
      </c>
      <c r="H10" s="57" t="str">
        <f t="shared" si="2"/>
        <v>7,32x2,44</v>
      </c>
      <c r="I10" s="57" t="str">
        <f t="shared" si="3"/>
        <v>5</v>
      </c>
      <c r="J10" s="57" t="str">
        <f t="shared" si="4"/>
        <v>Serdar Ekinci &amp; Gernot Sevelda &amp; Hubi Oberhofer</v>
      </c>
      <c r="K10" s="57" t="str">
        <f t="shared" si="5"/>
        <v>+43 690 104 20 129 &amp; +43 676 401 09 13 &amp; +43 699 181 68 504</v>
      </c>
    </row>
    <row r="11" spans="1:11" ht="15.6" hidden="1" x14ac:dyDescent="0.3">
      <c r="A11" s="57" t="str">
        <f>'ICS2'!I128</f>
        <v>Camp</v>
      </c>
      <c r="B11" s="103">
        <f>'ICS2'!B128</f>
        <v>46237</v>
      </c>
      <c r="C11" s="104">
        <f>'ICS2'!C128</f>
        <v>0.375</v>
      </c>
      <c r="D11" s="57" t="str">
        <f>'ICS2'!E128</f>
        <v>NEUFELD</v>
      </c>
      <c r="E11" s="57" t="str">
        <f>'ICS2'!H128</f>
        <v>MÄDCHENCAMP</v>
      </c>
      <c r="F11" s="57" t="str">
        <f t="shared" si="0"/>
        <v>Camp</v>
      </c>
      <c r="G11" s="57"/>
      <c r="H11" s="57"/>
      <c r="I11" s="57" t="str">
        <f>IF(F11="Großfeld","5",IF(F11="U16","5",IF(F11="U15","5",IF(F11="U14","4",IF(F11="U13","4",IF(F11="U11/U12","4",IF(F11="U9/U10","4",IF(F11="U9","4","3"))))))))</f>
        <v>3</v>
      </c>
      <c r="J11" s="57" t="str">
        <f t="shared" si="4"/>
        <v>Berger Dieter</v>
      </c>
      <c r="K11" s="57" t="str">
        <f t="shared" si="5"/>
        <v>+43 660 77 39 500</v>
      </c>
    </row>
    <row r="12" spans="1:11" ht="15.6" hidden="1" x14ac:dyDescent="0.3">
      <c r="A12" s="57" t="str">
        <f>'ICS2'!I129</f>
        <v>Camp</v>
      </c>
      <c r="B12" s="103">
        <f>'ICS2'!B129</f>
        <v>46238</v>
      </c>
      <c r="C12" s="104">
        <f>'ICS2'!C129</f>
        <v>0.375</v>
      </c>
      <c r="D12" s="57" t="str">
        <f>'ICS2'!E129</f>
        <v>NEUFELD</v>
      </c>
      <c r="E12" s="57" t="str">
        <f>'ICS2'!H129</f>
        <v>MÄDCHENCAMP</v>
      </c>
      <c r="F12" s="57" t="str">
        <f t="shared" si="0"/>
        <v>Camp</v>
      </c>
      <c r="G12" s="57"/>
      <c r="H12" s="57"/>
      <c r="I12" s="57" t="str">
        <f>IF(F12="Großfeld","5",IF(F12="U16","5",IF(F12="U15","5",IF(F12="U14","4",IF(F12="U13","4",IF(F12="U11/U12","4",IF(F12="U9/U10","4",IF(F12="U9","4","3"))))))))</f>
        <v>3</v>
      </c>
      <c r="J12" s="57" t="str">
        <f t="shared" si="4"/>
        <v>Berger Dieter</v>
      </c>
      <c r="K12" s="57" t="str">
        <f t="shared" si="5"/>
        <v>+43 660 77 39 500</v>
      </c>
    </row>
    <row r="13" spans="1:11" ht="15.6" hidden="1" x14ac:dyDescent="0.3">
      <c r="A13" s="57" t="str">
        <f>'ICS2'!I130</f>
        <v>Camp</v>
      </c>
      <c r="B13" s="103">
        <f>'ICS2'!B130</f>
        <v>46239</v>
      </c>
      <c r="C13" s="104">
        <f>'ICS2'!C130</f>
        <v>0.375</v>
      </c>
      <c r="D13" s="57" t="str">
        <f>'ICS2'!E130</f>
        <v>NEUFELD</v>
      </c>
      <c r="E13" s="57" t="str">
        <f>'ICS2'!H130</f>
        <v>MÄDCHENCAMP</v>
      </c>
      <c r="F13" s="57" t="str">
        <f t="shared" si="0"/>
        <v>Camp</v>
      </c>
      <c r="G13" s="57"/>
      <c r="H13" s="57"/>
      <c r="I13" s="57" t="str">
        <f>IF(F13="Großfeld","5",IF(F13="U16","5",IF(F13="U15","5",IF(F13="U14","4",IF(F13="U13","4",IF(F13="U11/U12","4",IF(F13="U9/U10","4",IF(F13="U9","4","3"))))))))</f>
        <v>3</v>
      </c>
      <c r="J13" s="57" t="str">
        <f t="shared" si="4"/>
        <v>Berger Dieter</v>
      </c>
      <c r="K13" s="57" t="str">
        <f t="shared" si="5"/>
        <v>+43 660 77 39 500</v>
      </c>
    </row>
    <row r="14" spans="1:11" ht="15.6" hidden="1" x14ac:dyDescent="0.3">
      <c r="A14" s="57" t="str">
        <f>'ICS2'!I4</f>
        <v>KM</v>
      </c>
      <c r="B14" s="103">
        <f>'ICS2'!B4</f>
        <v>46213</v>
      </c>
      <c r="C14" s="104">
        <f>'ICS2'!C4</f>
        <v>0.79166666666666663</v>
      </c>
      <c r="D14" s="57" t="str">
        <f>'ICS2'!E4</f>
        <v>NEUDÖRFL</v>
      </c>
      <c r="E14" s="57" t="str">
        <f>'ICS2'!H4</f>
        <v>Neudörfl</v>
      </c>
      <c r="F14" s="57" t="str">
        <f t="shared" si="0"/>
        <v>KM</v>
      </c>
      <c r="G14" s="57" t="str">
        <f t="shared" ref="G14:G25" si="6">IF(F14="KM","Großfeld",IF(F14="U23","Großfeld",IF(F14="U16","Großfeld",IF(F14="U15","Großfeld",IF(F14="U14","Großfeld",IF(F14="U12_1","55*40",IF(F14="U12_2","55x40",IF(F14="U11","55x40",IF(F14="U10","40x25",IF(F14="U9","40x25",IF(F14="U8","29x22",IF(F14="U7","25x20","16x15"))))))))))))</f>
        <v>Großfeld</v>
      </c>
      <c r="H14" s="57" t="str">
        <f t="shared" ref="H14:H25" si="7">IF(F14="KM","7,32x2,44",IF(F14="U23","7,32x2,44",IF(F14="U16","7,32x2,44",IF(F14="U15","7,32x2,44",IF(F14="U14","7,32x2,44",IF(F14="U13","5x2",IF(F14="U12_1","7,32x2,44",IF(F14="U12_2","7,32x2,44",IF(F14="U11","5x2",IF(F14="U10","5x2
",IF(F14="U9","5x2","4 Minitore")))))))))))</f>
        <v>7,32x2,44</v>
      </c>
      <c r="I14" s="57" t="str">
        <f t="shared" ref="I14:I25" si="8">IF(F14="KM","5",IF(F14="U23",5,IF(F14="U16","5",IF(F14="U15","5",IF(F14="U14","4",IF(F14="U13","4",IF(F14="U12_1","4",IF(F14="U12_2","4",IF(F14="U11","4",IF(F14="U10","4",IF(F14="U9","4","3")))))))))))</f>
        <v>5</v>
      </c>
      <c r="J14" s="57" t="str">
        <f t="shared" si="4"/>
        <v>Pleninger Stefan &amp; Matthias Wachter</v>
      </c>
      <c r="K14" s="57" t="str">
        <f t="shared" si="5"/>
        <v>+43 664 415 99 09 &amp; +43 699 119 70 312</v>
      </c>
    </row>
    <row r="15" spans="1:11" ht="15.6" hidden="1" x14ac:dyDescent="0.3">
      <c r="A15" s="57" t="str">
        <f>'ICS2'!I5</f>
        <v>KM</v>
      </c>
      <c r="B15" s="103">
        <f>'ICS2'!B5</f>
        <v>46217</v>
      </c>
      <c r="C15" s="104">
        <f>'ICS2'!C5</f>
        <v>0.8125</v>
      </c>
      <c r="D15" s="57" t="str">
        <f>'ICS2'!E5</f>
        <v>PÖTTSCHING</v>
      </c>
      <c r="E15" s="57" t="str">
        <f>'ICS2'!H5</f>
        <v>Pöttsching</v>
      </c>
      <c r="F15" s="57" t="str">
        <f t="shared" si="0"/>
        <v>KM</v>
      </c>
      <c r="G15" s="57" t="str">
        <f t="shared" si="6"/>
        <v>Großfeld</v>
      </c>
      <c r="H15" s="57" t="str">
        <f t="shared" si="7"/>
        <v>7,32x2,44</v>
      </c>
      <c r="I15" s="57" t="str">
        <f t="shared" si="8"/>
        <v>5</v>
      </c>
      <c r="J15" s="57" t="str">
        <f t="shared" si="4"/>
        <v>Pleninger Stefan &amp; Matthias Wachter</v>
      </c>
      <c r="K15" s="57" t="str">
        <f t="shared" si="5"/>
        <v>+43 664 415 99 09 &amp; +43 699 119 70 312</v>
      </c>
    </row>
    <row r="16" spans="1:11" ht="15.6" hidden="1" x14ac:dyDescent="0.3">
      <c r="A16" s="57" t="str">
        <f>'ICS2'!I6</f>
        <v>KM</v>
      </c>
      <c r="B16" s="103">
        <f>'ICS2'!B6</f>
        <v>46220</v>
      </c>
      <c r="C16" s="104">
        <f>'ICS2'!C6</f>
        <v>0.79166666666666663</v>
      </c>
      <c r="D16" s="57" t="str">
        <f>'ICS2'!E6</f>
        <v>ROHBACH</v>
      </c>
      <c r="E16" s="57" t="str">
        <f>'ICS2'!H6</f>
        <v>Rohrbach</v>
      </c>
      <c r="F16" s="57" t="str">
        <f t="shared" si="0"/>
        <v>KM</v>
      </c>
      <c r="G16" s="57" t="str">
        <f t="shared" si="6"/>
        <v>Großfeld</v>
      </c>
      <c r="H16" s="57" t="str">
        <f t="shared" si="7"/>
        <v>7,32x2,44</v>
      </c>
      <c r="I16" s="57" t="str">
        <f t="shared" si="8"/>
        <v>5</v>
      </c>
      <c r="J16" s="57" t="str">
        <f t="shared" si="4"/>
        <v>Pleninger Stefan &amp; Matthias Wachter</v>
      </c>
      <c r="K16" s="57" t="str">
        <f t="shared" si="5"/>
        <v>+43 664 415 99 09 &amp; +43 699 119 70 312</v>
      </c>
    </row>
    <row r="17" spans="1:11" ht="15.6" hidden="1" x14ac:dyDescent="0.3">
      <c r="A17" s="57" t="str">
        <f>'ICS2'!I7</f>
        <v>KM</v>
      </c>
      <c r="B17" s="103">
        <f>'ICS2'!B7</f>
        <v>46227</v>
      </c>
      <c r="C17" s="104">
        <f>'ICS2'!C7</f>
        <v>0.8125</v>
      </c>
      <c r="D17" s="57" t="str">
        <f>'ICS2'!E7</f>
        <v>SOMMEREIN</v>
      </c>
      <c r="E17" s="57" t="str">
        <f>'ICS2'!H7</f>
        <v>Sommerein</v>
      </c>
      <c r="F17" s="57" t="str">
        <f t="shared" si="0"/>
        <v>KM</v>
      </c>
      <c r="G17" s="57" t="str">
        <f t="shared" si="6"/>
        <v>Großfeld</v>
      </c>
      <c r="H17" s="57" t="str">
        <f t="shared" si="7"/>
        <v>7,32x2,44</v>
      </c>
      <c r="I17" s="57" t="str">
        <f t="shared" si="8"/>
        <v>5</v>
      </c>
      <c r="J17" s="57" t="str">
        <f t="shared" si="4"/>
        <v>Pleninger Stefan &amp; Matthias Wachter</v>
      </c>
      <c r="K17" s="57" t="str">
        <f t="shared" si="5"/>
        <v>+43 664 415 99 09 &amp; +43 699 119 70 312</v>
      </c>
    </row>
    <row r="18" spans="1:11" ht="15.6" hidden="1" x14ac:dyDescent="0.3">
      <c r="A18" s="57" t="str">
        <f>'ICS2'!I9</f>
        <v>KM</v>
      </c>
      <c r="B18" s="103">
        <f>'ICS2'!B9</f>
        <v>46235</v>
      </c>
      <c r="C18" s="104">
        <f>'ICS2'!C9</f>
        <v>0.72916666666666663</v>
      </c>
      <c r="D18" s="57" t="str">
        <f>'ICS2'!E9</f>
        <v>KITTSEE</v>
      </c>
      <c r="E18" s="57" t="str">
        <f>'ICS2'!H9</f>
        <v>Kittsee</v>
      </c>
      <c r="F18" s="57" t="str">
        <f t="shared" si="0"/>
        <v>KM</v>
      </c>
      <c r="G18" s="57" t="str">
        <f t="shared" si="6"/>
        <v>Großfeld</v>
      </c>
      <c r="H18" s="57" t="str">
        <f t="shared" si="7"/>
        <v>7,32x2,44</v>
      </c>
      <c r="I18" s="57" t="str">
        <f t="shared" si="8"/>
        <v>5</v>
      </c>
      <c r="J18" s="57" t="str">
        <f t="shared" si="4"/>
        <v>Pleninger Stefan &amp; Matthias Wachter</v>
      </c>
      <c r="K18" s="57" t="str">
        <f t="shared" si="5"/>
        <v>+43 664 415 99 09 &amp; +43 699 119 70 312</v>
      </c>
    </row>
    <row r="19" spans="1:11" ht="15.6" x14ac:dyDescent="0.3">
      <c r="A19" s="57" t="str">
        <f>'ICS2'!I11</f>
        <v>KM</v>
      </c>
      <c r="B19" s="103">
        <f>'ICS2'!B11</f>
        <v>46241</v>
      </c>
      <c r="C19" s="104">
        <f>'ICS2'!C11</f>
        <v>0.79166666666666663</v>
      </c>
      <c r="D19" s="57" t="str">
        <f>'ICS2'!E11</f>
        <v>NEUFELD</v>
      </c>
      <c r="E19" s="57" t="str">
        <f>'ICS2'!H11</f>
        <v>Bad Fischau</v>
      </c>
      <c r="F19" s="57" t="str">
        <f t="shared" si="0"/>
        <v>KM</v>
      </c>
      <c r="G19" s="57" t="str">
        <f t="shared" si="6"/>
        <v>Großfeld</v>
      </c>
      <c r="H19" s="57" t="str">
        <f t="shared" si="7"/>
        <v>7,32x2,44</v>
      </c>
      <c r="I19" s="57" t="str">
        <f t="shared" si="8"/>
        <v>5</v>
      </c>
      <c r="J19" s="57" t="str">
        <f t="shared" si="4"/>
        <v>Pleninger Stefan &amp; Matthias Wachter</v>
      </c>
      <c r="K19" s="57" t="str">
        <f t="shared" si="5"/>
        <v>+43 664 415 99 09 &amp; +43 699 119 70 312</v>
      </c>
    </row>
    <row r="20" spans="1:11" ht="15.6" hidden="1" x14ac:dyDescent="0.3">
      <c r="A20" s="57" t="str">
        <f>'ICS2'!I23</f>
        <v>KM</v>
      </c>
      <c r="B20" s="103">
        <f>'ICS2'!B23</f>
        <v>46250</v>
      </c>
      <c r="C20" s="104">
        <f>'ICS2'!C23</f>
        <v>0.72916666666666663</v>
      </c>
      <c r="D20" s="57" t="str">
        <f>'ICS2'!E23</f>
        <v>KITTSEE</v>
      </c>
      <c r="E20" s="57" t="str">
        <f>'ICS2'!H23</f>
        <v>Kittsee</v>
      </c>
      <c r="F20" s="57" t="str">
        <f t="shared" si="0"/>
        <v>KM</v>
      </c>
      <c r="G20" s="57" t="str">
        <f t="shared" si="6"/>
        <v>Großfeld</v>
      </c>
      <c r="H20" s="57" t="str">
        <f t="shared" si="7"/>
        <v>7,32x2,44</v>
      </c>
      <c r="I20" s="57" t="str">
        <f t="shared" si="8"/>
        <v>5</v>
      </c>
      <c r="J20" s="57" t="str">
        <f t="shared" si="4"/>
        <v>Pleninger Stefan &amp; Matthias Wachter</v>
      </c>
      <c r="K20" s="57" t="str">
        <f t="shared" si="5"/>
        <v>+43 664 415 99 09 &amp; +43 699 119 70 312</v>
      </c>
    </row>
    <row r="21" spans="1:11" ht="15.6" hidden="1" x14ac:dyDescent="0.3">
      <c r="A21" s="57" t="str">
        <f>'ICS2'!I24</f>
        <v>KM</v>
      </c>
      <c r="B21" s="103">
        <f>'ICS2'!B24</f>
        <v>46255</v>
      </c>
      <c r="C21" s="104">
        <f>'ICS2'!C24</f>
        <v>0.83333333333333337</v>
      </c>
      <c r="D21" s="57" t="str">
        <f>'ICS2'!E24</f>
        <v>DEUTSCH JAHRNDORF</v>
      </c>
      <c r="E21" s="57" t="str">
        <f>'ICS2'!H24</f>
        <v>Deutsch Jahrndorf</v>
      </c>
      <c r="F21" s="57" t="str">
        <f t="shared" si="0"/>
        <v>KM</v>
      </c>
      <c r="G21" s="57" t="str">
        <f t="shared" si="6"/>
        <v>Großfeld</v>
      </c>
      <c r="H21" s="57" t="str">
        <f t="shared" si="7"/>
        <v>7,32x2,44</v>
      </c>
      <c r="I21" s="57" t="str">
        <f t="shared" si="8"/>
        <v>5</v>
      </c>
      <c r="J21" s="57" t="str">
        <f t="shared" si="4"/>
        <v>Pleninger Stefan &amp; Matthias Wachter</v>
      </c>
      <c r="K21" s="57" t="str">
        <f t="shared" si="5"/>
        <v>+43 664 415 99 09 &amp; +43 699 119 70 312</v>
      </c>
    </row>
    <row r="22" spans="1:11" ht="15.6" x14ac:dyDescent="0.3">
      <c r="A22" s="57" t="str">
        <f>'ICS2'!I13</f>
        <v>U14</v>
      </c>
      <c r="B22" s="103">
        <f>'ICS2'!B13</f>
        <v>46243</v>
      </c>
      <c r="C22" s="104">
        <f>'ICS2'!C13</f>
        <v>0.625</v>
      </c>
      <c r="D22" s="57" t="str">
        <f>'ICS2'!E13</f>
        <v>GROßHÖFLEIN</v>
      </c>
      <c r="E22" s="57" t="str">
        <f>'ICS2'!H13</f>
        <v>Vienna U13</v>
      </c>
      <c r="F22" s="57" t="str">
        <f t="shared" si="0"/>
        <v>U14</v>
      </c>
      <c r="G22" s="57" t="str">
        <f t="shared" si="6"/>
        <v>Großfeld</v>
      </c>
      <c r="H22" s="57" t="str">
        <f t="shared" si="7"/>
        <v>7,32x2,44</v>
      </c>
      <c r="I22" s="57" t="str">
        <f t="shared" si="8"/>
        <v>4</v>
      </c>
      <c r="J22" s="57" t="str">
        <f t="shared" si="4"/>
        <v>Christian Neckamm  &amp; Thomas Pöschl</v>
      </c>
      <c r="K22" s="57" t="str">
        <f t="shared" si="5"/>
        <v>+43 699 192 49 527 &amp; +43 677 613 55 114</v>
      </c>
    </row>
    <row r="23" spans="1:11" ht="15.6" hidden="1" x14ac:dyDescent="0.3">
      <c r="A23" s="57" t="str">
        <f>'ICS2'!I26</f>
        <v>KM</v>
      </c>
      <c r="B23" s="103">
        <f>'ICS2'!B26</f>
        <v>46270</v>
      </c>
      <c r="C23" s="104">
        <f>'ICS2'!C26</f>
        <v>0.6875</v>
      </c>
      <c r="D23" s="57" t="str">
        <f>'ICS2'!E26</f>
        <v>MÖNCHHOF</v>
      </c>
      <c r="E23" s="57" t="str">
        <f>'ICS2'!H26</f>
        <v>Mönchhof</v>
      </c>
      <c r="F23" s="57" t="str">
        <f t="shared" si="0"/>
        <v>KM</v>
      </c>
      <c r="G23" s="57" t="str">
        <f t="shared" si="6"/>
        <v>Großfeld</v>
      </c>
      <c r="H23" s="57" t="str">
        <f t="shared" si="7"/>
        <v>7,32x2,44</v>
      </c>
      <c r="I23" s="57" t="str">
        <f t="shared" si="8"/>
        <v>5</v>
      </c>
      <c r="J23" s="57" t="str">
        <f t="shared" si="4"/>
        <v>Pleninger Stefan &amp; Matthias Wachter</v>
      </c>
      <c r="K23" s="57" t="str">
        <f t="shared" si="5"/>
        <v>+43 664 415 99 09 &amp; +43 699 119 70 312</v>
      </c>
    </row>
    <row r="24" spans="1:11" ht="15.6" x14ac:dyDescent="0.3">
      <c r="A24" s="57" t="str">
        <f>'ICS2'!I16</f>
        <v>U14</v>
      </c>
      <c r="B24" s="103">
        <f>'ICS2'!B16</f>
        <v>46255</v>
      </c>
      <c r="C24" s="104">
        <f>'ICS2'!C16</f>
        <v>0.75</v>
      </c>
      <c r="D24" s="57" t="str">
        <f>'ICS2'!E16</f>
        <v>GROßHÖFLEIN</v>
      </c>
      <c r="E24" s="57" t="str">
        <f>'ICS2'!H16</f>
        <v>Bad Erlach</v>
      </c>
      <c r="F24" s="57" t="str">
        <f t="shared" si="0"/>
        <v>U14</v>
      </c>
      <c r="G24" s="57" t="str">
        <f t="shared" si="6"/>
        <v>Großfeld</v>
      </c>
      <c r="H24" s="57" t="str">
        <f t="shared" si="7"/>
        <v>7,32x2,44</v>
      </c>
      <c r="I24" s="57" t="str">
        <f t="shared" si="8"/>
        <v>4</v>
      </c>
      <c r="J24" s="57" t="str">
        <f t="shared" si="4"/>
        <v>Christian Neckamm  &amp; Thomas Pöschl</v>
      </c>
      <c r="K24" s="57" t="str">
        <f t="shared" si="5"/>
        <v>+43 699 192 49 527 &amp; +43 677 613 55 114</v>
      </c>
    </row>
    <row r="25" spans="1:11" ht="15.6" hidden="1" x14ac:dyDescent="0.3">
      <c r="A25" s="57" t="str">
        <f>'ICS2'!I28</f>
        <v>KM</v>
      </c>
      <c r="B25" s="103">
        <f>'ICS2'!B28</f>
        <v>46284</v>
      </c>
      <c r="C25" s="104">
        <f>'ICS2'!C28</f>
        <v>0.66666666666666663</v>
      </c>
      <c r="D25" s="57" t="str">
        <f>'ICS2'!E28</f>
        <v>GATTENDORF</v>
      </c>
      <c r="E25" s="57" t="str">
        <f>'ICS2'!H28</f>
        <v>Gattendorf</v>
      </c>
      <c r="F25" s="57" t="str">
        <f t="shared" si="0"/>
        <v>KM</v>
      </c>
      <c r="G25" s="57" t="str">
        <f t="shared" si="6"/>
        <v>Großfeld</v>
      </c>
      <c r="H25" s="57" t="str">
        <f t="shared" si="7"/>
        <v>7,32x2,44</v>
      </c>
      <c r="I25" s="57" t="str">
        <f t="shared" si="8"/>
        <v>5</v>
      </c>
      <c r="J25" s="57" t="str">
        <f t="shared" si="4"/>
        <v>Pleninger Stefan &amp; Matthias Wachter</v>
      </c>
      <c r="K25" s="57" t="str">
        <f t="shared" si="5"/>
        <v>+43 664 415 99 09 &amp; +43 699 119 70 312</v>
      </c>
    </row>
    <row r="26" spans="1:11" ht="15.6" x14ac:dyDescent="0.3">
      <c r="A26" s="57" t="str">
        <f>'ICS2'!I134</f>
        <v>Turnier</v>
      </c>
      <c r="B26" s="103">
        <f>'ICS2'!B134</f>
        <v>46256</v>
      </c>
      <c r="C26" s="104">
        <f>'ICS2'!C134</f>
        <v>0.375</v>
      </c>
      <c r="D26" s="57" t="str">
        <f>'ICS2'!E134</f>
        <v>NEUFELD</v>
      </c>
      <c r="E26" s="57" t="str">
        <f>'ICS2'!H134</f>
        <v>viele Gegner</v>
      </c>
      <c r="F26" s="57" t="str">
        <f t="shared" si="0"/>
        <v>Turnier</v>
      </c>
      <c r="G26" s="57"/>
      <c r="H26" s="57"/>
      <c r="I26" s="57" t="str">
        <f>IF(F26="Großfeld","5",IF(F26="U16","5",IF(F26="U15","5",IF(F26="U14","4",IF(F26="U13","4",IF(F26="U11/U12","4",IF(F26="U9/U10","4",IF(F26="U9","4","3"))))))))</f>
        <v>3</v>
      </c>
      <c r="J26" s="57" t="str">
        <f t="shared" si="4"/>
        <v>Berger Dieter</v>
      </c>
      <c r="K26" s="57" t="str">
        <f t="shared" si="5"/>
        <v>+43 660 77 39 500</v>
      </c>
    </row>
    <row r="27" spans="1:11" ht="15.6" hidden="1" x14ac:dyDescent="0.3">
      <c r="A27" s="57" t="str">
        <f>'ICS2'!I30</f>
        <v>KM</v>
      </c>
      <c r="B27" s="103">
        <f>'ICS2'!B30</f>
        <v>46297</v>
      </c>
      <c r="C27" s="104">
        <f>'ICS2'!C30</f>
        <v>0.8125</v>
      </c>
      <c r="D27" s="57" t="str">
        <f>'ICS2'!E30</f>
        <v>SIEGENDORF</v>
      </c>
      <c r="E27" s="57" t="str">
        <f>'ICS2'!H30</f>
        <v>Siegendorf</v>
      </c>
      <c r="F27" s="57" t="str">
        <f t="shared" si="0"/>
        <v>KM</v>
      </c>
      <c r="G27" s="57" t="str">
        <f t="shared" ref="G27:G66" si="9">IF(F27="KM","Großfeld",IF(F27="U23","Großfeld",IF(F27="U16","Großfeld",IF(F27="U15","Großfeld",IF(F27="U14","Großfeld",IF(F27="U12_1","55*40",IF(F27="U12_2","55x40",IF(F27="U11","55x40",IF(F27="U10","40x25",IF(F27="U9","40x25",IF(F27="U8","29x22",IF(F27="U7","25x20","16x15"))))))))))))</f>
        <v>Großfeld</v>
      </c>
      <c r="H27" s="57" t="str">
        <f t="shared" ref="H27:H66" si="10">IF(F27="KM","7,32x2,44",IF(F27="U23","7,32x2,44",IF(F27="U16","7,32x2,44",IF(F27="U15","7,32x2,44",IF(F27="U14","7,32x2,44",IF(F27="U13","5x2",IF(F27="U12_1","7,32x2,44",IF(F27="U12_2","7,32x2,44",IF(F27="U11","5x2",IF(F27="U10","5x2
",IF(F27="U9","5x2","4 Minitore")))))))))))</f>
        <v>7,32x2,44</v>
      </c>
      <c r="I27" s="57" t="str">
        <f t="shared" ref="I27:I66" si="11">IF(F27="KM","5",IF(F27="U23",5,IF(F27="U16","5",IF(F27="U15","5",IF(F27="U14","4",IF(F27="U13","4",IF(F27="U12_1","4",IF(F27="U12_2","4",IF(F27="U11","4",IF(F27="U10","4",IF(F27="U9","4","3")))))))))))</f>
        <v>5</v>
      </c>
      <c r="J27" s="57" t="str">
        <f t="shared" si="4"/>
        <v>Pleninger Stefan &amp; Matthias Wachter</v>
      </c>
      <c r="K27" s="57" t="str">
        <f t="shared" si="5"/>
        <v>+43 664 415 99 09 &amp; +43 699 119 70 312</v>
      </c>
    </row>
    <row r="28" spans="1:11" ht="15.6" x14ac:dyDescent="0.3">
      <c r="A28" s="57" t="str">
        <f>'ICS2'!I18</f>
        <v>U16</v>
      </c>
      <c r="B28" s="103">
        <f>'ICS2'!B18</f>
        <v>46260</v>
      </c>
      <c r="C28" s="104">
        <f>'ICS2'!C18</f>
        <v>0.41666666666666669</v>
      </c>
      <c r="D28" s="57" t="str">
        <f>'ICS2'!E18</f>
        <v>NEUFELD</v>
      </c>
      <c r="E28" s="57" t="str">
        <f>'ICS2'!H18</f>
        <v>Traiskirchen</v>
      </c>
      <c r="F28" s="57" t="str">
        <f t="shared" si="0"/>
        <v>U16</v>
      </c>
      <c r="G28" s="57" t="str">
        <f t="shared" si="9"/>
        <v>Großfeld</v>
      </c>
      <c r="H28" s="57" t="str">
        <f t="shared" si="10"/>
        <v>7,32x2,44</v>
      </c>
      <c r="I28" s="57" t="str">
        <f t="shared" si="11"/>
        <v>5</v>
      </c>
      <c r="J28" s="57" t="str">
        <f t="shared" si="4"/>
        <v>Serdar Ekinci &amp; Gernot Sevelda &amp; Hubi Oberhofer</v>
      </c>
      <c r="K28" s="57" t="str">
        <f t="shared" si="5"/>
        <v>+43 690 104 20 129 &amp; +43 676 401 09 13 &amp; +43 699 181 68 504</v>
      </c>
    </row>
    <row r="29" spans="1:11" ht="15.6" hidden="1" x14ac:dyDescent="0.3">
      <c r="A29" s="57" t="str">
        <f>'ICS2'!I32</f>
        <v>KM</v>
      </c>
      <c r="B29" s="103">
        <f>'ICS2'!B32</f>
        <v>46311</v>
      </c>
      <c r="C29" s="104">
        <f>'ICS2'!C32</f>
        <v>0.8125</v>
      </c>
      <c r="D29" s="57" t="str">
        <f>'ICS2'!E32</f>
        <v>HORNSTEIN</v>
      </c>
      <c r="E29" s="57" t="str">
        <f>'ICS2'!H32</f>
        <v>Hornstein</v>
      </c>
      <c r="F29" s="57" t="str">
        <f t="shared" si="0"/>
        <v>KM</v>
      </c>
      <c r="G29" s="57" t="str">
        <f t="shared" si="9"/>
        <v>Großfeld</v>
      </c>
      <c r="H29" s="57" t="str">
        <f t="shared" si="10"/>
        <v>7,32x2,44</v>
      </c>
      <c r="I29" s="57" t="str">
        <f t="shared" si="11"/>
        <v>5</v>
      </c>
      <c r="J29" s="57" t="str">
        <f t="shared" si="4"/>
        <v>Pleninger Stefan &amp; Matthias Wachter</v>
      </c>
      <c r="K29" s="57" t="str">
        <f t="shared" si="5"/>
        <v>+43 664 415 99 09 &amp; +43 699 119 70 312</v>
      </c>
    </row>
    <row r="30" spans="1:11" ht="15.6" x14ac:dyDescent="0.3">
      <c r="A30" s="57" t="str">
        <f>'ICS2'!I19</f>
        <v>U14</v>
      </c>
      <c r="B30" s="103">
        <f>'ICS2'!B19</f>
        <v>46260</v>
      </c>
      <c r="C30" s="104">
        <f>'ICS2'!C19</f>
        <v>0.79166666666666663</v>
      </c>
      <c r="D30" s="57" t="str">
        <f>'ICS2'!E19</f>
        <v>GROßHÖFLEIN</v>
      </c>
      <c r="E30" s="57" t="str">
        <f>'ICS2'!H19</f>
        <v>SPG Leitha/Stotzing</v>
      </c>
      <c r="F30" s="57" t="str">
        <f t="shared" si="0"/>
        <v>U14</v>
      </c>
      <c r="G30" s="57" t="str">
        <f t="shared" si="9"/>
        <v>Großfeld</v>
      </c>
      <c r="H30" s="57" t="str">
        <f t="shared" si="10"/>
        <v>7,32x2,44</v>
      </c>
      <c r="I30" s="57" t="str">
        <f t="shared" si="11"/>
        <v>4</v>
      </c>
      <c r="J30" s="57" t="str">
        <f t="shared" si="4"/>
        <v>Christian Neckamm  &amp; Thomas Pöschl</v>
      </c>
      <c r="K30" s="57" t="str">
        <f t="shared" si="5"/>
        <v>+43 699 192 49 527 &amp; +43 677 613 55 114</v>
      </c>
    </row>
    <row r="31" spans="1:11" ht="15.6" hidden="1" x14ac:dyDescent="0.3">
      <c r="A31" s="57" t="str">
        <f>'ICS2'!I34</f>
        <v>KM</v>
      </c>
      <c r="B31" s="103">
        <f>'ICS2'!B34</f>
        <v>46326</v>
      </c>
      <c r="C31" s="104">
        <f>'ICS2'!C34</f>
        <v>0.75</v>
      </c>
      <c r="D31" s="57" t="str">
        <f>'ICS2'!E34</f>
        <v>ILLMITZ</v>
      </c>
      <c r="E31" s="57" t="str">
        <f>'ICS2'!H34</f>
        <v>Illmitz</v>
      </c>
      <c r="F31" s="57" t="str">
        <f t="shared" si="0"/>
        <v>KM</v>
      </c>
      <c r="G31" s="57" t="str">
        <f t="shared" si="9"/>
        <v>Großfeld</v>
      </c>
      <c r="H31" s="57" t="str">
        <f t="shared" si="10"/>
        <v>7,32x2,44</v>
      </c>
      <c r="I31" s="57" t="str">
        <f t="shared" si="11"/>
        <v>5</v>
      </c>
      <c r="J31" s="57" t="str">
        <f t="shared" si="4"/>
        <v>Pleninger Stefan &amp; Matthias Wachter</v>
      </c>
      <c r="K31" s="57" t="str">
        <f t="shared" si="5"/>
        <v>+43 664 415 99 09 &amp; +43 699 119 70 312</v>
      </c>
    </row>
    <row r="32" spans="1:11" ht="15.6" x14ac:dyDescent="0.3">
      <c r="A32" s="57" t="str">
        <f>'ICS2'!I20</f>
        <v>U14</v>
      </c>
      <c r="B32" s="103">
        <f>'ICS2'!B20</f>
        <v>46263</v>
      </c>
      <c r="C32" s="104">
        <f>'ICS2'!C20</f>
        <v>0.4375</v>
      </c>
      <c r="D32" s="57" t="str">
        <f>'ICS2'!E20</f>
        <v>GROßHÖFLEIN</v>
      </c>
      <c r="E32" s="57" t="str">
        <f>'ICS2'!H20</f>
        <v>Oggau</v>
      </c>
      <c r="F32" s="57" t="str">
        <f t="shared" si="0"/>
        <v>U14</v>
      </c>
      <c r="G32" s="57" t="str">
        <f t="shared" si="9"/>
        <v>Großfeld</v>
      </c>
      <c r="H32" s="57" t="str">
        <f t="shared" si="10"/>
        <v>7,32x2,44</v>
      </c>
      <c r="I32" s="57" t="str">
        <f t="shared" si="11"/>
        <v>4</v>
      </c>
      <c r="J32" s="57" t="str">
        <f t="shared" si="4"/>
        <v>Christian Neckamm  &amp; Thomas Pöschl</v>
      </c>
      <c r="K32" s="57" t="str">
        <f t="shared" si="5"/>
        <v>+43 699 192 49 527 &amp; +43 677 613 55 114</v>
      </c>
    </row>
    <row r="33" spans="1:11" ht="15.6" hidden="1" x14ac:dyDescent="0.3">
      <c r="A33" s="57" t="str">
        <f>'ICS2'!I22</f>
        <v>KM</v>
      </c>
      <c r="B33" s="103">
        <f>'ICS2'!B22</f>
        <v>46445</v>
      </c>
      <c r="C33" s="104">
        <f>'ICS2'!C22</f>
        <v>0.5</v>
      </c>
      <c r="D33" s="57" t="str">
        <f>'ICS2'!E22</f>
        <v>BAD ERLACH</v>
      </c>
      <c r="E33" s="57" t="str">
        <f>'ICS2'!H22</f>
        <v>Bad Erlach</v>
      </c>
      <c r="F33" s="57" t="str">
        <f t="shared" si="0"/>
        <v>KM</v>
      </c>
      <c r="G33" s="57" t="str">
        <f t="shared" si="9"/>
        <v>Großfeld</v>
      </c>
      <c r="H33" s="57" t="str">
        <f t="shared" si="10"/>
        <v>7,32x2,44</v>
      </c>
      <c r="I33" s="57" t="str">
        <f t="shared" si="11"/>
        <v>5</v>
      </c>
      <c r="J33" s="57" t="str">
        <f t="shared" si="4"/>
        <v>Pleninger Stefan &amp; Matthias Wachter</v>
      </c>
      <c r="K33" s="57" t="str">
        <f t="shared" si="5"/>
        <v>+43 664 415 99 09 &amp; +43 699 119 70 312</v>
      </c>
    </row>
    <row r="34" spans="1:11" ht="15.6" x14ac:dyDescent="0.3">
      <c r="A34" s="57" t="str">
        <f>'ICS2'!I38</f>
        <v>U23</v>
      </c>
      <c r="B34" s="103">
        <f>'ICS2'!B38</f>
        <v>46263</v>
      </c>
      <c r="C34" s="104">
        <f>'ICS2'!C38</f>
        <v>0.66666666666666663</v>
      </c>
      <c r="D34" s="57" t="str">
        <f>'ICS2'!E38</f>
        <v>NEUFELD</v>
      </c>
      <c r="E34" s="57" t="str">
        <f>'ICS2'!H38</f>
        <v>Tadten</v>
      </c>
      <c r="F34" s="57" t="str">
        <f t="shared" ref="F34:F65" si="12">A34</f>
        <v>U23</v>
      </c>
      <c r="G34" s="57" t="str">
        <f t="shared" si="9"/>
        <v>Großfeld</v>
      </c>
      <c r="H34" s="57" t="str">
        <f t="shared" si="10"/>
        <v>7,32x2,44</v>
      </c>
      <c r="I34" s="57">
        <f t="shared" si="11"/>
        <v>5</v>
      </c>
      <c r="J34" s="57" t="str">
        <f t="shared" ref="J34:J65" si="13">IF(F34="KM","Pleninger Stefan &amp; Matthias Wachter",IF(F34="U23","Egzon Gentiani &amp; Dinges Stefan",IF(F34="U16","Serdar Ekinci &amp; Gernot Sevelda &amp; Hubi Oberhofer",IF(F34="U15","",IF(F34="U14","Christian Neckamm  &amp; Thomas Pöschl",IF(F34="U13","",IF(F34="U12_1","Tobias Berger &amp; Mario Magler",IF(F34="U12_2","Tobias Berger &amp; Mario Magler",IF(F34="U11","Christian Wirth",IF(F34="U10","Thomas Brandl",IF(F34="U9","Tobias Berger &amp; Sebastian Putric",IF(F34="U8","Ömer Türkes &amp; Taha Mahsumi",IF(F34="U7","Alexander Zax &amp; Jürgen Joszt",IF(F34="FKG","Ronny Archam &amp; Florian Rac",IF(A34="Camp","Berger Dieter",IF(A34="Turnier","Berger Dieter","FEHLER"))))))))))))))))</f>
        <v>Egzon Gentiani &amp; Dinges Stefan</v>
      </c>
      <c r="K34" s="57" t="str">
        <f t="shared" ref="K34:K65" si="14">IF(F34="KM","+43 664 415 99 09 &amp; +43 699 119 70 312",IF(F34="U23","+43 670 18 59 080 &amp; +43 664 451 22 16",IF(F34="U16","+43 690 104 20 129 &amp; +43 676 401 09 13 &amp; +43 699 181 68 504",IF(F34="U15","",IF(F34="U14","+43 699 192 49 527 &amp; +43 677 613 55 114",IF(F34="U13","",IF(F34="U12_1","+43 66 199 13 52 &amp;  +43 664 762 09 93",IF(F34="U12_2","+43 66 199 13 52 &amp;  +43 664 762 09 93",IF(F34="U11","+43 660 423 93 83",IF(F34="U10","+43 676 377 16 30",IF(F34="U9","+43 66 199 13 52 &amp;  +43 660 914 92 36",IF(F34="U8","+43 676 661 62 26 &amp;  +43 681 208 11 599",IF(F34="U7","+43 664 458 88 84 &amp;  +43 660 549 82 40",IF(F34="FKG","+43 699 111 93 828 &amp;  +43 660 600 25 06",IF(A34="Camp","+43 660 77 39 500",IF(A34="Turnier","+43 660 77 39 500","FEHLER"))))))))))))))))</f>
        <v>+43 670 18 59 080 &amp; +43 664 451 22 16</v>
      </c>
    </row>
    <row r="35" spans="1:11" ht="15.6" x14ac:dyDescent="0.3">
      <c r="A35" s="57" t="str">
        <f>'ICS2'!I25</f>
        <v>KM</v>
      </c>
      <c r="B35" s="103">
        <f>'ICS2'!B25</f>
        <v>46263</v>
      </c>
      <c r="C35" s="104">
        <f>'ICS2'!C25</f>
        <v>0.75</v>
      </c>
      <c r="D35" s="57" t="str">
        <f>'ICS2'!E25</f>
        <v>NEUFELD</v>
      </c>
      <c r="E35" s="57" t="str">
        <f>'ICS2'!H25</f>
        <v>Tadten</v>
      </c>
      <c r="F35" s="57" t="str">
        <f t="shared" si="12"/>
        <v>KM</v>
      </c>
      <c r="G35" s="57" t="str">
        <f t="shared" si="9"/>
        <v>Großfeld</v>
      </c>
      <c r="H35" s="57" t="str">
        <f t="shared" si="10"/>
        <v>7,32x2,44</v>
      </c>
      <c r="I35" s="57" t="str">
        <f t="shared" si="11"/>
        <v>5</v>
      </c>
      <c r="J35" s="57" t="str">
        <f t="shared" si="13"/>
        <v>Pleninger Stefan &amp; Matthias Wachter</v>
      </c>
      <c r="K35" s="57" t="str">
        <f t="shared" si="14"/>
        <v>+43 664 415 99 09 &amp; +43 699 119 70 312</v>
      </c>
    </row>
    <row r="36" spans="1:11" ht="15.6" x14ac:dyDescent="0.3">
      <c r="A36" s="117" t="str">
        <f>'ICS2'!I69</f>
        <v>U12_1</v>
      </c>
      <c r="B36" s="118">
        <f>'ICS2'!B69</f>
        <v>46270</v>
      </c>
      <c r="C36" s="119">
        <f>'ICS2'!C69</f>
        <v>0.58333333333333337</v>
      </c>
      <c r="D36" s="117" t="str">
        <f>'ICS2'!E69</f>
        <v>STEINBRUNN</v>
      </c>
      <c r="E36" s="117" t="str">
        <f>'ICS2'!H69</f>
        <v>Stotzing</v>
      </c>
      <c r="F36" s="117" t="str">
        <f t="shared" si="12"/>
        <v>U12_1</v>
      </c>
      <c r="G36" s="117" t="str">
        <f t="shared" si="9"/>
        <v>55*40</v>
      </c>
      <c r="H36" s="117" t="str">
        <f t="shared" si="10"/>
        <v>7,32x2,44</v>
      </c>
      <c r="I36" s="117" t="str">
        <f t="shared" si="11"/>
        <v>4</v>
      </c>
      <c r="J36" s="117" t="str">
        <f t="shared" si="13"/>
        <v>Tobias Berger &amp; Mario Magler</v>
      </c>
      <c r="K36" s="117" t="str">
        <f t="shared" si="14"/>
        <v>+43 66 199 13 52 &amp;  +43 664 762 09 93</v>
      </c>
    </row>
    <row r="37" spans="1:11" ht="15.6" x14ac:dyDescent="0.3">
      <c r="A37" s="109" t="str">
        <f>'ICS2'!I103</f>
        <v>U9</v>
      </c>
      <c r="B37" s="110">
        <f>'ICS2'!B103</f>
        <v>46289</v>
      </c>
      <c r="C37" s="111">
        <f>'ICS2'!C103</f>
        <v>0.70833333333333337</v>
      </c>
      <c r="D37" s="109" t="str">
        <f>'ICS2'!E103</f>
        <v>GROßHÖFLEIN</v>
      </c>
      <c r="E37" s="109" t="str">
        <f>'ICS2'!H103</f>
        <v>Großhöflein</v>
      </c>
      <c r="F37" s="109" t="str">
        <f t="shared" si="12"/>
        <v>U9</v>
      </c>
      <c r="G37" s="109" t="str">
        <f t="shared" si="9"/>
        <v>40x25</v>
      </c>
      <c r="H37" s="109" t="str">
        <f t="shared" si="10"/>
        <v>5x2</v>
      </c>
      <c r="I37" s="109" t="str">
        <f t="shared" si="11"/>
        <v>4</v>
      </c>
      <c r="J37" s="109" t="str">
        <f t="shared" si="13"/>
        <v>Tobias Berger &amp; Sebastian Putric</v>
      </c>
      <c r="K37" s="109" t="str">
        <f t="shared" si="14"/>
        <v>+43 66 199 13 52 &amp;  +43 660 914 92 36</v>
      </c>
    </row>
    <row r="38" spans="1:11" ht="15.6" x14ac:dyDescent="0.3">
      <c r="A38" s="109" t="str">
        <f>'ICS2'!I89</f>
        <v>U11</v>
      </c>
      <c r="B38" s="110">
        <f>'ICS2'!B89</f>
        <v>46270</v>
      </c>
      <c r="C38" s="111">
        <f>'ICS2'!C89</f>
        <v>0.41666666666666669</v>
      </c>
      <c r="D38" s="109" t="str">
        <f>'ICS2'!E89</f>
        <v>STEINBRUNN</v>
      </c>
      <c r="E38" s="109" t="str">
        <f>'ICS2'!H89</f>
        <v>Leithaprodersdorf</v>
      </c>
      <c r="F38" s="109" t="str">
        <f t="shared" si="12"/>
        <v>U11</v>
      </c>
      <c r="G38" s="109" t="str">
        <f t="shared" si="9"/>
        <v>55x40</v>
      </c>
      <c r="H38" s="109" t="str">
        <f t="shared" si="10"/>
        <v>5x2</v>
      </c>
      <c r="I38" s="109" t="str">
        <f t="shared" si="11"/>
        <v>4</v>
      </c>
      <c r="J38" s="109" t="str">
        <f t="shared" si="13"/>
        <v>Christian Wirth</v>
      </c>
      <c r="K38" s="109" t="str">
        <f t="shared" si="14"/>
        <v>+43 660 423 93 83</v>
      </c>
    </row>
    <row r="39" spans="1:11" ht="15.6" x14ac:dyDescent="0.3">
      <c r="A39" s="109" t="str">
        <f>'ICS2'!I79</f>
        <v>U12_2</v>
      </c>
      <c r="B39" s="110">
        <f>'ICS2'!B79</f>
        <v>46270</v>
      </c>
      <c r="C39" s="111">
        <f>'ICS2'!C79</f>
        <v>0.5</v>
      </c>
      <c r="D39" s="109" t="str">
        <f>'ICS2'!E79</f>
        <v>STEINBRUNN</v>
      </c>
      <c r="E39" s="109" t="str">
        <f>'ICS2'!H79</f>
        <v>St. Margarethen</v>
      </c>
      <c r="F39" s="109" t="str">
        <f t="shared" si="12"/>
        <v>U12_2</v>
      </c>
      <c r="G39" s="109" t="str">
        <f t="shared" si="9"/>
        <v>55x40</v>
      </c>
      <c r="H39" s="109" t="str">
        <f t="shared" si="10"/>
        <v>7,32x2,44</v>
      </c>
      <c r="I39" s="109" t="str">
        <f t="shared" si="11"/>
        <v>4</v>
      </c>
      <c r="J39" s="109" t="str">
        <f t="shared" si="13"/>
        <v>Tobias Berger &amp; Mario Magler</v>
      </c>
      <c r="K39" s="109" t="str">
        <f t="shared" si="14"/>
        <v>+43 66 199 13 52 &amp;  +43 664 762 09 93</v>
      </c>
    </row>
    <row r="40" spans="1:11" ht="15.6" x14ac:dyDescent="0.3">
      <c r="A40" s="117" t="str">
        <f>'ICS2'!I60</f>
        <v>U14</v>
      </c>
      <c r="B40" s="118">
        <f>'ICS2'!B60</f>
        <v>46270</v>
      </c>
      <c r="C40" s="119">
        <f>'ICS2'!C60</f>
        <v>0.4375</v>
      </c>
      <c r="D40" s="117" t="str">
        <f>'ICS2'!E60</f>
        <v>GROßHÖFLEIN</v>
      </c>
      <c r="E40" s="117" t="str">
        <f>'ICS2'!H60</f>
        <v>St. Georgen/Eisenstadt</v>
      </c>
      <c r="F40" s="117" t="str">
        <f t="shared" si="12"/>
        <v>U14</v>
      </c>
      <c r="G40" s="117" t="str">
        <f t="shared" si="9"/>
        <v>Großfeld</v>
      </c>
      <c r="H40" s="117" t="str">
        <f t="shared" si="10"/>
        <v>7,32x2,44</v>
      </c>
      <c r="I40" s="117" t="str">
        <f t="shared" si="11"/>
        <v>4</v>
      </c>
      <c r="J40" s="117" t="str">
        <f t="shared" si="13"/>
        <v>Christian Neckamm  &amp; Thomas Pöschl</v>
      </c>
      <c r="K40" s="117" t="str">
        <f t="shared" si="14"/>
        <v>+43 699 192 49 527 &amp; +43 677 613 55 114</v>
      </c>
    </row>
    <row r="41" spans="1:11" ht="15.6" hidden="1" x14ac:dyDescent="0.3">
      <c r="A41" s="109" t="str">
        <f>'ICS2'!I99</f>
        <v>U10</v>
      </c>
      <c r="B41" s="110">
        <f>'ICS2'!B99</f>
        <v>46277</v>
      </c>
      <c r="C41" s="111">
        <f>'ICS2'!C99</f>
        <v>0.47916666666666669</v>
      </c>
      <c r="D41" s="109" t="str">
        <f>'ICS2'!E99</f>
        <v>SIEGENDORF</v>
      </c>
      <c r="E41" s="109" t="str">
        <f>'ICS2'!H99</f>
        <v>Turnier</v>
      </c>
      <c r="F41" s="109" t="str">
        <f t="shared" si="12"/>
        <v>U10</v>
      </c>
      <c r="G41" s="109" t="str">
        <f t="shared" si="9"/>
        <v>40x25</v>
      </c>
      <c r="H41" s="109" t="str">
        <f t="shared" si="10"/>
        <v xml:space="preserve">5x2
</v>
      </c>
      <c r="I41" s="109" t="str">
        <f t="shared" si="11"/>
        <v>4</v>
      </c>
      <c r="J41" s="109" t="str">
        <f t="shared" si="13"/>
        <v>Thomas Brandl</v>
      </c>
      <c r="K41" s="109" t="str">
        <f t="shared" si="14"/>
        <v>+43 676 377 16 30</v>
      </c>
    </row>
    <row r="42" spans="1:11" ht="15.6" hidden="1" x14ac:dyDescent="0.3">
      <c r="A42" s="57" t="str">
        <f>'ICS2'!I100</f>
        <v>U10</v>
      </c>
      <c r="B42" s="103">
        <f>'ICS2'!B100</f>
        <v>46305</v>
      </c>
      <c r="C42" s="104">
        <f>'ICS2'!C100</f>
        <v>0.375</v>
      </c>
      <c r="D42" s="57" t="str">
        <f>'ICS2'!E100</f>
        <v>TRAUSDORF</v>
      </c>
      <c r="E42" s="57" t="str">
        <f>'ICS2'!H100</f>
        <v>Turnier</v>
      </c>
      <c r="F42" s="57" t="str">
        <f t="shared" si="12"/>
        <v>U10</v>
      </c>
      <c r="G42" s="57" t="str">
        <f t="shared" si="9"/>
        <v>40x25</v>
      </c>
      <c r="H42" s="57" t="str">
        <f t="shared" si="10"/>
        <v xml:space="preserve">5x2
</v>
      </c>
      <c r="I42" s="57" t="str">
        <f t="shared" si="11"/>
        <v>4</v>
      </c>
      <c r="J42" s="57" t="str">
        <f t="shared" si="13"/>
        <v>Thomas Brandl</v>
      </c>
      <c r="K42" s="57" t="str">
        <f t="shared" si="14"/>
        <v>+43 676 377 16 30</v>
      </c>
    </row>
    <row r="43" spans="1:11" ht="15.6" x14ac:dyDescent="0.3">
      <c r="A43" s="57" t="str">
        <f>'ICS2'!I60</f>
        <v>U14</v>
      </c>
      <c r="B43" s="103">
        <f>'ICS2'!B60</f>
        <v>46270</v>
      </c>
      <c r="C43" s="104">
        <f>'ICS2'!C60</f>
        <v>0.4375</v>
      </c>
      <c r="D43" s="57" t="str">
        <f>'ICS2'!E60</f>
        <v>GROßHÖFLEIN</v>
      </c>
      <c r="E43" s="57" t="str">
        <f>'ICS2'!H60</f>
        <v>St. Georgen/Eisenstadt</v>
      </c>
      <c r="F43" s="57" t="str">
        <f t="shared" si="12"/>
        <v>U14</v>
      </c>
      <c r="G43" s="57" t="str">
        <f t="shared" si="9"/>
        <v>Großfeld</v>
      </c>
      <c r="H43" s="57" t="str">
        <f t="shared" si="10"/>
        <v>7,32x2,44</v>
      </c>
      <c r="I43" s="57" t="str">
        <f t="shared" si="11"/>
        <v>4</v>
      </c>
      <c r="J43" s="57" t="str">
        <f t="shared" si="13"/>
        <v>Christian Neckamm  &amp; Thomas Pöschl</v>
      </c>
      <c r="K43" s="57" t="str">
        <f t="shared" si="14"/>
        <v>+43 699 192 49 527 &amp; +43 677 613 55 114</v>
      </c>
    </row>
    <row r="44" spans="1:11" ht="15.6" hidden="1" x14ac:dyDescent="0.3">
      <c r="A44" s="57" t="str">
        <f>'ICS2'!I101</f>
        <v>U10</v>
      </c>
      <c r="B44" s="103">
        <f>'ICS2'!B101</f>
        <v>46270</v>
      </c>
      <c r="C44" s="104">
        <f>'ICS2'!C101</f>
        <v>0.54166666666666663</v>
      </c>
      <c r="D44" s="57" t="str">
        <f>'ICS2'!E101</f>
        <v>RUST</v>
      </c>
      <c r="E44" s="57" t="str">
        <f>'ICS2'!H101</f>
        <v>Turnier</v>
      </c>
      <c r="F44" s="57" t="str">
        <f t="shared" si="12"/>
        <v>U10</v>
      </c>
      <c r="G44" s="57" t="str">
        <f t="shared" si="9"/>
        <v>40x25</v>
      </c>
      <c r="H44" s="57" t="str">
        <f t="shared" si="10"/>
        <v xml:space="preserve">5x2
</v>
      </c>
      <c r="I44" s="57" t="str">
        <f t="shared" si="11"/>
        <v>4</v>
      </c>
      <c r="J44" s="57" t="str">
        <f t="shared" si="13"/>
        <v>Thomas Brandl</v>
      </c>
      <c r="K44" s="57" t="str">
        <f t="shared" si="14"/>
        <v>+43 676 377 16 30</v>
      </c>
    </row>
    <row r="45" spans="1:11" ht="15.6" hidden="1" x14ac:dyDescent="0.3">
      <c r="A45" s="57" t="str">
        <f>'ICS2'!I102</f>
        <v>U10</v>
      </c>
      <c r="B45" s="103">
        <f>'ICS2'!B102</f>
        <v>46291</v>
      </c>
      <c r="C45" s="104">
        <f>'ICS2'!C102</f>
        <v>0.58333333333333337</v>
      </c>
      <c r="D45" s="57" t="str">
        <f>'ICS2'!E102</f>
        <v>ST.GEORGEN</v>
      </c>
      <c r="E45" s="57" t="str">
        <f>'ICS2'!H102</f>
        <v>Turnier</v>
      </c>
      <c r="F45" s="57" t="str">
        <f t="shared" si="12"/>
        <v>U10</v>
      </c>
      <c r="G45" s="57" t="str">
        <f t="shared" si="9"/>
        <v>40x25</v>
      </c>
      <c r="H45" s="57" t="str">
        <f t="shared" si="10"/>
        <v xml:space="preserve">5x2
</v>
      </c>
      <c r="I45" s="57" t="str">
        <f t="shared" si="11"/>
        <v>4</v>
      </c>
      <c r="J45" s="57" t="str">
        <f t="shared" si="13"/>
        <v>Thomas Brandl</v>
      </c>
      <c r="K45" s="57" t="str">
        <f t="shared" si="14"/>
        <v>+43 676 377 16 30</v>
      </c>
    </row>
    <row r="46" spans="1:11" ht="15.6" x14ac:dyDescent="0.3">
      <c r="A46" s="120" t="str">
        <f>'ICS2'!I40</f>
        <v>U23</v>
      </c>
      <c r="B46" s="121">
        <f>'ICS2'!B40</f>
        <v>46276</v>
      </c>
      <c r="C46" s="122">
        <f>'ICS2'!C40</f>
        <v>0.72916666666666663</v>
      </c>
      <c r="D46" s="120" t="str">
        <f>'ICS2'!E40</f>
        <v>NEUFELD</v>
      </c>
      <c r="E46" s="120" t="str">
        <f>'ICS2'!H40</f>
        <v>Winden</v>
      </c>
      <c r="F46" s="120" t="str">
        <f t="shared" si="12"/>
        <v>U23</v>
      </c>
      <c r="G46" s="120" t="str">
        <f t="shared" si="9"/>
        <v>Großfeld</v>
      </c>
      <c r="H46" s="120" t="str">
        <f t="shared" si="10"/>
        <v>7,32x2,44</v>
      </c>
      <c r="I46" s="120">
        <f t="shared" si="11"/>
        <v>5</v>
      </c>
      <c r="J46" s="120" t="str">
        <f t="shared" si="13"/>
        <v>Egzon Gentiani &amp; Dinges Stefan</v>
      </c>
      <c r="K46" s="120" t="str">
        <f t="shared" si="14"/>
        <v>+43 670 18 59 080 &amp; +43 664 451 22 16</v>
      </c>
    </row>
    <row r="47" spans="1:11" s="108" customFormat="1" ht="15.6" hidden="1" x14ac:dyDescent="0.3">
      <c r="A47" s="105" t="str">
        <f>'ICS2'!I90</f>
        <v>U11</v>
      </c>
      <c r="B47" s="106">
        <f>'ICS2'!B90</f>
        <v>46276</v>
      </c>
      <c r="C47" s="107">
        <f>'ICS2'!C90</f>
        <v>0.77083333333333337</v>
      </c>
      <c r="D47" s="105" t="str">
        <f>'ICS2'!E90</f>
        <v>HORNSTEIN</v>
      </c>
      <c r="E47" s="105" t="str">
        <f>'ICS2'!H90</f>
        <v>Hornstein</v>
      </c>
      <c r="F47" s="105" t="str">
        <f t="shared" si="12"/>
        <v>U11</v>
      </c>
      <c r="G47" s="105" t="str">
        <f t="shared" si="9"/>
        <v>55x40</v>
      </c>
      <c r="H47" s="105" t="str">
        <f t="shared" si="10"/>
        <v>5x2</v>
      </c>
      <c r="I47" s="105" t="str">
        <f t="shared" si="11"/>
        <v>4</v>
      </c>
      <c r="J47" s="105" t="str">
        <f t="shared" si="13"/>
        <v>Christian Wirth</v>
      </c>
      <c r="K47" s="105" t="str">
        <f t="shared" si="14"/>
        <v>+43 660 423 93 83</v>
      </c>
    </row>
    <row r="48" spans="1:11" ht="15.6" hidden="1" x14ac:dyDescent="0.3">
      <c r="A48" s="57" t="str">
        <f>'ICS2'!I91</f>
        <v>U11</v>
      </c>
      <c r="B48" s="103">
        <f>'ICS2'!B91</f>
        <v>46284</v>
      </c>
      <c r="C48" s="104">
        <f>'ICS2'!C91</f>
        <v>0.41666666666666669</v>
      </c>
      <c r="D48" s="57" t="str">
        <f>'ICS2'!E91</f>
        <v>WULKAPRODERSDORF</v>
      </c>
      <c r="E48" s="57" t="str">
        <f>'ICS2'!H91</f>
        <v>Wulkaprodersdorf</v>
      </c>
      <c r="F48" s="57" t="str">
        <f t="shared" si="12"/>
        <v>U11</v>
      </c>
      <c r="G48" s="57" t="str">
        <f t="shared" si="9"/>
        <v>55x40</v>
      </c>
      <c r="H48" s="57" t="str">
        <f t="shared" si="10"/>
        <v>5x2</v>
      </c>
      <c r="I48" s="57" t="str">
        <f t="shared" si="11"/>
        <v>4</v>
      </c>
      <c r="J48" s="57" t="str">
        <f t="shared" si="13"/>
        <v>Christian Wirth</v>
      </c>
      <c r="K48" s="57" t="str">
        <f t="shared" si="14"/>
        <v>+43 660 423 93 83</v>
      </c>
    </row>
    <row r="49" spans="1:11" ht="15.6" x14ac:dyDescent="0.3">
      <c r="A49" s="120" t="str">
        <f>'ICS2'!I27</f>
        <v>KM</v>
      </c>
      <c r="B49" s="121">
        <f>'ICS2'!B27</f>
        <v>46276</v>
      </c>
      <c r="C49" s="122">
        <f>'ICS2'!C27</f>
        <v>0.8125</v>
      </c>
      <c r="D49" s="120" t="str">
        <f>'ICS2'!E27</f>
        <v>NEUFELD</v>
      </c>
      <c r="E49" s="120" t="str">
        <f>'ICS2'!H27</f>
        <v>Winden</v>
      </c>
      <c r="F49" s="120" t="str">
        <f t="shared" si="12"/>
        <v>KM</v>
      </c>
      <c r="G49" s="120" t="str">
        <f t="shared" si="9"/>
        <v>Großfeld</v>
      </c>
      <c r="H49" s="120" t="str">
        <f t="shared" si="10"/>
        <v>7,32x2,44</v>
      </c>
      <c r="I49" s="120" t="str">
        <f t="shared" si="11"/>
        <v>5</v>
      </c>
      <c r="J49" s="120" t="str">
        <f t="shared" si="13"/>
        <v>Pleninger Stefan &amp; Matthias Wachter</v>
      </c>
      <c r="K49" s="120" t="str">
        <f t="shared" si="14"/>
        <v>+43 664 415 99 09 &amp; +43 699 119 70 312</v>
      </c>
    </row>
    <row r="50" spans="1:11" s="108" customFormat="1" ht="15.6" x14ac:dyDescent="0.3">
      <c r="A50" s="120" t="str">
        <f>'ICS2'!I104</f>
        <v>U9</v>
      </c>
      <c r="B50" s="121">
        <f>'ICS2'!B104</f>
        <v>46278</v>
      </c>
      <c r="C50" s="122">
        <f>'ICS2'!C104</f>
        <v>0.45833333333333331</v>
      </c>
      <c r="D50" s="120" t="str">
        <f>'ICS2'!E104</f>
        <v>NEUFELD</v>
      </c>
      <c r="E50" s="120" t="str">
        <f>'ICS2'!H104</f>
        <v>Steinbrunn</v>
      </c>
      <c r="F50" s="120" t="str">
        <f t="shared" si="12"/>
        <v>U9</v>
      </c>
      <c r="G50" s="120" t="str">
        <f t="shared" si="9"/>
        <v>40x25</v>
      </c>
      <c r="H50" s="120" t="str">
        <f t="shared" si="10"/>
        <v>5x2</v>
      </c>
      <c r="I50" s="120" t="str">
        <f t="shared" si="11"/>
        <v>4</v>
      </c>
      <c r="J50" s="120" t="str">
        <f t="shared" si="13"/>
        <v>Tobias Berger &amp; Sebastian Putric</v>
      </c>
      <c r="K50" s="120" t="str">
        <f t="shared" si="14"/>
        <v>+43 66 199 13 52 &amp;  +43 660 914 92 36</v>
      </c>
    </row>
    <row r="51" spans="1:11" ht="15.6" hidden="1" x14ac:dyDescent="0.3">
      <c r="A51" s="57" t="str">
        <f>'ICS2'!I94</f>
        <v>U11</v>
      </c>
      <c r="B51" s="103">
        <f>'ICS2'!B94</f>
        <v>46305</v>
      </c>
      <c r="C51" s="104">
        <f>'ICS2'!C94</f>
        <v>0.5625</v>
      </c>
      <c r="D51" s="57" t="str">
        <f>'ICS2'!E94</f>
        <v>LEITHAPRODERSDORF</v>
      </c>
      <c r="E51" s="57" t="str">
        <f>'ICS2'!H94</f>
        <v>Leithaprodersdorf</v>
      </c>
      <c r="F51" s="57" t="str">
        <f t="shared" si="12"/>
        <v>U11</v>
      </c>
      <c r="G51" s="57" t="str">
        <f t="shared" si="9"/>
        <v>55x40</v>
      </c>
      <c r="H51" s="57" t="str">
        <f t="shared" si="10"/>
        <v>5x2</v>
      </c>
      <c r="I51" s="57" t="str">
        <f t="shared" si="11"/>
        <v>4</v>
      </c>
      <c r="J51" s="57" t="str">
        <f t="shared" si="13"/>
        <v>Christian Wirth</v>
      </c>
      <c r="K51" s="57" t="str">
        <f t="shared" si="14"/>
        <v>+43 660 423 93 83</v>
      </c>
    </row>
    <row r="52" spans="1:11" s="123" customFormat="1" ht="15.6" x14ac:dyDescent="0.3">
      <c r="A52" s="117" t="str">
        <f>'ICS2'!I81</f>
        <v>U12_2</v>
      </c>
      <c r="B52" s="118">
        <f>'ICS2'!B81</f>
        <v>46284</v>
      </c>
      <c r="C52" s="119">
        <f>'ICS2'!C81</f>
        <v>0.45833333333333331</v>
      </c>
      <c r="D52" s="117" t="str">
        <f>'ICS2'!E81</f>
        <v>GROßHÖFLEIN</v>
      </c>
      <c r="E52" s="117" t="str">
        <f>'ICS2'!H81</f>
        <v>Großhöflein</v>
      </c>
      <c r="F52" s="117" t="str">
        <f t="shared" si="12"/>
        <v>U12_2</v>
      </c>
      <c r="G52" s="117" t="str">
        <f t="shared" si="9"/>
        <v>55x40</v>
      </c>
      <c r="H52" s="117" t="str">
        <f t="shared" si="10"/>
        <v>7,32x2,44</v>
      </c>
      <c r="I52" s="117" t="str">
        <f t="shared" si="11"/>
        <v>4</v>
      </c>
      <c r="J52" s="117" t="str">
        <f t="shared" si="13"/>
        <v>Tobias Berger &amp; Mario Magler</v>
      </c>
      <c r="K52" s="117" t="str">
        <f t="shared" si="14"/>
        <v>+43 66 199 13 52 &amp;  +43 664 762 09 93</v>
      </c>
    </row>
    <row r="53" spans="1:11" s="112" customFormat="1" ht="15.6" hidden="1" x14ac:dyDescent="0.3">
      <c r="A53" s="105" t="str">
        <f>'ICS2'!I96</f>
        <v>U11</v>
      </c>
      <c r="B53" s="106">
        <f>'ICS2'!B96</f>
        <v>46320</v>
      </c>
      <c r="C53" s="107">
        <f>'ICS2'!C96</f>
        <v>0.5</v>
      </c>
      <c r="D53" s="105" t="str">
        <f>'ICS2'!E96</f>
        <v>HORNSTEIN</v>
      </c>
      <c r="E53" s="105" t="str">
        <f>'ICS2'!H96</f>
        <v>Hornstein</v>
      </c>
      <c r="F53" s="105" t="str">
        <f t="shared" si="12"/>
        <v>U11</v>
      </c>
      <c r="G53" s="105" t="str">
        <f t="shared" si="9"/>
        <v>55x40</v>
      </c>
      <c r="H53" s="105" t="str">
        <f t="shared" si="10"/>
        <v>5x2</v>
      </c>
      <c r="I53" s="105" t="str">
        <f t="shared" si="11"/>
        <v>4</v>
      </c>
      <c r="J53" s="105" t="str">
        <f t="shared" si="13"/>
        <v>Christian Wirth</v>
      </c>
      <c r="K53" s="105" t="str">
        <f t="shared" si="14"/>
        <v>+43 660 423 93 83</v>
      </c>
    </row>
    <row r="54" spans="1:11" ht="15.6" hidden="1" x14ac:dyDescent="0.3">
      <c r="A54" s="113" t="str">
        <f>'ICS2'!I97</f>
        <v>U11</v>
      </c>
      <c r="B54" s="114">
        <f>'ICS2'!B97</f>
        <v>46326</v>
      </c>
      <c r="C54" s="115">
        <f>'ICS2'!C97</f>
        <v>0.4375</v>
      </c>
      <c r="D54" s="113" t="str">
        <f>'ICS2'!E97</f>
        <v>WULKAPRODERSDORF</v>
      </c>
      <c r="E54" s="113" t="str">
        <f>'ICS2'!H97</f>
        <v>Wulkaprodersdorf</v>
      </c>
      <c r="F54" s="113" t="str">
        <f t="shared" si="12"/>
        <v>U11</v>
      </c>
      <c r="G54" s="113" t="str">
        <f t="shared" si="9"/>
        <v>55x40</v>
      </c>
      <c r="H54" s="113" t="str">
        <f t="shared" si="10"/>
        <v>5x2</v>
      </c>
      <c r="I54" s="113" t="str">
        <f t="shared" si="11"/>
        <v>4</v>
      </c>
      <c r="J54" s="113" t="str">
        <f t="shared" si="13"/>
        <v>Christian Wirth</v>
      </c>
      <c r="K54" s="113" t="str">
        <f t="shared" si="14"/>
        <v>+43 660 423 93 83</v>
      </c>
    </row>
    <row r="55" spans="1:11" ht="15.6" x14ac:dyDescent="0.3">
      <c r="A55" s="117" t="str">
        <f>'ICS2'!I114</f>
        <v>U8</v>
      </c>
      <c r="B55" s="118">
        <f>'ICS2'!B114</f>
        <v>46284</v>
      </c>
      <c r="C55" s="119">
        <f>'ICS2'!C114</f>
        <v>0.39583333333333331</v>
      </c>
      <c r="D55" s="117" t="str">
        <f>'ICS2'!E114</f>
        <v>WIMPASSING</v>
      </c>
      <c r="E55" s="117" t="str">
        <f>'ICS2'!H114</f>
        <v>Turnier</v>
      </c>
      <c r="F55" s="117" t="str">
        <f t="shared" si="12"/>
        <v>U8</v>
      </c>
      <c r="G55" s="117" t="str">
        <f t="shared" si="9"/>
        <v>29x22</v>
      </c>
      <c r="H55" s="117" t="str">
        <f t="shared" si="10"/>
        <v>4 Minitore</v>
      </c>
      <c r="I55" s="117" t="str">
        <f t="shared" si="11"/>
        <v>3</v>
      </c>
      <c r="J55" s="117" t="str">
        <f t="shared" si="13"/>
        <v>Ömer Türkes &amp; Taha Mahsumi</v>
      </c>
      <c r="K55" s="117" t="str">
        <f t="shared" si="14"/>
        <v>+43 676 661 62 26 &amp;  +43 681 208 11 599</v>
      </c>
    </row>
    <row r="56" spans="1:11" ht="15.6" hidden="1" x14ac:dyDescent="0.3">
      <c r="A56" s="57" t="str">
        <f>'ICS2'!I70</f>
        <v>U12_1</v>
      </c>
      <c r="B56" s="103">
        <f>'ICS2'!B70</f>
        <v>46277</v>
      </c>
      <c r="C56" s="104">
        <f>'ICS2'!C70</f>
        <v>0.47916666666666669</v>
      </c>
      <c r="D56" s="57" t="str">
        <f>'ICS2'!E70</f>
        <v>KLINGENBACH</v>
      </c>
      <c r="E56" s="57" t="str">
        <f>'ICS2'!H70</f>
        <v>SPG Klimpuh Juniors</v>
      </c>
      <c r="F56" s="57" t="str">
        <f t="shared" si="12"/>
        <v>U12_1</v>
      </c>
      <c r="G56" s="57" t="str">
        <f t="shared" si="9"/>
        <v>55*40</v>
      </c>
      <c r="H56" s="57" t="str">
        <f t="shared" si="10"/>
        <v>7,32x2,44</v>
      </c>
      <c r="I56" s="57" t="str">
        <f t="shared" si="11"/>
        <v>4</v>
      </c>
      <c r="J56" s="57" t="str">
        <f t="shared" si="13"/>
        <v>Tobias Berger &amp; Mario Magler</v>
      </c>
      <c r="K56" s="57" t="str">
        <f t="shared" si="14"/>
        <v>+43 66 199 13 52 &amp;  +43 664 762 09 93</v>
      </c>
    </row>
    <row r="57" spans="1:11" ht="15.6" x14ac:dyDescent="0.3">
      <c r="A57" s="120" t="str">
        <f>'ICS2'!I71</f>
        <v>U12_1</v>
      </c>
      <c r="B57" s="121">
        <f>'ICS2'!B71</f>
        <v>46287</v>
      </c>
      <c r="C57" s="122">
        <f>'ICS2'!C71</f>
        <v>0.72916666666666663</v>
      </c>
      <c r="D57" s="120" t="str">
        <f>'ICS2'!E71</f>
        <v>NEUFELD</v>
      </c>
      <c r="E57" s="120" t="str">
        <f>'ICS2'!H71</f>
        <v>Leithaprodersdorf</v>
      </c>
      <c r="F57" s="120" t="str">
        <f t="shared" si="12"/>
        <v>U12_1</v>
      </c>
      <c r="G57" s="120" t="str">
        <f t="shared" si="9"/>
        <v>55*40</v>
      </c>
      <c r="H57" s="120" t="str">
        <f t="shared" si="10"/>
        <v>7,32x2,44</v>
      </c>
      <c r="I57" s="120" t="str">
        <f t="shared" si="11"/>
        <v>4</v>
      </c>
      <c r="J57" s="120" t="str">
        <f t="shared" si="13"/>
        <v>Tobias Berger &amp; Mario Magler</v>
      </c>
      <c r="K57" s="120" t="str">
        <f t="shared" si="14"/>
        <v>+43 66 199 13 52 &amp;  +43 664 762 09 93</v>
      </c>
    </row>
    <row r="58" spans="1:11" ht="15.6" hidden="1" x14ac:dyDescent="0.3">
      <c r="A58" s="57" t="str">
        <f>'ICS2'!I72</f>
        <v>U12_1</v>
      </c>
      <c r="B58" s="103">
        <f>'ICS2'!B72</f>
        <v>46291</v>
      </c>
      <c r="C58" s="104">
        <f>'ICS2'!C72</f>
        <v>0.5</v>
      </c>
      <c r="D58" s="57" t="str">
        <f>'ICS2'!E72</f>
        <v>EISENSTADT</v>
      </c>
      <c r="E58" s="57" t="str">
        <f>'ICS2'!H72</f>
        <v>SC "muki" Eisenstadt/Rust</v>
      </c>
      <c r="F58" s="57" t="str">
        <f t="shared" si="12"/>
        <v>U12_1</v>
      </c>
      <c r="G58" s="57" t="str">
        <f t="shared" si="9"/>
        <v>55*40</v>
      </c>
      <c r="H58" s="57" t="str">
        <f t="shared" si="10"/>
        <v>7,32x2,44</v>
      </c>
      <c r="I58" s="57" t="str">
        <f t="shared" si="11"/>
        <v>4</v>
      </c>
      <c r="J58" s="57" t="str">
        <f t="shared" si="13"/>
        <v>Tobias Berger &amp; Mario Magler</v>
      </c>
      <c r="K58" s="57" t="str">
        <f t="shared" si="14"/>
        <v>+43 66 199 13 52 &amp;  +43 664 762 09 93</v>
      </c>
    </row>
    <row r="59" spans="1:11" ht="15.6" x14ac:dyDescent="0.3">
      <c r="A59" s="120" t="str">
        <f>'ICS2'!I62</f>
        <v>U14</v>
      </c>
      <c r="B59" s="121">
        <f>'ICS2'!B62</f>
        <v>46284</v>
      </c>
      <c r="C59" s="122">
        <f>'ICS2'!C62</f>
        <v>0.66666666666666663</v>
      </c>
      <c r="D59" s="120" t="str">
        <f>'ICS2'!E62</f>
        <v>GROßHÖFLEIN</v>
      </c>
      <c r="E59" s="120" t="str">
        <f>'ICS2'!H62</f>
        <v>Parndorf</v>
      </c>
      <c r="F59" s="120" t="str">
        <f t="shared" si="12"/>
        <v>U14</v>
      </c>
      <c r="G59" s="120" t="str">
        <f t="shared" si="9"/>
        <v>Großfeld</v>
      </c>
      <c r="H59" s="120" t="str">
        <f t="shared" si="10"/>
        <v>7,32x2,44</v>
      </c>
      <c r="I59" s="120" t="str">
        <f t="shared" si="11"/>
        <v>4</v>
      </c>
      <c r="J59" s="120" t="str">
        <f t="shared" si="13"/>
        <v>Christian Neckamm  &amp; Thomas Pöschl</v>
      </c>
      <c r="K59" s="120" t="str">
        <f t="shared" si="14"/>
        <v>+43 699 192 49 527 &amp; +43 677 613 55 114</v>
      </c>
    </row>
    <row r="60" spans="1:11" ht="15.6" hidden="1" x14ac:dyDescent="0.3">
      <c r="A60" s="57" t="str">
        <f>'ICS2'!I74</f>
        <v>U12_1</v>
      </c>
      <c r="B60" s="103">
        <f>'ICS2'!B74</f>
        <v>46304</v>
      </c>
      <c r="C60" s="104">
        <f>'ICS2'!C74</f>
        <v>0.66666666666666663</v>
      </c>
      <c r="D60" s="57" t="str">
        <f>'ICS2'!E74</f>
        <v>STOTZING</v>
      </c>
      <c r="E60" s="57" t="str">
        <f>'ICS2'!H74</f>
        <v>Stotzing</v>
      </c>
      <c r="F60" s="57" t="str">
        <f t="shared" si="12"/>
        <v>U12_1</v>
      </c>
      <c r="G60" s="57" t="str">
        <f t="shared" si="9"/>
        <v>55*40</v>
      </c>
      <c r="H60" s="57" t="str">
        <f t="shared" si="10"/>
        <v>7,32x2,44</v>
      </c>
      <c r="I60" s="57" t="str">
        <f t="shared" si="11"/>
        <v>4</v>
      </c>
      <c r="J60" s="57" t="str">
        <f t="shared" si="13"/>
        <v>Tobias Berger &amp; Mario Magler</v>
      </c>
      <c r="K60" s="57" t="str">
        <f t="shared" si="14"/>
        <v>+43 66 199 13 52 &amp;  +43 664 762 09 93</v>
      </c>
    </row>
    <row r="61" spans="1:11" ht="15.6" x14ac:dyDescent="0.3">
      <c r="A61" s="57" t="str">
        <f>'ICS2'!I62</f>
        <v>U14</v>
      </c>
      <c r="B61" s="103">
        <f>'ICS2'!B62</f>
        <v>46284</v>
      </c>
      <c r="C61" s="104">
        <f>'ICS2'!C62</f>
        <v>0.66666666666666663</v>
      </c>
      <c r="D61" s="57" t="str">
        <f>'ICS2'!E62</f>
        <v>GROßHÖFLEIN</v>
      </c>
      <c r="E61" s="57" t="str">
        <f>'ICS2'!H62</f>
        <v>Parndorf</v>
      </c>
      <c r="F61" s="57" t="str">
        <f t="shared" si="12"/>
        <v>U14</v>
      </c>
      <c r="G61" s="57" t="str">
        <f t="shared" si="9"/>
        <v>Großfeld</v>
      </c>
      <c r="H61" s="57" t="str">
        <f t="shared" si="10"/>
        <v>7,32x2,44</v>
      </c>
      <c r="I61" s="57" t="str">
        <f t="shared" si="11"/>
        <v>4</v>
      </c>
      <c r="J61" s="57" t="str">
        <f t="shared" si="13"/>
        <v>Christian Neckamm  &amp; Thomas Pöschl</v>
      </c>
      <c r="K61" s="57" t="str">
        <f t="shared" si="14"/>
        <v>+43 699 192 49 527 &amp; +43 677 613 55 114</v>
      </c>
    </row>
    <row r="62" spans="1:11" ht="15.6" hidden="1" x14ac:dyDescent="0.3">
      <c r="A62" s="57" t="str">
        <f>'ICS2'!I76</f>
        <v>U12_1</v>
      </c>
      <c r="B62" s="103">
        <f>'ICS2'!B76</f>
        <v>46319</v>
      </c>
      <c r="C62" s="104">
        <f>'ICS2'!C76</f>
        <v>0.625</v>
      </c>
      <c r="D62" s="57" t="str">
        <f>'ICS2'!E76</f>
        <v>LEITHAPRODERSDORF</v>
      </c>
      <c r="E62" s="57" t="str">
        <f>'ICS2'!H76</f>
        <v>Leithaprodersdorf</v>
      </c>
      <c r="F62" s="57" t="str">
        <f t="shared" si="12"/>
        <v>U12_1</v>
      </c>
      <c r="G62" s="57" t="str">
        <f t="shared" si="9"/>
        <v>55*40</v>
      </c>
      <c r="H62" s="57" t="str">
        <f t="shared" si="10"/>
        <v>7,32x2,44</v>
      </c>
      <c r="I62" s="57" t="str">
        <f t="shared" si="11"/>
        <v>4</v>
      </c>
      <c r="J62" s="57" t="str">
        <f t="shared" si="13"/>
        <v>Tobias Berger &amp; Mario Magler</v>
      </c>
      <c r="K62" s="57" t="str">
        <f t="shared" si="14"/>
        <v>+43 66 199 13 52 &amp;  +43 664 762 09 93</v>
      </c>
    </row>
    <row r="63" spans="1:11" ht="15.6" x14ac:dyDescent="0.3">
      <c r="A63" s="117" t="str">
        <f>'ICS2'!I51</f>
        <v>U16</v>
      </c>
      <c r="B63" s="118">
        <f>'ICS2'!B51</f>
        <v>46284</v>
      </c>
      <c r="C63" s="119">
        <f>'ICS2'!C51</f>
        <v>0.70833333333333337</v>
      </c>
      <c r="D63" s="117" t="str">
        <f>'ICS2'!E51</f>
        <v>WIMPASSING</v>
      </c>
      <c r="E63" s="117" t="str">
        <f>'ICS2'!H51</f>
        <v>Eisenstadt</v>
      </c>
      <c r="F63" s="117" t="str">
        <f t="shared" si="12"/>
        <v>U16</v>
      </c>
      <c r="G63" s="117" t="str">
        <f t="shared" si="9"/>
        <v>Großfeld</v>
      </c>
      <c r="H63" s="117" t="str">
        <f t="shared" si="10"/>
        <v>7,32x2,44</v>
      </c>
      <c r="I63" s="117" t="str">
        <f t="shared" si="11"/>
        <v>5</v>
      </c>
      <c r="J63" s="117" t="str">
        <f t="shared" si="13"/>
        <v>Serdar Ekinci &amp; Gernot Sevelda &amp; Hubi Oberhofer</v>
      </c>
      <c r="K63" s="117" t="str">
        <f t="shared" si="14"/>
        <v>+43 690 104 20 129 &amp; +43 676 401 09 13 &amp; +43 699 181 68 504</v>
      </c>
    </row>
    <row r="64" spans="1:11" ht="15.6" hidden="1" x14ac:dyDescent="0.3">
      <c r="A64" s="57" t="str">
        <f>'ICS2'!I78</f>
        <v>U12_1</v>
      </c>
      <c r="B64" s="103">
        <f>'ICS2'!B78</f>
        <v>46333</v>
      </c>
      <c r="C64" s="104">
        <f>'ICS2'!C78</f>
        <v>0.5625</v>
      </c>
      <c r="D64" s="57" t="str">
        <f>'ICS2'!E78</f>
        <v>HORNSTEIN</v>
      </c>
      <c r="E64" s="57" t="str">
        <f>'ICS2'!H78</f>
        <v>Hornstein/Wimpasing</v>
      </c>
      <c r="F64" s="57" t="str">
        <f t="shared" si="12"/>
        <v>U12_1</v>
      </c>
      <c r="G64" s="57" t="str">
        <f t="shared" si="9"/>
        <v>55*40</v>
      </c>
      <c r="H64" s="57" t="str">
        <f t="shared" si="10"/>
        <v>7,32x2,44</v>
      </c>
      <c r="I64" s="57" t="str">
        <f t="shared" si="11"/>
        <v>4</v>
      </c>
      <c r="J64" s="57" t="str">
        <f t="shared" si="13"/>
        <v>Tobias Berger &amp; Mario Magler</v>
      </c>
      <c r="K64" s="57" t="str">
        <f t="shared" si="14"/>
        <v>+43 66 199 13 52 &amp;  +43 664 762 09 93</v>
      </c>
    </row>
    <row r="65" spans="1:11" ht="15.6" x14ac:dyDescent="0.3">
      <c r="A65" s="120" t="str">
        <f>'ICS2'!I42</f>
        <v>U23</v>
      </c>
      <c r="B65" s="121">
        <f>'ICS2'!B42</f>
        <v>46291</v>
      </c>
      <c r="C65" s="122">
        <f>'ICS2'!C42</f>
        <v>0.66666666666666663</v>
      </c>
      <c r="D65" s="120" t="str">
        <f>'ICS2'!E42</f>
        <v>NEUFELD</v>
      </c>
      <c r="E65" s="120" t="str">
        <f>'ICS2'!H42</f>
        <v>Wallern</v>
      </c>
      <c r="F65" s="120" t="str">
        <f t="shared" si="12"/>
        <v>U23</v>
      </c>
      <c r="G65" s="120" t="str">
        <f t="shared" si="9"/>
        <v>Großfeld</v>
      </c>
      <c r="H65" s="120" t="str">
        <f t="shared" si="10"/>
        <v>7,32x2,44</v>
      </c>
      <c r="I65" s="120">
        <f t="shared" si="11"/>
        <v>5</v>
      </c>
      <c r="J65" s="120" t="str">
        <f t="shared" si="13"/>
        <v>Egzon Gentiani &amp; Dinges Stefan</v>
      </c>
      <c r="K65" s="120" t="str">
        <f t="shared" si="14"/>
        <v>+43 670 18 59 080 &amp; +43 664 451 22 16</v>
      </c>
    </row>
    <row r="66" spans="1:11" s="123" customFormat="1" ht="15.6" hidden="1" x14ac:dyDescent="0.3">
      <c r="A66" s="57" t="str">
        <f>'ICS2'!I80</f>
        <v>U12_2</v>
      </c>
      <c r="B66" s="103">
        <f>'ICS2'!B80</f>
        <v>46278</v>
      </c>
      <c r="C66" s="104">
        <f>'ICS2'!C80</f>
        <v>0.58333333333333337</v>
      </c>
      <c r="D66" s="57" t="str">
        <f>'ICS2'!E80</f>
        <v>ST. GEORGEN</v>
      </c>
      <c r="E66" s="57" t="str">
        <f>'ICS2'!H80</f>
        <v>St. Georgen/Eisenstadt</v>
      </c>
      <c r="F66" s="57" t="str">
        <f t="shared" ref="F66:F97" si="15">A66</f>
        <v>U12_2</v>
      </c>
      <c r="G66" s="57" t="str">
        <f t="shared" si="9"/>
        <v>55x40</v>
      </c>
      <c r="H66" s="57" t="str">
        <f t="shared" si="10"/>
        <v>7,32x2,44</v>
      </c>
      <c r="I66" s="57" t="str">
        <f t="shared" si="11"/>
        <v>4</v>
      </c>
      <c r="J66" s="57" t="str">
        <f t="shared" ref="J66:J97" si="16">IF(F66="KM","Pleninger Stefan &amp; Matthias Wachter",IF(F66="U23","Egzon Gentiani &amp; Dinges Stefan",IF(F66="U16","Serdar Ekinci &amp; Gernot Sevelda &amp; Hubi Oberhofer",IF(F66="U15","",IF(F66="U14","Christian Neckamm  &amp; Thomas Pöschl",IF(F66="U13","",IF(F66="U12_1","Tobias Berger &amp; Mario Magler",IF(F66="U12_2","Tobias Berger &amp; Mario Magler",IF(F66="U11","Christian Wirth",IF(F66="U10","Thomas Brandl",IF(F66="U9","Tobias Berger &amp; Sebastian Putric",IF(F66="U8","Ömer Türkes &amp; Taha Mahsumi",IF(F66="U7","Alexander Zax &amp; Jürgen Joszt",IF(F66="FKG","Ronny Archam &amp; Florian Rac",IF(A66="Camp","Berger Dieter",IF(A66="Turnier","Berger Dieter","FEHLER"))))))))))))))))</f>
        <v>Tobias Berger &amp; Mario Magler</v>
      </c>
      <c r="K66" s="57" t="str">
        <f t="shared" ref="K66:K97" si="17">IF(F66="KM","+43 664 415 99 09 &amp; +43 699 119 70 312",IF(F66="U23","+43 670 18 59 080 &amp; +43 664 451 22 16",IF(F66="U16","+43 690 104 20 129 &amp; +43 676 401 09 13 &amp; +43 699 181 68 504",IF(F66="U15","",IF(F66="U14","+43 699 192 49 527 &amp; +43 677 613 55 114",IF(F66="U13","",IF(F66="U12_1","+43 66 199 13 52 &amp;  +43 664 762 09 93",IF(F66="U12_2","+43 66 199 13 52 &amp;  +43 664 762 09 93",IF(F66="U11","+43 660 423 93 83",IF(F66="U10","+43 676 377 16 30",IF(F66="U9","+43 66 199 13 52 &amp;  +43 660 914 92 36",IF(F66="U8","+43 676 661 62 26 &amp;  +43 681 208 11 599",IF(F66="U7","+43 664 458 88 84 &amp;  +43 660 549 82 40",IF(F66="FKG","+43 699 111 93 828 &amp;  +43 660 600 25 06",IF(A66="Camp","+43 660 77 39 500",IF(A66="Turnier","+43 660 77 39 500","FEHLER"))))))))))))))))</f>
        <v>+43 66 199 13 52 &amp;  +43 664 762 09 93</v>
      </c>
    </row>
    <row r="67" spans="1:11" ht="15.6" hidden="1" x14ac:dyDescent="0.3">
      <c r="A67" s="57" t="e">
        <f>'ICS2'!#REF!</f>
        <v>#REF!</v>
      </c>
      <c r="B67" s="103" t="e">
        <f>'ICS2'!#REF!</f>
        <v>#REF!</v>
      </c>
      <c r="C67" s="104" t="e">
        <f>'ICS2'!#REF!</f>
        <v>#REF!</v>
      </c>
      <c r="D67" s="57" t="e">
        <f>'ICS2'!#REF!</f>
        <v>#REF!</v>
      </c>
      <c r="E67" s="57" t="e">
        <f>'ICS2'!#REF!</f>
        <v>#REF!</v>
      </c>
      <c r="F67" s="57" t="e">
        <f t="shared" si="15"/>
        <v>#REF!</v>
      </c>
      <c r="G67" s="57"/>
      <c r="H67" s="57"/>
      <c r="I67" s="57" t="e">
        <f>IF(F67="Großfeld","5",IF(F67="U16","5",IF(F67="U15","5",IF(F67="U14","4",IF(F67="U13","4",IF(F67="U11/U12","4",IF(F67="U9/U10","4",IF(F67="U9","4","3"))))))))</f>
        <v>#REF!</v>
      </c>
      <c r="J67" s="57" t="e">
        <f t="shared" si="16"/>
        <v>#REF!</v>
      </c>
      <c r="K67" s="57" t="e">
        <f t="shared" si="17"/>
        <v>#REF!</v>
      </c>
    </row>
    <row r="68" spans="1:11" s="123" customFormat="1" ht="15.6" x14ac:dyDescent="0.3">
      <c r="A68" s="120" t="str">
        <f>'ICS2'!I29</f>
        <v>KM</v>
      </c>
      <c r="B68" s="121">
        <f>'ICS2'!B29</f>
        <v>46291</v>
      </c>
      <c r="C68" s="122">
        <f>'ICS2'!C29</f>
        <v>0.75</v>
      </c>
      <c r="D68" s="120" t="str">
        <f>'ICS2'!E29</f>
        <v>NEUFELD</v>
      </c>
      <c r="E68" s="120" t="str">
        <f>'ICS2'!H29</f>
        <v>Wallern</v>
      </c>
      <c r="F68" s="120" t="str">
        <f t="shared" si="15"/>
        <v>KM</v>
      </c>
      <c r="G68" s="120" t="str">
        <f t="shared" ref="G68:G110" si="18">IF(F68="KM","Großfeld",IF(F68="U23","Großfeld",IF(F68="U16","Großfeld",IF(F68="U15","Großfeld",IF(F68="U14","Großfeld",IF(F68="U12_1","55*40",IF(F68="U12_2","55x40",IF(F68="U11","55x40",IF(F68="U10","40x25",IF(F68="U9","40x25",IF(F68="U8","29x22",IF(F68="U7","25x20","16x15"))))))))))))</f>
        <v>Großfeld</v>
      </c>
      <c r="H68" s="120" t="str">
        <f t="shared" ref="H68:H110" si="19">IF(F68="KM","7,32x2,44",IF(F68="U23","7,32x2,44",IF(F68="U16","7,32x2,44",IF(F68="U15","7,32x2,44",IF(F68="U14","7,32x2,44",IF(F68="U13","5x2",IF(F68="U12_1","7,32x2,44",IF(F68="U12_2","7,32x2,44",IF(F68="U11","5x2",IF(F68="U10","5x2
",IF(F68="U9","5x2","4 Minitore")))))))))))</f>
        <v>7,32x2,44</v>
      </c>
      <c r="I68" s="120" t="str">
        <f t="shared" ref="I68:I110" si="20">IF(F68="KM","5",IF(F68="U23",5,IF(F68="U16","5",IF(F68="U15","5",IF(F68="U14","4",IF(F68="U13","4",IF(F68="U12_1","4",IF(F68="U12_2","4",IF(F68="U11","4",IF(F68="U10","4",IF(F68="U9","4","3")))))))))))</f>
        <v>5</v>
      </c>
      <c r="J68" s="120" t="str">
        <f t="shared" si="16"/>
        <v>Pleninger Stefan &amp; Matthias Wachter</v>
      </c>
      <c r="K68" s="120" t="str">
        <f t="shared" si="17"/>
        <v>+43 664 415 99 09 &amp; +43 699 119 70 312</v>
      </c>
    </row>
    <row r="69" spans="1:11" ht="15.6" hidden="1" x14ac:dyDescent="0.3">
      <c r="A69" s="105" t="str">
        <f>'ICS2'!I83</f>
        <v>U12_2</v>
      </c>
      <c r="B69" s="106">
        <f>'ICS2'!B83</f>
        <v>46297</v>
      </c>
      <c r="C69" s="107">
        <f>'ICS2'!C83</f>
        <v>0.66666666666666663</v>
      </c>
      <c r="D69" s="105" t="str">
        <f>'ICS2'!E83</f>
        <v>OGGAU</v>
      </c>
      <c r="E69" s="105" t="str">
        <f>'ICS2'!H83</f>
        <v>Oggau</v>
      </c>
      <c r="F69" s="105" t="str">
        <f t="shared" si="15"/>
        <v>U12_2</v>
      </c>
      <c r="G69" s="105" t="str">
        <f t="shared" si="18"/>
        <v>55x40</v>
      </c>
      <c r="H69" s="105" t="str">
        <f t="shared" si="19"/>
        <v>7,32x2,44</v>
      </c>
      <c r="I69" s="105" t="str">
        <f t="shared" si="20"/>
        <v>4</v>
      </c>
      <c r="J69" s="105" t="str">
        <f t="shared" si="16"/>
        <v>Tobias Berger &amp; Mario Magler</v>
      </c>
      <c r="K69" s="105" t="str">
        <f t="shared" si="17"/>
        <v>+43 66 199 13 52 &amp;  +43 664 762 09 93</v>
      </c>
    </row>
    <row r="70" spans="1:11" s="123" customFormat="1" ht="15.6" hidden="1" x14ac:dyDescent="0.3">
      <c r="A70" s="57" t="str">
        <f>'ICS2'!I84</f>
        <v>U12_2</v>
      </c>
      <c r="B70" s="103">
        <f>'ICS2'!B84</f>
        <v>46305</v>
      </c>
      <c r="C70" s="104">
        <f>'ICS2'!C84</f>
        <v>0.47916666666666669</v>
      </c>
      <c r="D70" s="57" t="str">
        <f>'ICS2'!E84</f>
        <v>ST. MARGARETHEN</v>
      </c>
      <c r="E70" s="57" t="str">
        <f>'ICS2'!H84</f>
        <v>St. Margarethen</v>
      </c>
      <c r="F70" s="57" t="str">
        <f t="shared" si="15"/>
        <v>U12_2</v>
      </c>
      <c r="G70" s="57" t="str">
        <f t="shared" si="18"/>
        <v>55x40</v>
      </c>
      <c r="H70" s="57" t="str">
        <f t="shared" si="19"/>
        <v>7,32x2,44</v>
      </c>
      <c r="I70" s="57" t="str">
        <f t="shared" si="20"/>
        <v>4</v>
      </c>
      <c r="J70" s="57" t="str">
        <f t="shared" si="16"/>
        <v>Tobias Berger &amp; Mario Magler</v>
      </c>
      <c r="K70" s="57" t="str">
        <f t="shared" si="17"/>
        <v>+43 66 199 13 52 &amp;  +43 664 762 09 93</v>
      </c>
    </row>
    <row r="71" spans="1:11" ht="15.6" x14ac:dyDescent="0.3">
      <c r="A71" s="117" t="str">
        <f>'ICS2'!I52</f>
        <v>U16</v>
      </c>
      <c r="B71" s="118">
        <f>'ICS2'!B52</f>
        <v>46292</v>
      </c>
      <c r="C71" s="119">
        <f>'ICS2'!C52</f>
        <v>0.70833333333333337</v>
      </c>
      <c r="D71" s="117" t="str">
        <f>'ICS2'!E52</f>
        <v>GROßHÖFLEIN</v>
      </c>
      <c r="E71" s="117" t="str">
        <f>'ICS2'!H52</f>
        <v>Großhöflein</v>
      </c>
      <c r="F71" s="117" t="str">
        <f t="shared" si="15"/>
        <v>U16</v>
      </c>
      <c r="G71" s="117" t="str">
        <f t="shared" si="18"/>
        <v>Großfeld</v>
      </c>
      <c r="H71" s="117" t="str">
        <f t="shared" si="19"/>
        <v>7,32x2,44</v>
      </c>
      <c r="I71" s="117" t="str">
        <f t="shared" si="20"/>
        <v>5</v>
      </c>
      <c r="J71" s="117" t="str">
        <f t="shared" si="16"/>
        <v>Serdar Ekinci &amp; Gernot Sevelda &amp; Hubi Oberhofer</v>
      </c>
      <c r="K71" s="117" t="str">
        <f t="shared" si="17"/>
        <v>+43 690 104 20 129 &amp; +43 676 401 09 13 &amp; +43 699 181 68 504</v>
      </c>
    </row>
    <row r="72" spans="1:11" ht="15.6" x14ac:dyDescent="0.3">
      <c r="A72" s="120" t="str">
        <f>'ICS2'!I92</f>
        <v>U11</v>
      </c>
      <c r="B72" s="121">
        <f>'ICS2'!B92</f>
        <v>46292</v>
      </c>
      <c r="C72" s="122">
        <f>'ICS2'!C92</f>
        <v>0.54166666666666663</v>
      </c>
      <c r="D72" s="120" t="str">
        <f>'ICS2'!E92</f>
        <v>NEUFELD</v>
      </c>
      <c r="E72" s="120" t="str">
        <f>'ICS2'!H92</f>
        <v>Wulkaprodersdorf</v>
      </c>
      <c r="F72" s="120" t="str">
        <f t="shared" si="15"/>
        <v>U11</v>
      </c>
      <c r="G72" s="120" t="str">
        <f t="shared" si="18"/>
        <v>55x40</v>
      </c>
      <c r="H72" s="120" t="str">
        <f t="shared" si="19"/>
        <v>5x2</v>
      </c>
      <c r="I72" s="120" t="str">
        <f t="shared" si="20"/>
        <v>4</v>
      </c>
      <c r="J72" s="120" t="str">
        <f t="shared" si="16"/>
        <v>Christian Wirth</v>
      </c>
      <c r="K72" s="120" t="str">
        <f t="shared" si="17"/>
        <v>+43 660 423 93 83</v>
      </c>
    </row>
    <row r="73" spans="1:11" ht="15.6" hidden="1" x14ac:dyDescent="0.3">
      <c r="A73" s="57" t="str">
        <f>'ICS2'!I87</f>
        <v>U12_2</v>
      </c>
      <c r="B73" s="103">
        <f>'ICS2'!B87</f>
        <v>46327</v>
      </c>
      <c r="C73" s="104">
        <f>'ICS2'!C87</f>
        <v>0.47916666666666669</v>
      </c>
      <c r="D73" s="57" t="str">
        <f>'ICS2'!E87</f>
        <v>PURBACH</v>
      </c>
      <c r="E73" s="57" t="str">
        <f>'ICS2'!H87</f>
        <v>Purbach/Breitenbrunn/Winden</v>
      </c>
      <c r="F73" s="57" t="str">
        <f t="shared" si="15"/>
        <v>U12_2</v>
      </c>
      <c r="G73" s="57" t="str">
        <f t="shared" si="18"/>
        <v>55x40</v>
      </c>
      <c r="H73" s="57" t="str">
        <f t="shared" si="19"/>
        <v>7,32x2,44</v>
      </c>
      <c r="I73" s="57" t="str">
        <f t="shared" si="20"/>
        <v>4</v>
      </c>
      <c r="J73" s="57" t="str">
        <f t="shared" si="16"/>
        <v>Tobias Berger &amp; Mario Magler</v>
      </c>
      <c r="K73" s="57" t="str">
        <f t="shared" si="17"/>
        <v>+43 66 199 13 52 &amp;  +43 664 762 09 93</v>
      </c>
    </row>
    <row r="74" spans="1:11" ht="15.6" x14ac:dyDescent="0.3">
      <c r="A74" s="120" t="str">
        <f>'ICS2'!I82</f>
        <v>U12_2</v>
      </c>
      <c r="B74" s="121">
        <f>'ICS2'!B82</f>
        <v>46292</v>
      </c>
      <c r="C74" s="122">
        <f>'ICS2'!C82</f>
        <v>0.625</v>
      </c>
      <c r="D74" s="120" t="str">
        <f>'ICS2'!E82</f>
        <v>NEUFELD</v>
      </c>
      <c r="E74" s="120" t="str">
        <f>'ICS2'!H82</f>
        <v>Purbach/Breitenbrunn/Winden</v>
      </c>
      <c r="F74" s="120" t="str">
        <f t="shared" si="15"/>
        <v>U12_2</v>
      </c>
      <c r="G74" s="120" t="str">
        <f t="shared" si="18"/>
        <v>55x40</v>
      </c>
      <c r="H74" s="120" t="str">
        <f t="shared" si="19"/>
        <v>7,32x2,44</v>
      </c>
      <c r="I74" s="120" t="str">
        <f t="shared" si="20"/>
        <v>4</v>
      </c>
      <c r="J74" s="120" t="str">
        <f t="shared" si="16"/>
        <v>Tobias Berger &amp; Mario Magler</v>
      </c>
      <c r="K74" s="120" t="str">
        <f t="shared" si="17"/>
        <v>+43 66 199 13 52 &amp;  +43 664 762 09 93</v>
      </c>
    </row>
    <row r="75" spans="1:11" ht="15.6" x14ac:dyDescent="0.3">
      <c r="A75" s="117" t="str">
        <f>'ICS2'!I63</f>
        <v>U14</v>
      </c>
      <c r="B75" s="118">
        <f>'ICS2'!B63</f>
        <v>46292</v>
      </c>
      <c r="C75" s="119">
        <f>'ICS2'!C63</f>
        <v>0.4375</v>
      </c>
      <c r="D75" s="117" t="str">
        <f>'ICS2'!E63</f>
        <v>GROßHÖFLEIN</v>
      </c>
      <c r="E75" s="117" t="str">
        <f>'ICS2'!H63</f>
        <v>SPG Seewinkel</v>
      </c>
      <c r="F75" s="117" t="str">
        <f t="shared" si="15"/>
        <v>U14</v>
      </c>
      <c r="G75" s="117" t="str">
        <f t="shared" si="18"/>
        <v>Großfeld</v>
      </c>
      <c r="H75" s="117" t="str">
        <f t="shared" si="19"/>
        <v>7,32x2,44</v>
      </c>
      <c r="I75" s="117" t="str">
        <f t="shared" si="20"/>
        <v>4</v>
      </c>
      <c r="J75" s="117" t="str">
        <f t="shared" si="16"/>
        <v>Christian Neckamm  &amp; Thomas Pöschl</v>
      </c>
      <c r="K75" s="117" t="str">
        <f t="shared" si="17"/>
        <v>+43 699 192 49 527 &amp; +43 677 613 55 114</v>
      </c>
    </row>
    <row r="76" spans="1:11" s="123" customFormat="1" ht="15.6" hidden="1" x14ac:dyDescent="0.3">
      <c r="A76" s="57" t="str">
        <f>'ICS2'!I15</f>
        <v>U14</v>
      </c>
      <c r="B76" s="103">
        <f>'ICS2'!B15</f>
        <v>46247</v>
      </c>
      <c r="C76" s="104">
        <f>'ICS2'!C15</f>
        <v>0.79166666666666663</v>
      </c>
      <c r="D76" s="57" t="str">
        <f>'ICS2'!E15</f>
        <v>OGGAU</v>
      </c>
      <c r="E76" s="57" t="str">
        <f>'ICS2'!H15</f>
        <v>Oggau</v>
      </c>
      <c r="F76" s="57" t="str">
        <f t="shared" si="15"/>
        <v>U14</v>
      </c>
      <c r="G76" s="57" t="str">
        <f t="shared" si="18"/>
        <v>Großfeld</v>
      </c>
      <c r="H76" s="57" t="str">
        <f t="shared" si="19"/>
        <v>7,32x2,44</v>
      </c>
      <c r="I76" s="57" t="str">
        <f t="shared" si="20"/>
        <v>4</v>
      </c>
      <c r="J76" s="57" t="str">
        <f t="shared" si="16"/>
        <v>Christian Neckamm  &amp; Thomas Pöschl</v>
      </c>
      <c r="K76" s="57" t="str">
        <f t="shared" si="17"/>
        <v>+43 699 192 49 527 &amp; +43 677 613 55 114</v>
      </c>
    </row>
    <row r="77" spans="1:11" s="123" customFormat="1" ht="15.6" x14ac:dyDescent="0.3">
      <c r="A77" s="120" t="str">
        <f>'ICS2'!I107</f>
        <v>U9</v>
      </c>
      <c r="B77" s="121">
        <f>'ICS2'!B107</f>
        <v>46298</v>
      </c>
      <c r="C77" s="122">
        <f>'ICS2'!C107</f>
        <v>0.39583333333333331</v>
      </c>
      <c r="D77" s="120" t="str">
        <f>'ICS2'!E107</f>
        <v>NEUFELD</v>
      </c>
      <c r="E77" s="120" t="str">
        <f>'ICS2'!H107</f>
        <v>Hornstein</v>
      </c>
      <c r="F77" s="120" t="str">
        <f t="shared" si="15"/>
        <v>U9</v>
      </c>
      <c r="G77" s="120" t="str">
        <f t="shared" si="18"/>
        <v>40x25</v>
      </c>
      <c r="H77" s="120" t="str">
        <f t="shared" si="19"/>
        <v>5x2</v>
      </c>
      <c r="I77" s="120" t="str">
        <f t="shared" si="20"/>
        <v>4</v>
      </c>
      <c r="J77" s="120" t="str">
        <f t="shared" si="16"/>
        <v>Tobias Berger &amp; Sebastian Putric</v>
      </c>
      <c r="K77" s="120" t="str">
        <f t="shared" si="17"/>
        <v>+43 66 199 13 52 &amp;  +43 660 914 92 36</v>
      </c>
    </row>
    <row r="78" spans="1:11" s="108" customFormat="1" ht="15.6" x14ac:dyDescent="0.3">
      <c r="A78" s="117" t="str">
        <f>'ICS2'!I93</f>
        <v>U11</v>
      </c>
      <c r="B78" s="118">
        <f>'ICS2'!B93</f>
        <v>46298</v>
      </c>
      <c r="C78" s="119">
        <f>'ICS2'!C93</f>
        <v>0.41666666666666669</v>
      </c>
      <c r="D78" s="117" t="str">
        <f>'ICS2'!E93</f>
        <v>STEINBRUNN</v>
      </c>
      <c r="E78" s="117" t="str">
        <f>'ICS2'!H93</f>
        <v>Hornstein</v>
      </c>
      <c r="F78" s="117" t="str">
        <f t="shared" si="15"/>
        <v>U11</v>
      </c>
      <c r="G78" s="117" t="str">
        <f t="shared" si="18"/>
        <v>55x40</v>
      </c>
      <c r="H78" s="117" t="str">
        <f t="shared" si="19"/>
        <v>5x2</v>
      </c>
      <c r="I78" s="117" t="str">
        <f t="shared" si="20"/>
        <v>4</v>
      </c>
      <c r="J78" s="117" t="str">
        <f t="shared" si="16"/>
        <v>Christian Wirth</v>
      </c>
      <c r="K78" s="117" t="str">
        <f t="shared" si="17"/>
        <v>+43 660 423 93 83</v>
      </c>
    </row>
    <row r="79" spans="1:11" ht="15.6" x14ac:dyDescent="0.3">
      <c r="A79" s="117" t="str">
        <f>'ICS2'!I73</f>
        <v>U12_1</v>
      </c>
      <c r="B79" s="118">
        <f>'ICS2'!B73</f>
        <v>46307</v>
      </c>
      <c r="C79" s="119">
        <f>'ICS2'!C73</f>
        <v>0.72916666666666663</v>
      </c>
      <c r="D79" s="117" t="str">
        <f>'ICS2'!E73</f>
        <v>STEINBRUNN</v>
      </c>
      <c r="E79" s="117" t="str">
        <f>'ICS2'!H73</f>
        <v>Hornstein/Wimpasing</v>
      </c>
      <c r="F79" s="117" t="str">
        <f t="shared" si="15"/>
        <v>U12_1</v>
      </c>
      <c r="G79" s="117" t="str">
        <f t="shared" si="18"/>
        <v>55*40</v>
      </c>
      <c r="H79" s="117" t="str">
        <f t="shared" si="19"/>
        <v>7,32x2,44</v>
      </c>
      <c r="I79" s="117" t="str">
        <f t="shared" si="20"/>
        <v>4</v>
      </c>
      <c r="J79" s="117" t="str">
        <f t="shared" si="16"/>
        <v>Tobias Berger &amp; Mario Magler</v>
      </c>
      <c r="K79" s="117" t="str">
        <f t="shared" si="17"/>
        <v>+43 66 199 13 52 &amp;  +43 664 762 09 93</v>
      </c>
    </row>
    <row r="80" spans="1:11" s="123" customFormat="1" ht="15.6" x14ac:dyDescent="0.3">
      <c r="A80" s="113" t="str">
        <f>'ICS2'!I53</f>
        <v>U16</v>
      </c>
      <c r="B80" s="114">
        <f>'ICS2'!B53</f>
        <v>46298</v>
      </c>
      <c r="C80" s="115">
        <f>'ICS2'!C53</f>
        <v>0.58333333333333337</v>
      </c>
      <c r="D80" s="113" t="str">
        <f>'ICS2'!E53</f>
        <v>NEUFELD</v>
      </c>
      <c r="E80" s="113" t="str">
        <f>'ICS2'!H53</f>
        <v>Neusiedl</v>
      </c>
      <c r="F80" s="113" t="str">
        <f t="shared" si="15"/>
        <v>U16</v>
      </c>
      <c r="G80" s="113" t="str">
        <f t="shared" si="18"/>
        <v>Großfeld</v>
      </c>
      <c r="H80" s="113" t="str">
        <f t="shared" si="19"/>
        <v>7,32x2,44</v>
      </c>
      <c r="I80" s="113" t="str">
        <f t="shared" si="20"/>
        <v>5</v>
      </c>
      <c r="J80" s="113" t="str">
        <f t="shared" si="16"/>
        <v>Serdar Ekinci &amp; Gernot Sevelda &amp; Hubi Oberhofer</v>
      </c>
      <c r="K80" s="113" t="str">
        <f t="shared" si="17"/>
        <v>+43 690 104 20 129 &amp; +43 676 401 09 13 &amp; +43 699 181 68 504</v>
      </c>
    </row>
    <row r="81" spans="1:11" s="108" customFormat="1" ht="15.6" hidden="1" x14ac:dyDescent="0.3">
      <c r="A81" s="57" t="str">
        <f>'ICS2'!I61</f>
        <v>U14</v>
      </c>
      <c r="B81" s="103">
        <f>'ICS2'!B61</f>
        <v>46288</v>
      </c>
      <c r="C81" s="104">
        <f>'ICS2'!C61</f>
        <v>0.79166666666666663</v>
      </c>
      <c r="D81" s="57" t="str">
        <f>'ICS2'!E61</f>
        <v>NEUDÖRFL</v>
      </c>
      <c r="E81" s="57" t="str">
        <f>'ICS2'!H61</f>
        <v>Neudörfl</v>
      </c>
      <c r="F81" s="57" t="str">
        <f t="shared" si="15"/>
        <v>U14</v>
      </c>
      <c r="G81" s="57" t="str">
        <f t="shared" si="18"/>
        <v>Großfeld</v>
      </c>
      <c r="H81" s="57" t="str">
        <f t="shared" si="19"/>
        <v>7,32x2,44</v>
      </c>
      <c r="I81" s="57" t="str">
        <f t="shared" si="20"/>
        <v>4</v>
      </c>
      <c r="J81" s="57" t="str">
        <f t="shared" si="16"/>
        <v>Christian Neckamm  &amp; Thomas Pöschl</v>
      </c>
      <c r="K81" s="57" t="str">
        <f t="shared" si="17"/>
        <v>+43 699 192 49 527 &amp; +43 677 613 55 114</v>
      </c>
    </row>
    <row r="82" spans="1:11" ht="15.6" x14ac:dyDescent="0.3">
      <c r="A82" s="120" t="str">
        <f>'ICS2'!I44</f>
        <v>U23</v>
      </c>
      <c r="B82" s="121">
        <f>'ICS2'!B44</f>
        <v>46304</v>
      </c>
      <c r="C82" s="122">
        <f>'ICS2'!C44</f>
        <v>0.72916666666666663</v>
      </c>
      <c r="D82" s="120" t="str">
        <f>'ICS2'!E44</f>
        <v>NEUFELD</v>
      </c>
      <c r="E82" s="120" t="str">
        <f>'ICS2'!H44</f>
        <v>Wimpassing</v>
      </c>
      <c r="F82" s="120" t="str">
        <f t="shared" si="15"/>
        <v>U23</v>
      </c>
      <c r="G82" s="120" t="str">
        <f t="shared" si="18"/>
        <v>Großfeld</v>
      </c>
      <c r="H82" s="120" t="str">
        <f t="shared" si="19"/>
        <v>7,32x2,44</v>
      </c>
      <c r="I82" s="120">
        <f t="shared" si="20"/>
        <v>5</v>
      </c>
      <c r="J82" s="120" t="str">
        <f t="shared" si="16"/>
        <v>Egzon Gentiani &amp; Dinges Stefan</v>
      </c>
      <c r="K82" s="120" t="str">
        <f t="shared" si="17"/>
        <v>+43 670 18 59 080 &amp; +43 664 451 22 16</v>
      </c>
    </row>
    <row r="83" spans="1:11" s="123" customFormat="1" ht="15.6" x14ac:dyDescent="0.3">
      <c r="A83" s="120" t="str">
        <f>'ICS2'!I31</f>
        <v>KM</v>
      </c>
      <c r="B83" s="121">
        <f>'ICS2'!B31</f>
        <v>46304</v>
      </c>
      <c r="C83" s="122">
        <f>'ICS2'!C31</f>
        <v>0.8125</v>
      </c>
      <c r="D83" s="120" t="str">
        <f>'ICS2'!E31</f>
        <v>NEUFELD</v>
      </c>
      <c r="E83" s="120" t="str">
        <f>'ICS2'!H31</f>
        <v>Wimpassing</v>
      </c>
      <c r="F83" s="120" t="str">
        <f t="shared" si="15"/>
        <v>KM</v>
      </c>
      <c r="G83" s="120" t="str">
        <f t="shared" si="18"/>
        <v>Großfeld</v>
      </c>
      <c r="H83" s="120" t="str">
        <f t="shared" si="19"/>
        <v>7,32x2,44</v>
      </c>
      <c r="I83" s="120" t="str">
        <f t="shared" si="20"/>
        <v>5</v>
      </c>
      <c r="J83" s="120" t="str">
        <f t="shared" si="16"/>
        <v>Pleninger Stefan &amp; Matthias Wachter</v>
      </c>
      <c r="K83" s="120" t="str">
        <f t="shared" si="17"/>
        <v>+43 664 415 99 09 &amp; +43 699 119 70 312</v>
      </c>
    </row>
    <row r="84" spans="1:11" s="108" customFormat="1" ht="15.6" hidden="1" x14ac:dyDescent="0.3">
      <c r="A84" s="57" t="str">
        <f>'ICS2'!I64</f>
        <v>U14</v>
      </c>
      <c r="B84" s="103">
        <f>'ICS2'!B64</f>
        <v>46298</v>
      </c>
      <c r="C84" s="104">
        <f>'ICS2'!C64</f>
        <v>0.70833333333333337</v>
      </c>
      <c r="D84" s="57" t="str">
        <f>'ICS2'!E64</f>
        <v>DRAßBURG</v>
      </c>
      <c r="E84" s="57" t="str">
        <f>'ICS2'!H64</f>
        <v>SPG Draßburg/ZSP/Kemeten</v>
      </c>
      <c r="F84" s="57" t="str">
        <f t="shared" si="15"/>
        <v>U14</v>
      </c>
      <c r="G84" s="57" t="str">
        <f t="shared" si="18"/>
        <v>Großfeld</v>
      </c>
      <c r="H84" s="57" t="str">
        <f t="shared" si="19"/>
        <v>7,32x2,44</v>
      </c>
      <c r="I84" s="57" t="str">
        <f t="shared" si="20"/>
        <v>4</v>
      </c>
      <c r="J84" s="57" t="str">
        <f t="shared" si="16"/>
        <v>Christian Neckamm  &amp; Thomas Pöschl</v>
      </c>
      <c r="K84" s="57" t="str">
        <f t="shared" si="17"/>
        <v>+43 699 192 49 527 &amp; +43 677 613 55 114</v>
      </c>
    </row>
    <row r="85" spans="1:11" s="123" customFormat="1" ht="15.6" x14ac:dyDescent="0.3">
      <c r="A85" s="120" t="str">
        <f>'ICS2'!I108</f>
        <v>U9</v>
      </c>
      <c r="B85" s="121">
        <f>'ICS2'!B108</f>
        <v>46305</v>
      </c>
      <c r="C85" s="122">
        <f>'ICS2'!C108</f>
        <v>0.58333333333333337</v>
      </c>
      <c r="D85" s="120" t="str">
        <f>'ICS2'!E108</f>
        <v>NEUFELD</v>
      </c>
      <c r="E85" s="120" t="str">
        <f>'ICS2'!H108</f>
        <v>Großhöflein</v>
      </c>
      <c r="F85" s="120" t="str">
        <f t="shared" si="15"/>
        <v>U9</v>
      </c>
      <c r="G85" s="120" t="str">
        <f t="shared" si="18"/>
        <v>40x25</v>
      </c>
      <c r="H85" s="120" t="str">
        <f t="shared" si="19"/>
        <v>5x2</v>
      </c>
      <c r="I85" s="120" t="str">
        <f t="shared" si="20"/>
        <v>4</v>
      </c>
      <c r="J85" s="120" t="str">
        <f t="shared" si="16"/>
        <v>Tobias Berger &amp; Sebastian Putric</v>
      </c>
      <c r="K85" s="120" t="str">
        <f t="shared" si="17"/>
        <v>+43 66 199 13 52 &amp;  +43 660 914 92 36</v>
      </c>
    </row>
    <row r="86" spans="1:11" ht="15.6" hidden="1" x14ac:dyDescent="0.3">
      <c r="A86" s="57" t="str">
        <f>'ICS2'!I66</f>
        <v>U14</v>
      </c>
      <c r="B86" s="103">
        <f>'ICS2'!B66</f>
        <v>46313</v>
      </c>
      <c r="C86" s="104">
        <f>'ICS2'!C66</f>
        <v>0.45833333333333331</v>
      </c>
      <c r="D86" s="57" t="str">
        <f>'ICS2'!E66</f>
        <v>KEMETEN</v>
      </c>
      <c r="E86" s="57" t="str">
        <f>'ICS2'!H66</f>
        <v>Kemeten</v>
      </c>
      <c r="F86" s="57" t="str">
        <f t="shared" si="15"/>
        <v>U14</v>
      </c>
      <c r="G86" s="57" t="str">
        <f t="shared" si="18"/>
        <v>Großfeld</v>
      </c>
      <c r="H86" s="57" t="str">
        <f t="shared" si="19"/>
        <v>7,32x2,44</v>
      </c>
      <c r="I86" s="57" t="str">
        <f t="shared" si="20"/>
        <v>4</v>
      </c>
      <c r="J86" s="57" t="str">
        <f t="shared" si="16"/>
        <v>Christian Neckamm  &amp; Thomas Pöschl</v>
      </c>
      <c r="K86" s="57" t="str">
        <f t="shared" si="17"/>
        <v>+43 699 192 49 527 &amp; +43 677 613 55 114</v>
      </c>
    </row>
    <row r="87" spans="1:11" s="123" customFormat="1" ht="15.6" x14ac:dyDescent="0.3">
      <c r="A87" s="120" t="str">
        <f>'ICS2'!I54</f>
        <v>U16</v>
      </c>
      <c r="B87" s="121">
        <f>'ICS2'!B54</f>
        <v>46305</v>
      </c>
      <c r="C87" s="122">
        <f>'ICS2'!C54</f>
        <v>0.66666666666666663</v>
      </c>
      <c r="D87" s="120" t="str">
        <f>'ICS2'!E54</f>
        <v>NEUFELD</v>
      </c>
      <c r="E87" s="120" t="str">
        <f>'ICS2'!H54</f>
        <v>Parndorf</v>
      </c>
      <c r="F87" s="120" t="str">
        <f t="shared" si="15"/>
        <v>U16</v>
      </c>
      <c r="G87" s="120" t="str">
        <f t="shared" si="18"/>
        <v>Großfeld</v>
      </c>
      <c r="H87" s="120" t="str">
        <f t="shared" si="19"/>
        <v>7,32x2,44</v>
      </c>
      <c r="I87" s="120" t="str">
        <f t="shared" si="20"/>
        <v>5</v>
      </c>
      <c r="J87" s="120" t="str">
        <f t="shared" si="16"/>
        <v>Serdar Ekinci &amp; Gernot Sevelda &amp; Hubi Oberhofer</v>
      </c>
      <c r="K87" s="120" t="str">
        <f t="shared" si="17"/>
        <v>+43 690 104 20 129 &amp; +43 676 401 09 13 &amp; +43 699 181 68 504</v>
      </c>
    </row>
    <row r="88" spans="1:11" s="116" customFormat="1" ht="15.6" hidden="1" x14ac:dyDescent="0.3">
      <c r="A88" s="57" t="str">
        <f>'ICS2'!I68</f>
        <v>U14</v>
      </c>
      <c r="B88" s="103">
        <f>'ICS2'!B68</f>
        <v>46326</v>
      </c>
      <c r="C88" s="104">
        <f>'ICS2'!C68</f>
        <v>0.58333333333333337</v>
      </c>
      <c r="D88" s="57" t="str">
        <f>'ICS2'!E68</f>
        <v>GOLS</v>
      </c>
      <c r="E88" s="57" t="str">
        <f>'ICS2'!H68</f>
        <v>GMWP</v>
      </c>
      <c r="F88" s="57" t="str">
        <f t="shared" si="15"/>
        <v>U14</v>
      </c>
      <c r="G88" s="57" t="str">
        <f t="shared" si="18"/>
        <v>Großfeld</v>
      </c>
      <c r="H88" s="57" t="str">
        <f t="shared" si="19"/>
        <v>7,32x2,44</v>
      </c>
      <c r="I88" s="57" t="str">
        <f t="shared" si="20"/>
        <v>4</v>
      </c>
      <c r="J88" s="57" t="str">
        <f t="shared" si="16"/>
        <v>Christian Neckamm  &amp; Thomas Pöschl</v>
      </c>
      <c r="K88" s="57" t="str">
        <f t="shared" si="17"/>
        <v>+43 699 192 49 527 &amp; +43 677 613 55 114</v>
      </c>
    </row>
    <row r="89" spans="1:11" ht="15.6" x14ac:dyDescent="0.3">
      <c r="A89" s="117" t="str">
        <f>'ICS2'!I65</f>
        <v>U14</v>
      </c>
      <c r="B89" s="118">
        <f>'ICS2'!B65</f>
        <v>46306</v>
      </c>
      <c r="C89" s="119">
        <f>'ICS2'!C65</f>
        <v>0.45833333333333331</v>
      </c>
      <c r="D89" s="117" t="str">
        <f>'ICS2'!E65</f>
        <v>NEUFELD</v>
      </c>
      <c r="E89" s="117" t="str">
        <f>'ICS2'!H65</f>
        <v>SPG Pubach/Breitenbrunn/Winden</v>
      </c>
      <c r="F89" s="117" t="str">
        <f t="shared" si="15"/>
        <v>U14</v>
      </c>
      <c r="G89" s="117" t="str">
        <f t="shared" si="18"/>
        <v>Großfeld</v>
      </c>
      <c r="H89" s="117" t="str">
        <f t="shared" si="19"/>
        <v>7,32x2,44</v>
      </c>
      <c r="I89" s="117" t="str">
        <f t="shared" si="20"/>
        <v>4</v>
      </c>
      <c r="J89" s="117" t="str">
        <f t="shared" si="16"/>
        <v>Christian Neckamm  &amp; Thomas Pöschl</v>
      </c>
      <c r="K89" s="117" t="str">
        <f t="shared" si="17"/>
        <v>+43 699 192 49 527 &amp; +43 677 613 55 114</v>
      </c>
    </row>
    <row r="90" spans="1:11" s="123" customFormat="1" ht="15.6" x14ac:dyDescent="0.3">
      <c r="A90" s="109" t="str">
        <f>'ICS2'!I109</f>
        <v>U9</v>
      </c>
      <c r="B90" s="110">
        <f>'ICS2'!B109</f>
        <v>46312</v>
      </c>
      <c r="C90" s="111">
        <f>'ICS2'!C109</f>
        <v>0.39583333333333331</v>
      </c>
      <c r="D90" s="109" t="str">
        <f>'ICS2'!E109</f>
        <v>STEINBRUNN</v>
      </c>
      <c r="E90" s="109" t="str">
        <f>'ICS2'!H109</f>
        <v>Steinbrunn</v>
      </c>
      <c r="F90" s="109" t="str">
        <f t="shared" si="15"/>
        <v>U9</v>
      </c>
      <c r="G90" s="109" t="str">
        <f t="shared" si="18"/>
        <v>40x25</v>
      </c>
      <c r="H90" s="109" t="str">
        <f t="shared" si="19"/>
        <v>5x2</v>
      </c>
      <c r="I90" s="109" t="str">
        <f t="shared" si="20"/>
        <v>4</v>
      </c>
      <c r="J90" s="109" t="str">
        <f t="shared" si="16"/>
        <v>Tobias Berger &amp; Sebastian Putric</v>
      </c>
      <c r="K90" s="109" t="str">
        <f t="shared" si="17"/>
        <v>+43 66 199 13 52 &amp;  +43 660 914 92 36</v>
      </c>
    </row>
    <row r="91" spans="1:11" s="116" customFormat="1" ht="15.6" x14ac:dyDescent="0.3">
      <c r="A91" s="120" t="str">
        <f>'ICS2'!I98</f>
        <v>U10</v>
      </c>
      <c r="B91" s="121">
        <f>'ICS2'!B98</f>
        <v>46312</v>
      </c>
      <c r="C91" s="122">
        <f>'ICS2'!C98</f>
        <v>0.39583333333333331</v>
      </c>
      <c r="D91" s="120" t="str">
        <f>'ICS2'!E98</f>
        <v>NEUFELD</v>
      </c>
      <c r="E91" s="120" t="str">
        <f>'ICS2'!H98</f>
        <v>Heimturnier</v>
      </c>
      <c r="F91" s="120" t="str">
        <f t="shared" si="15"/>
        <v>U10</v>
      </c>
      <c r="G91" s="120" t="str">
        <f t="shared" si="18"/>
        <v>40x25</v>
      </c>
      <c r="H91" s="120" t="str">
        <f t="shared" si="19"/>
        <v xml:space="preserve">5x2
</v>
      </c>
      <c r="I91" s="120" t="str">
        <f t="shared" si="20"/>
        <v>4</v>
      </c>
      <c r="J91" s="120" t="str">
        <f t="shared" si="16"/>
        <v>Thomas Brandl</v>
      </c>
      <c r="K91" s="120" t="str">
        <f t="shared" si="17"/>
        <v>+43 676 377 16 30</v>
      </c>
    </row>
    <row r="92" spans="1:11" s="108" customFormat="1" ht="15.6" hidden="1" x14ac:dyDescent="0.3">
      <c r="A92" s="57" t="str">
        <f>'ICS2'!I12</f>
        <v>U16</v>
      </c>
      <c r="B92" s="103">
        <f>'ICS2'!B12</f>
        <v>46243</v>
      </c>
      <c r="C92" s="104">
        <f>'ICS2'!C12</f>
        <v>0.45833333333333331</v>
      </c>
      <c r="D92" s="57" t="str">
        <f>'ICS2'!E12</f>
        <v>WIENER NEUDORF</v>
      </c>
      <c r="E92" s="57" t="str">
        <f>'ICS2'!H12</f>
        <v>Wiener Neudorf</v>
      </c>
      <c r="F92" s="57" t="str">
        <f t="shared" si="15"/>
        <v>U16</v>
      </c>
      <c r="G92" s="57" t="str">
        <f t="shared" si="18"/>
        <v>Großfeld</v>
      </c>
      <c r="H92" s="57" t="str">
        <f t="shared" si="19"/>
        <v>7,32x2,44</v>
      </c>
      <c r="I92" s="57" t="str">
        <f t="shared" si="20"/>
        <v>5</v>
      </c>
      <c r="J92" s="57" t="str">
        <f t="shared" si="16"/>
        <v>Serdar Ekinci &amp; Gernot Sevelda &amp; Hubi Oberhofer</v>
      </c>
      <c r="K92" s="57" t="str">
        <f t="shared" si="17"/>
        <v>+43 690 104 20 129 &amp; +43 676 401 09 13 &amp; +43 699 181 68 504</v>
      </c>
    </row>
    <row r="93" spans="1:11" s="123" customFormat="1" ht="15.6" hidden="1" x14ac:dyDescent="0.3">
      <c r="A93" s="57" t="str">
        <f>'ICS2'!I17</f>
        <v>U16</v>
      </c>
      <c r="B93" s="103">
        <f>'ICS2'!B17</f>
        <v>46256</v>
      </c>
      <c r="C93" s="104">
        <f>'ICS2'!C17</f>
        <v>0.70833333333333337</v>
      </c>
      <c r="D93" s="57" t="str">
        <f>'ICS2'!E17</f>
        <v>LAXENBURG</v>
      </c>
      <c r="E93" s="57" t="str">
        <f>'ICS2'!H17</f>
        <v>Laxenburg</v>
      </c>
      <c r="F93" s="57" t="str">
        <f t="shared" si="15"/>
        <v>U16</v>
      </c>
      <c r="G93" s="57" t="str">
        <f t="shared" si="18"/>
        <v>Großfeld</v>
      </c>
      <c r="H93" s="57" t="str">
        <f t="shared" si="19"/>
        <v>7,32x2,44</v>
      </c>
      <c r="I93" s="57" t="str">
        <f t="shared" si="20"/>
        <v>5</v>
      </c>
      <c r="J93" s="57" t="str">
        <f t="shared" si="16"/>
        <v>Serdar Ekinci &amp; Gernot Sevelda &amp; Hubi Oberhofer</v>
      </c>
      <c r="K93" s="57" t="str">
        <f t="shared" si="17"/>
        <v>+43 690 104 20 129 &amp; +43 676 401 09 13 &amp; +43 699 181 68 504</v>
      </c>
    </row>
    <row r="94" spans="1:11" s="123" customFormat="1" ht="15.6" x14ac:dyDescent="0.3">
      <c r="A94" s="120" t="str">
        <f>'ICS2'!I113</f>
        <v>U8</v>
      </c>
      <c r="B94" s="121">
        <f>'ICS2'!B113</f>
        <v>46312</v>
      </c>
      <c r="C94" s="122">
        <f>'ICS2'!C113</f>
        <v>0.39583333333333331</v>
      </c>
      <c r="D94" s="120" t="str">
        <f>'ICS2'!E113</f>
        <v>NEUFELD</v>
      </c>
      <c r="E94" s="120" t="str">
        <f>'ICS2'!H113</f>
        <v>Heimturnier</v>
      </c>
      <c r="F94" s="120" t="str">
        <f t="shared" si="15"/>
        <v>U8</v>
      </c>
      <c r="G94" s="120" t="str">
        <f t="shared" si="18"/>
        <v>29x22</v>
      </c>
      <c r="H94" s="120" t="str">
        <f t="shared" si="19"/>
        <v>4 Minitore</v>
      </c>
      <c r="I94" s="120" t="str">
        <f t="shared" si="20"/>
        <v>3</v>
      </c>
      <c r="J94" s="120" t="str">
        <f t="shared" si="16"/>
        <v>Ömer Türkes &amp; Taha Mahsumi</v>
      </c>
      <c r="K94" s="120" t="str">
        <f t="shared" si="17"/>
        <v>+43 676 661 62 26 &amp;  +43 681 208 11 599</v>
      </c>
    </row>
    <row r="95" spans="1:11" ht="15.6" hidden="1" x14ac:dyDescent="0.3">
      <c r="A95" s="57" t="str">
        <f>'ICS2'!I21</f>
        <v>U16</v>
      </c>
      <c r="B95" s="103">
        <f>'ICS2'!B21</f>
        <v>46264</v>
      </c>
      <c r="C95" s="104">
        <f>'ICS2'!C21</f>
        <v>0.4375</v>
      </c>
      <c r="D95" s="57" t="str">
        <f>'ICS2'!E21</f>
        <v>THERESIENFELD</v>
      </c>
      <c r="E95" s="57" t="str">
        <f>'ICS2'!H21</f>
        <v>SPG Theresienfeld</v>
      </c>
      <c r="F95" s="57" t="str">
        <f t="shared" si="15"/>
        <v>U16</v>
      </c>
      <c r="G95" s="57" t="str">
        <f t="shared" si="18"/>
        <v>Großfeld</v>
      </c>
      <c r="H95" s="57" t="str">
        <f t="shared" si="19"/>
        <v>7,32x2,44</v>
      </c>
      <c r="I95" s="57" t="str">
        <f t="shared" si="20"/>
        <v>5</v>
      </c>
      <c r="J95" s="57" t="str">
        <f t="shared" si="16"/>
        <v>Serdar Ekinci &amp; Gernot Sevelda &amp; Hubi Oberhofer</v>
      </c>
      <c r="K95" s="57" t="str">
        <f t="shared" si="17"/>
        <v>+43 690 104 20 129 &amp; +43 676 401 09 13 &amp; +43 699 181 68 504</v>
      </c>
    </row>
    <row r="96" spans="1:11" ht="15.6" hidden="1" x14ac:dyDescent="0.3">
      <c r="A96" s="57" t="str">
        <f>'ICS2'!I49</f>
        <v>U16</v>
      </c>
      <c r="B96" s="103">
        <f>'ICS2'!B49</f>
        <v>46271</v>
      </c>
      <c r="C96" s="104">
        <f>'ICS2'!C49</f>
        <v>0</v>
      </c>
      <c r="D96" s="57" t="str">
        <f>'ICS2'!E49</f>
        <v/>
      </c>
      <c r="E96" s="57" t="str">
        <f>'ICS2'!H49</f>
        <v>Spielfrei</v>
      </c>
      <c r="F96" s="57" t="str">
        <f t="shared" si="15"/>
        <v>U16</v>
      </c>
      <c r="G96" s="57" t="str">
        <f t="shared" si="18"/>
        <v>Großfeld</v>
      </c>
      <c r="H96" s="57" t="str">
        <f t="shared" si="19"/>
        <v>7,32x2,44</v>
      </c>
      <c r="I96" s="57" t="str">
        <f t="shared" si="20"/>
        <v>5</v>
      </c>
      <c r="J96" s="57" t="str">
        <f t="shared" si="16"/>
        <v>Serdar Ekinci &amp; Gernot Sevelda &amp; Hubi Oberhofer</v>
      </c>
      <c r="K96" s="57" t="str">
        <f t="shared" si="17"/>
        <v>+43 690 104 20 129 &amp; +43 676 401 09 13 &amp; +43 699 181 68 504</v>
      </c>
    </row>
    <row r="97" spans="1:11" ht="15.6" hidden="1" x14ac:dyDescent="0.3">
      <c r="A97" s="57" t="str">
        <f>'ICS2'!I50</f>
        <v>U16</v>
      </c>
      <c r="B97" s="103">
        <f>'ICS2'!B50</f>
        <v>46277</v>
      </c>
      <c r="C97" s="104">
        <f>'ICS2'!C50</f>
        <v>0.52083333333333337</v>
      </c>
      <c r="D97" s="57" t="str">
        <f>'ICS2'!E50</f>
        <v>GOLS</v>
      </c>
      <c r="E97" s="57" t="str">
        <f>'ICS2'!H50</f>
        <v>GMWP</v>
      </c>
      <c r="F97" s="57" t="str">
        <f t="shared" si="15"/>
        <v>U16</v>
      </c>
      <c r="G97" s="57" t="str">
        <f t="shared" si="18"/>
        <v>Großfeld</v>
      </c>
      <c r="H97" s="57" t="str">
        <f t="shared" si="19"/>
        <v>7,32x2,44</v>
      </c>
      <c r="I97" s="57" t="str">
        <f t="shared" si="20"/>
        <v>5</v>
      </c>
      <c r="J97" s="57" t="str">
        <f t="shared" si="16"/>
        <v>Serdar Ekinci &amp; Gernot Sevelda &amp; Hubi Oberhofer</v>
      </c>
      <c r="K97" s="57" t="str">
        <f t="shared" si="17"/>
        <v>+43 690 104 20 129 &amp; +43 676 401 09 13 &amp; +43 699 181 68 504</v>
      </c>
    </row>
    <row r="98" spans="1:11" s="123" customFormat="1" ht="15.6" x14ac:dyDescent="0.3">
      <c r="A98" s="120" t="str">
        <f>'ICS2'!I95</f>
        <v>U11</v>
      </c>
      <c r="B98" s="121">
        <f>'ICS2'!B95</f>
        <v>46312</v>
      </c>
      <c r="C98" s="122">
        <f>'ICS2'!C95</f>
        <v>0.54166666666666663</v>
      </c>
      <c r="D98" s="120" t="str">
        <f>'ICS2'!E95</f>
        <v>NEUFELD</v>
      </c>
      <c r="E98" s="120" t="str">
        <f>'ICS2'!H95</f>
        <v>Leithaprodersdorf</v>
      </c>
      <c r="F98" s="120" t="str">
        <f t="shared" ref="F98:F129" si="21">A98</f>
        <v>U11</v>
      </c>
      <c r="G98" s="120" t="str">
        <f t="shared" si="18"/>
        <v>55x40</v>
      </c>
      <c r="H98" s="120" t="str">
        <f t="shared" si="19"/>
        <v>5x2</v>
      </c>
      <c r="I98" s="120" t="str">
        <f t="shared" si="20"/>
        <v>4</v>
      </c>
      <c r="J98" s="120" t="str">
        <f t="shared" ref="J98:J129" si="22">IF(F98="KM","Pleninger Stefan &amp; Matthias Wachter",IF(F98="U23","Egzon Gentiani &amp; Dinges Stefan",IF(F98="U16","Serdar Ekinci &amp; Gernot Sevelda &amp; Hubi Oberhofer",IF(F98="U15","",IF(F98="U14","Christian Neckamm  &amp; Thomas Pöschl",IF(F98="U13","",IF(F98="U12_1","Tobias Berger &amp; Mario Magler",IF(F98="U12_2","Tobias Berger &amp; Mario Magler",IF(F98="U11","Christian Wirth",IF(F98="U10","Thomas Brandl",IF(F98="U9","Tobias Berger &amp; Sebastian Putric",IF(F98="U8","Ömer Türkes &amp; Taha Mahsumi",IF(F98="U7","Alexander Zax &amp; Jürgen Joszt",IF(F98="FKG","Ronny Archam &amp; Florian Rac",IF(A98="Camp","Berger Dieter",IF(A98="Turnier","Berger Dieter","FEHLER"))))))))))))))))</f>
        <v>Christian Wirth</v>
      </c>
      <c r="K98" s="120" t="str">
        <f t="shared" ref="K98:K129" si="23">IF(F98="KM","+43 664 415 99 09 &amp; +43 699 119 70 312",IF(F98="U23","+43 670 18 59 080 &amp; +43 664 451 22 16",IF(F98="U16","+43 690 104 20 129 &amp; +43 676 401 09 13 &amp; +43 699 181 68 504",IF(F98="U15","",IF(F98="U14","+43 699 192 49 527 &amp; +43 677 613 55 114",IF(F98="U13","",IF(F98="U12_1","+43 66 199 13 52 &amp;  +43 664 762 09 93",IF(F98="U12_2","+43 66 199 13 52 &amp;  +43 664 762 09 93",IF(F98="U11","+43 660 423 93 83",IF(F98="U10","+43 676 377 16 30",IF(F98="U9","+43 66 199 13 52 &amp;  +43 660 914 92 36",IF(F98="U8","+43 676 661 62 26 &amp;  +43 681 208 11 599",IF(F98="U7","+43 664 458 88 84 &amp;  +43 660 549 82 40",IF(F98="FKG","+43 699 111 93 828 &amp;  +43 660 600 25 06",IF(A98="Camp","+43 660 77 39 500",IF(A98="Turnier","+43 660 77 39 500","FEHLER"))))))))))))))))</f>
        <v>+43 660 423 93 83</v>
      </c>
    </row>
    <row r="99" spans="1:11" s="123" customFormat="1" ht="15.6" x14ac:dyDescent="0.3">
      <c r="A99" s="120" t="str">
        <f>'ICS2'!I85</f>
        <v>U12_2</v>
      </c>
      <c r="B99" s="121">
        <f>'ICS2'!B85</f>
        <v>46311</v>
      </c>
      <c r="C99" s="122">
        <f>'ICS2'!C85</f>
        <v>0.75</v>
      </c>
      <c r="D99" s="120" t="str">
        <f>'ICS2'!E85</f>
        <v>STEINBRUNN</v>
      </c>
      <c r="E99" s="120" t="str">
        <f>'ICS2'!H85</f>
        <v>St. Georgen/Eisenstadt</v>
      </c>
      <c r="F99" s="120" t="str">
        <f t="shared" si="21"/>
        <v>U12_2</v>
      </c>
      <c r="G99" s="120" t="str">
        <f t="shared" si="18"/>
        <v>55x40</v>
      </c>
      <c r="H99" s="120" t="str">
        <f t="shared" si="19"/>
        <v>7,32x2,44</v>
      </c>
      <c r="I99" s="120" t="str">
        <f t="shared" si="20"/>
        <v>4</v>
      </c>
      <c r="J99" s="120" t="str">
        <f t="shared" si="22"/>
        <v>Tobias Berger &amp; Mario Magler</v>
      </c>
      <c r="K99" s="120" t="str">
        <f t="shared" si="23"/>
        <v>+43 66 199 13 52 &amp;  +43 664 762 09 93</v>
      </c>
    </row>
    <row r="100" spans="1:11" ht="15.6" x14ac:dyDescent="0.3">
      <c r="A100" s="120" t="str">
        <f>'ICS2'!I75</f>
        <v>U12_1</v>
      </c>
      <c r="B100" s="121">
        <f>'ICS2'!B75</f>
        <v>46312</v>
      </c>
      <c r="C100" s="122">
        <f>'ICS2'!C75</f>
        <v>0.625</v>
      </c>
      <c r="D100" s="120" t="str">
        <f>'ICS2'!E75</f>
        <v>NEUFELD</v>
      </c>
      <c r="E100" s="120" t="str">
        <f>'ICS2'!H75</f>
        <v>SPG Klimpuh Juniors</v>
      </c>
      <c r="F100" s="120" t="str">
        <f t="shared" si="21"/>
        <v>U12_1</v>
      </c>
      <c r="G100" s="120" t="str">
        <f t="shared" si="18"/>
        <v>55*40</v>
      </c>
      <c r="H100" s="120" t="str">
        <f t="shared" si="19"/>
        <v>7,32x2,44</v>
      </c>
      <c r="I100" s="120" t="str">
        <f t="shared" si="20"/>
        <v>4</v>
      </c>
      <c r="J100" s="120" t="str">
        <f t="shared" si="22"/>
        <v>Tobias Berger &amp; Mario Magler</v>
      </c>
      <c r="K100" s="120" t="str">
        <f t="shared" si="23"/>
        <v>+43 66 199 13 52 &amp;  +43 664 762 09 93</v>
      </c>
    </row>
    <row r="101" spans="1:11" ht="15.6" x14ac:dyDescent="0.3">
      <c r="A101" s="117" t="str">
        <f>'ICS2'!I86</f>
        <v>U12_2</v>
      </c>
      <c r="B101" s="118">
        <f>'ICS2'!B86</f>
        <v>46318</v>
      </c>
      <c r="C101" s="119">
        <f>'ICS2'!C86</f>
        <v>0.70833333333333337</v>
      </c>
      <c r="D101" s="117" t="str">
        <f>'ICS2'!E86</f>
        <v>STEINBRUNN</v>
      </c>
      <c r="E101" s="117" t="str">
        <f>'ICS2'!H86</f>
        <v>Großhöflein</v>
      </c>
      <c r="F101" s="117" t="str">
        <f t="shared" si="21"/>
        <v>U12_2</v>
      </c>
      <c r="G101" s="117" t="str">
        <f t="shared" si="18"/>
        <v>55x40</v>
      </c>
      <c r="H101" s="117" t="str">
        <f t="shared" si="19"/>
        <v>7,32x2,44</v>
      </c>
      <c r="I101" s="117" t="str">
        <f t="shared" si="20"/>
        <v>4</v>
      </c>
      <c r="J101" s="117" t="str">
        <f t="shared" si="22"/>
        <v>Tobias Berger &amp; Mario Magler</v>
      </c>
      <c r="K101" s="117" t="str">
        <f t="shared" si="23"/>
        <v>+43 66 199 13 52 &amp;  +43 664 762 09 93</v>
      </c>
    </row>
    <row r="102" spans="1:11" ht="15.6" hidden="1" x14ac:dyDescent="0.3">
      <c r="A102" s="57" t="str">
        <f>'ICS2'!I55</f>
        <v>U16</v>
      </c>
      <c r="B102" s="103">
        <f>'ICS2'!B55</f>
        <v>46311</v>
      </c>
      <c r="C102" s="104">
        <f>'ICS2'!C55</f>
        <v>0.75</v>
      </c>
      <c r="D102" s="57" t="str">
        <f>'ICS2'!E55</f>
        <v>ST. GEORGEN</v>
      </c>
      <c r="E102" s="57" t="str">
        <f>'ICS2'!H55</f>
        <v>St. Georgen/Eisenstadt</v>
      </c>
      <c r="F102" s="57" t="str">
        <f t="shared" si="21"/>
        <v>U16</v>
      </c>
      <c r="G102" s="57" t="str">
        <f t="shared" si="18"/>
        <v>Großfeld</v>
      </c>
      <c r="H102" s="57" t="str">
        <f t="shared" si="19"/>
        <v>7,32x2,44</v>
      </c>
      <c r="I102" s="57" t="str">
        <f t="shared" si="20"/>
        <v>5</v>
      </c>
      <c r="J102" s="57" t="str">
        <f t="shared" si="22"/>
        <v>Serdar Ekinci &amp; Gernot Sevelda &amp; Hubi Oberhofer</v>
      </c>
      <c r="K102" s="57" t="str">
        <f t="shared" si="23"/>
        <v>+43 690 104 20 129 &amp; +43 676 401 09 13 &amp; +43 699 181 68 504</v>
      </c>
    </row>
    <row r="103" spans="1:11" ht="15.6" x14ac:dyDescent="0.3">
      <c r="A103" s="120" t="str">
        <f>'ICS2'!I46</f>
        <v>U23</v>
      </c>
      <c r="B103" s="121">
        <f>'ICS2'!B46</f>
        <v>46318</v>
      </c>
      <c r="C103" s="122">
        <f>'ICS2'!C46</f>
        <v>0.72916666666666663</v>
      </c>
      <c r="D103" s="120" t="str">
        <f>'ICS2'!E46</f>
        <v>NEUFELD</v>
      </c>
      <c r="E103" s="120" t="str">
        <f>'ICS2'!H46</f>
        <v>Gols</v>
      </c>
      <c r="F103" s="120" t="str">
        <f t="shared" si="21"/>
        <v>U23</v>
      </c>
      <c r="G103" s="120" t="str">
        <f t="shared" si="18"/>
        <v>Großfeld</v>
      </c>
      <c r="H103" s="120" t="str">
        <f t="shared" si="19"/>
        <v>7,32x2,44</v>
      </c>
      <c r="I103" s="120">
        <f t="shared" si="20"/>
        <v>5</v>
      </c>
      <c r="J103" s="120" t="str">
        <f t="shared" si="22"/>
        <v>Egzon Gentiani &amp; Dinges Stefan</v>
      </c>
      <c r="K103" s="120" t="str">
        <f t="shared" si="23"/>
        <v>+43 670 18 59 080 &amp; +43 664 451 22 16</v>
      </c>
    </row>
    <row r="104" spans="1:11" ht="15.6" hidden="1" x14ac:dyDescent="0.3">
      <c r="A104" s="57" t="str">
        <f>'ICS2'!I61</f>
        <v>U14</v>
      </c>
      <c r="B104" s="103">
        <f>'ICS2'!B61</f>
        <v>46288</v>
      </c>
      <c r="C104" s="104">
        <f>'ICS2'!C61</f>
        <v>0.79166666666666663</v>
      </c>
      <c r="D104" s="57" t="str">
        <f>'ICS2'!E61</f>
        <v>NEUDÖRFL</v>
      </c>
      <c r="E104" s="57" t="str">
        <f>'ICS2'!H61</f>
        <v>Neudörfl</v>
      </c>
      <c r="F104" s="57" t="str">
        <f t="shared" si="21"/>
        <v>U14</v>
      </c>
      <c r="G104" s="57" t="str">
        <f t="shared" si="18"/>
        <v>Großfeld</v>
      </c>
      <c r="H104" s="57" t="str">
        <f t="shared" si="19"/>
        <v>7,32x2,44</v>
      </c>
      <c r="I104" s="57" t="str">
        <f t="shared" si="20"/>
        <v>4</v>
      </c>
      <c r="J104" s="57" t="str">
        <f t="shared" si="22"/>
        <v>Christian Neckamm  &amp; Thomas Pöschl</v>
      </c>
      <c r="K104" s="57" t="str">
        <f t="shared" si="23"/>
        <v>+43 699 192 49 527 &amp; +43 677 613 55 114</v>
      </c>
    </row>
    <row r="105" spans="1:11" ht="15.6" x14ac:dyDescent="0.3">
      <c r="A105" s="120" t="str">
        <f>'ICS2'!I33</f>
        <v>KM</v>
      </c>
      <c r="B105" s="121">
        <f>'ICS2'!B33</f>
        <v>46318</v>
      </c>
      <c r="C105" s="122">
        <f>'ICS2'!C33</f>
        <v>0.8125</v>
      </c>
      <c r="D105" s="120" t="str">
        <f>'ICS2'!E33</f>
        <v>NEUFELD</v>
      </c>
      <c r="E105" s="120" t="str">
        <f>'ICS2'!H33</f>
        <v>Gols</v>
      </c>
      <c r="F105" s="120" t="str">
        <f t="shared" si="21"/>
        <v>KM</v>
      </c>
      <c r="G105" s="120" t="str">
        <f t="shared" si="18"/>
        <v>Großfeld</v>
      </c>
      <c r="H105" s="120" t="str">
        <f t="shared" si="19"/>
        <v>7,32x2,44</v>
      </c>
      <c r="I105" s="120" t="str">
        <f t="shared" si="20"/>
        <v>5</v>
      </c>
      <c r="J105" s="120" t="str">
        <f t="shared" si="22"/>
        <v>Pleninger Stefan &amp; Matthias Wachter</v>
      </c>
      <c r="K105" s="120" t="str">
        <f t="shared" si="23"/>
        <v>+43 664 415 99 09 &amp; +43 699 119 70 312</v>
      </c>
    </row>
    <row r="106" spans="1:11" ht="15.6" hidden="1" x14ac:dyDescent="0.3">
      <c r="A106" s="57" t="str">
        <f>'ICS2'!I8</f>
        <v>U23</v>
      </c>
      <c r="B106" s="103">
        <f>'ICS2'!B8</f>
        <v>46234</v>
      </c>
      <c r="C106" s="104">
        <f>'ICS2'!C8</f>
        <v>0.70833333333333337</v>
      </c>
      <c r="D106" s="57" t="str">
        <f>'ICS2'!E8</f>
        <v>WIENER NEUSTADT</v>
      </c>
      <c r="E106" s="57" t="str">
        <f>'ICS2'!H8</f>
        <v>Admira Wiener Neustadt</v>
      </c>
      <c r="F106" s="57" t="str">
        <f t="shared" si="21"/>
        <v>U23</v>
      </c>
      <c r="G106" s="57" t="str">
        <f t="shared" si="18"/>
        <v>Großfeld</v>
      </c>
      <c r="H106" s="57" t="str">
        <f t="shared" si="19"/>
        <v>7,32x2,44</v>
      </c>
      <c r="I106" s="57">
        <f t="shared" si="20"/>
        <v>5</v>
      </c>
      <c r="J106" s="57" t="str">
        <f t="shared" si="22"/>
        <v>Egzon Gentiani &amp; Dinges Stefan</v>
      </c>
      <c r="K106" s="57" t="str">
        <f t="shared" si="23"/>
        <v>+43 670 18 59 080 &amp; +43 664 451 22 16</v>
      </c>
    </row>
    <row r="107" spans="1:11" s="123" customFormat="1" ht="15.6" hidden="1" x14ac:dyDescent="0.3">
      <c r="A107" s="57" t="str">
        <f>'ICS2'!I36</f>
        <v>U23</v>
      </c>
      <c r="B107" s="103">
        <f>'ICS2'!B36</f>
        <v>46250</v>
      </c>
      <c r="C107" s="104">
        <f>'ICS2'!C36</f>
        <v>0.64583333333333337</v>
      </c>
      <c r="D107" s="57" t="str">
        <f>'ICS2'!E36</f>
        <v>KITTSEE</v>
      </c>
      <c r="E107" s="57" t="str">
        <f>'ICS2'!H36</f>
        <v>Kittsee</v>
      </c>
      <c r="F107" s="57" t="str">
        <f t="shared" si="21"/>
        <v>U23</v>
      </c>
      <c r="G107" s="57" t="str">
        <f t="shared" si="18"/>
        <v>Großfeld</v>
      </c>
      <c r="H107" s="57" t="str">
        <f t="shared" si="19"/>
        <v>7,32x2,44</v>
      </c>
      <c r="I107" s="57">
        <f t="shared" si="20"/>
        <v>5</v>
      </c>
      <c r="J107" s="57" t="str">
        <f t="shared" si="22"/>
        <v>Egzon Gentiani &amp; Dinges Stefan</v>
      </c>
      <c r="K107" s="57" t="str">
        <f t="shared" si="23"/>
        <v>+43 670 18 59 080 &amp; +43 664 451 22 16</v>
      </c>
    </row>
    <row r="108" spans="1:11" ht="15.6" hidden="1" x14ac:dyDescent="0.3">
      <c r="A108" s="57" t="str">
        <f>'ICS2'!I37</f>
        <v>U23</v>
      </c>
      <c r="B108" s="103">
        <f>'ICS2'!B37</f>
        <v>46255</v>
      </c>
      <c r="C108" s="104">
        <f>'ICS2'!C37</f>
        <v>0.75</v>
      </c>
      <c r="D108" s="57" t="str">
        <f>'ICS2'!E37</f>
        <v>DEUTSCH JAHRNDORF</v>
      </c>
      <c r="E108" s="57" t="str">
        <f>'ICS2'!H37</f>
        <v>Deutsch Jahrndorf</v>
      </c>
      <c r="F108" s="57" t="str">
        <f t="shared" si="21"/>
        <v>U23</v>
      </c>
      <c r="G108" s="57" t="str">
        <f t="shared" si="18"/>
        <v>Großfeld</v>
      </c>
      <c r="H108" s="57" t="str">
        <f t="shared" si="19"/>
        <v>7,32x2,44</v>
      </c>
      <c r="I108" s="57">
        <f t="shared" si="20"/>
        <v>5</v>
      </c>
      <c r="J108" s="57" t="str">
        <f t="shared" si="22"/>
        <v>Egzon Gentiani &amp; Dinges Stefan</v>
      </c>
      <c r="K108" s="57" t="str">
        <f t="shared" si="23"/>
        <v>+43 670 18 59 080 &amp; +43 664 451 22 16</v>
      </c>
    </row>
    <row r="109" spans="1:11" s="123" customFormat="1" ht="15.6" x14ac:dyDescent="0.3">
      <c r="A109" s="120" t="str">
        <f>'ICS2'!I67</f>
        <v>U14</v>
      </c>
      <c r="B109" s="121">
        <f>'ICS2'!B67</f>
        <v>46320</v>
      </c>
      <c r="C109" s="122">
        <f>'ICS2'!C67</f>
        <v>0.58333333333333337</v>
      </c>
      <c r="D109" s="120" t="str">
        <f>'ICS2'!E67</f>
        <v>NEUFELD</v>
      </c>
      <c r="E109" s="120" t="str">
        <f>'ICS2'!H67</f>
        <v>MSV 2020</v>
      </c>
      <c r="F109" s="120" t="str">
        <f t="shared" si="21"/>
        <v>U14</v>
      </c>
      <c r="G109" s="120" t="str">
        <f t="shared" si="18"/>
        <v>Großfeld</v>
      </c>
      <c r="H109" s="120" t="str">
        <f t="shared" si="19"/>
        <v>7,32x2,44</v>
      </c>
      <c r="I109" s="120" t="str">
        <f t="shared" si="20"/>
        <v>4</v>
      </c>
      <c r="J109" s="120" t="str">
        <f t="shared" si="22"/>
        <v>Christian Neckamm  &amp; Thomas Pöschl</v>
      </c>
      <c r="K109" s="120" t="str">
        <f t="shared" si="23"/>
        <v>+43 699 192 49 527 &amp; +43 677 613 55 114</v>
      </c>
    </row>
    <row r="110" spans="1:11" s="112" customFormat="1" ht="15.6" hidden="1" x14ac:dyDescent="0.3">
      <c r="A110" s="57" t="str">
        <f>'ICS2'!I39</f>
        <v>U23</v>
      </c>
      <c r="B110" s="103">
        <f>'ICS2'!B39</f>
        <v>46270</v>
      </c>
      <c r="C110" s="104">
        <f>'ICS2'!C39</f>
        <v>0.60416666666666663</v>
      </c>
      <c r="D110" s="57" t="str">
        <f>'ICS2'!E39</f>
        <v>MÖNCHHOF</v>
      </c>
      <c r="E110" s="57" t="str">
        <f>'ICS2'!H39</f>
        <v>Mönchhof</v>
      </c>
      <c r="F110" s="57" t="str">
        <f t="shared" si="21"/>
        <v>U23</v>
      </c>
      <c r="G110" s="57" t="str">
        <f t="shared" si="18"/>
        <v>Großfeld</v>
      </c>
      <c r="H110" s="57" t="str">
        <f t="shared" si="19"/>
        <v>7,32x2,44</v>
      </c>
      <c r="I110" s="57">
        <f t="shared" si="20"/>
        <v>5</v>
      </c>
      <c r="J110" s="57" t="str">
        <f t="shared" si="22"/>
        <v>Egzon Gentiani &amp; Dinges Stefan</v>
      </c>
      <c r="K110" s="57" t="str">
        <f t="shared" si="23"/>
        <v>+43 670 18 59 080 &amp; +43 664 451 22 16</v>
      </c>
    </row>
    <row r="111" spans="1:11" s="123" customFormat="1" ht="15.6" hidden="1" x14ac:dyDescent="0.3">
      <c r="A111" s="57" t="str">
        <f>'ICS2'!I131</f>
        <v>Camp</v>
      </c>
      <c r="B111" s="103">
        <f>'ICS2'!B131</f>
        <v>46321</v>
      </c>
      <c r="C111" s="104">
        <f>'ICS2'!C131</f>
        <v>0.375</v>
      </c>
      <c r="D111" s="57" t="str">
        <f>'ICS2'!E131</f>
        <v>NEUFELD</v>
      </c>
      <c r="E111" s="57" t="str">
        <f>'ICS2'!H131</f>
        <v>Teco 7 Camp</v>
      </c>
      <c r="F111" s="57" t="str">
        <f t="shared" si="21"/>
        <v>Camp</v>
      </c>
      <c r="G111" s="57"/>
      <c r="H111" s="57"/>
      <c r="I111" s="57" t="str">
        <f>IF(F111="Großfeld","5",IF(F111="U16","5",IF(F111="U15","5",IF(F111="U14","4",IF(F111="U13","4",IF(F111="U11/U12","4",IF(F111="U9/U10","4",IF(F111="U9","4","3"))))))))</f>
        <v>3</v>
      </c>
      <c r="J111" s="57" t="str">
        <f t="shared" si="22"/>
        <v>Berger Dieter</v>
      </c>
      <c r="K111" s="57" t="str">
        <f t="shared" si="23"/>
        <v>+43 660 77 39 500</v>
      </c>
    </row>
    <row r="112" spans="1:11" s="123" customFormat="1" ht="15.6" hidden="1" x14ac:dyDescent="0.3">
      <c r="A112" s="57" t="str">
        <f>'ICS2'!I41</f>
        <v>U23</v>
      </c>
      <c r="B112" s="103">
        <f>'ICS2'!B41</f>
        <v>46284</v>
      </c>
      <c r="C112" s="104">
        <f>'ICS2'!C41</f>
        <v>0.58333333333333337</v>
      </c>
      <c r="D112" s="57" t="str">
        <f>'ICS2'!E41</f>
        <v>GATTENDORF</v>
      </c>
      <c r="E112" s="57" t="str">
        <f>'ICS2'!H41</f>
        <v>Gattendorf</v>
      </c>
      <c r="F112" s="57" t="str">
        <f t="shared" si="21"/>
        <v>U23</v>
      </c>
      <c r="G112" s="57" t="str">
        <f>IF(F112="KM","Großfeld",IF(F112="U23","Großfeld",IF(F112="U16","Großfeld",IF(F112="U15","Großfeld",IF(F112="U14","Großfeld",IF(F112="U12_1","55*40",IF(F112="U12_2","55x40",IF(F112="U11","55x40",IF(F112="U10","40x25",IF(F112="U9","40x25",IF(F112="U8","29x22",IF(F112="U7","25x20","16x15"))))))))))))</f>
        <v>Großfeld</v>
      </c>
      <c r="H112" s="57" t="str">
        <f>IF(F112="KM","7,32x2,44",IF(F112="U23","7,32x2,44",IF(F112="U16","7,32x2,44",IF(F112="U15","7,32x2,44",IF(F112="U14","7,32x2,44",IF(F112="U13","5x2",IF(F112="U12_1","7,32x2,44",IF(F112="U12_2","7,32x2,44",IF(F112="U11","5x2",IF(F112="U10","5x2
",IF(F112="U9","5x2","4 Minitore")))))))))))</f>
        <v>7,32x2,44</v>
      </c>
      <c r="I112" s="57">
        <f>IF(F112="KM","5",IF(F112="U23",5,IF(F112="U16","5",IF(F112="U15","5",IF(F112="U14","4",IF(F112="U13","4",IF(F112="U12_1","4",IF(F112="U12_2","4",IF(F112="U11","4",IF(F112="U10","4",IF(F112="U9","4","3")))))))))))</f>
        <v>5</v>
      </c>
      <c r="J112" s="57" t="str">
        <f t="shared" si="22"/>
        <v>Egzon Gentiani &amp; Dinges Stefan</v>
      </c>
      <c r="K112" s="57" t="str">
        <f t="shared" si="23"/>
        <v>+43 670 18 59 080 &amp; +43 664 451 22 16</v>
      </c>
    </row>
    <row r="113" spans="1:11" ht="15.6" hidden="1" x14ac:dyDescent="0.3">
      <c r="A113" s="57" t="str">
        <f>'ICS2'!I132</f>
        <v>Camp</v>
      </c>
      <c r="B113" s="103">
        <f>'ICS2'!B132</f>
        <v>46322</v>
      </c>
      <c r="C113" s="104">
        <f>'ICS2'!C132</f>
        <v>0.375</v>
      </c>
      <c r="D113" s="57" t="str">
        <f>'ICS2'!E132</f>
        <v>NEUFELD</v>
      </c>
      <c r="E113" s="57" t="str">
        <f>'ICS2'!H132</f>
        <v>Teco 7 Camp</v>
      </c>
      <c r="F113" s="57" t="str">
        <f t="shared" si="21"/>
        <v>Camp</v>
      </c>
      <c r="G113" s="57"/>
      <c r="H113" s="57"/>
      <c r="I113" s="57" t="str">
        <f>IF(F113="Großfeld","5",IF(F113="U16","5",IF(F113="U15","5",IF(F113="U14","4",IF(F113="U13","4",IF(F113="U11/U12","4",IF(F113="U9/U10","4",IF(F113="U9","4","3"))))))))</f>
        <v>3</v>
      </c>
      <c r="J113" s="57" t="str">
        <f t="shared" si="22"/>
        <v>Berger Dieter</v>
      </c>
      <c r="K113" s="57" t="str">
        <f t="shared" si="23"/>
        <v>+43 660 77 39 500</v>
      </c>
    </row>
    <row r="114" spans="1:11" s="123" customFormat="1" ht="15.6" hidden="1" x14ac:dyDescent="0.3">
      <c r="A114" s="57" t="str">
        <f>'ICS2'!I43</f>
        <v>U23</v>
      </c>
      <c r="B114" s="103">
        <f>'ICS2'!B43</f>
        <v>46297</v>
      </c>
      <c r="C114" s="104">
        <f>'ICS2'!C43</f>
        <v>0.72916666666666663</v>
      </c>
      <c r="D114" s="57" t="str">
        <f>'ICS2'!E43</f>
        <v>SIEGENDORF</v>
      </c>
      <c r="E114" s="57" t="str">
        <f>'ICS2'!H43</f>
        <v>Siegendorf</v>
      </c>
      <c r="F114" s="57" t="str">
        <f t="shared" si="21"/>
        <v>U23</v>
      </c>
      <c r="G114" s="57" t="str">
        <f>IF(F114="KM","Großfeld",IF(F114="U23","Großfeld",IF(F114="U16","Großfeld",IF(F114="U15","Großfeld",IF(F114="U14","Großfeld",IF(F114="U12_1","55*40",IF(F114="U12_2","55x40",IF(F114="U11","55x40",IF(F114="U10","40x25",IF(F114="U9","40x25",IF(F114="U8","29x22",IF(F114="U7","25x20","16x15"))))))))))))</f>
        <v>Großfeld</v>
      </c>
      <c r="H114" s="57" t="str">
        <f>IF(F114="KM","7,32x2,44",IF(F114="U23","7,32x2,44",IF(F114="U16","7,32x2,44",IF(F114="U15","7,32x2,44",IF(F114="U14","7,32x2,44",IF(F114="U13","5x2",IF(F114="U12_1","7,32x2,44",IF(F114="U12_2","7,32x2,44",IF(F114="U11","5x2",IF(F114="U10","5x2
",IF(F114="U9","5x2","4 Minitore")))))))))))</f>
        <v>7,32x2,44</v>
      </c>
      <c r="I114" s="57">
        <f>IF(F114="KM","5",IF(F114="U23",5,IF(F114="U16","5",IF(F114="U15","5",IF(F114="U14","4",IF(F114="U13","4",IF(F114="U12_1","4",IF(F114="U12_2","4",IF(F114="U11","4",IF(F114="U10","4",IF(F114="U9","4","3")))))))))))</f>
        <v>5</v>
      </c>
      <c r="J114" s="57" t="str">
        <f t="shared" si="22"/>
        <v>Egzon Gentiani &amp; Dinges Stefan</v>
      </c>
      <c r="K114" s="57" t="str">
        <f t="shared" si="23"/>
        <v>+43 670 18 59 080 &amp; +43 664 451 22 16</v>
      </c>
    </row>
    <row r="115" spans="1:11" ht="15.6" hidden="1" x14ac:dyDescent="0.3">
      <c r="A115" s="57" t="str">
        <f>'ICS2'!I133</f>
        <v>Camp</v>
      </c>
      <c r="B115" s="103">
        <f>'ICS2'!B133</f>
        <v>46323</v>
      </c>
      <c r="C115" s="104">
        <f>'ICS2'!C133</f>
        <v>0.375</v>
      </c>
      <c r="D115" s="57" t="str">
        <f>'ICS2'!E133</f>
        <v>NEUFELD</v>
      </c>
      <c r="E115" s="57" t="str">
        <f>'ICS2'!H133</f>
        <v>Teco 7 Camp</v>
      </c>
      <c r="F115" s="57" t="str">
        <f t="shared" si="21"/>
        <v>Camp</v>
      </c>
      <c r="G115" s="57"/>
      <c r="H115" s="57"/>
      <c r="I115" s="57" t="str">
        <f>IF(F115="Großfeld","5",IF(F115="U16","5",IF(F115="U15","5",IF(F115="U14","4",IF(F115="U13","4",IF(F115="U11/U12","4",IF(F115="U9/U10","4",IF(F115="U9","4","3"))))))))</f>
        <v>3</v>
      </c>
      <c r="J115" s="57" t="str">
        <f t="shared" si="22"/>
        <v>Berger Dieter</v>
      </c>
      <c r="K115" s="57" t="str">
        <f t="shared" si="23"/>
        <v>+43 660 77 39 500</v>
      </c>
    </row>
    <row r="116" spans="1:11" s="123" customFormat="1" ht="15.6" hidden="1" x14ac:dyDescent="0.3">
      <c r="A116" s="57" t="str">
        <f>'ICS2'!I45</f>
        <v>U23</v>
      </c>
      <c r="B116" s="103">
        <f>'ICS2'!B45</f>
        <v>46311</v>
      </c>
      <c r="C116" s="104">
        <f>'ICS2'!C45</f>
        <v>0.72916666666666663</v>
      </c>
      <c r="D116" s="57" t="str">
        <f>'ICS2'!E45</f>
        <v>HORNSTEIN</v>
      </c>
      <c r="E116" s="57" t="str">
        <f>'ICS2'!H45</f>
        <v>Hornstein</v>
      </c>
      <c r="F116" s="57" t="str">
        <f t="shared" si="21"/>
        <v>U23</v>
      </c>
      <c r="G116" s="57" t="str">
        <f t="shared" ref="G116:G125" si="24">IF(F116="KM","Großfeld",IF(F116="U23","Großfeld",IF(F116="U16","Großfeld",IF(F116="U15","Großfeld",IF(F116="U14","Großfeld",IF(F116="U12_1","55*40",IF(F116="U12_2","55x40",IF(F116="U11","55x40",IF(F116="U10","40x25",IF(F116="U9","40x25",IF(F116="U8","29x22",IF(F116="U7","25x20","16x15"))))))))))))</f>
        <v>Großfeld</v>
      </c>
      <c r="H116" s="57" t="str">
        <f t="shared" ref="H116:H125" si="25">IF(F116="KM","7,32x2,44",IF(F116="U23","7,32x2,44",IF(F116="U16","7,32x2,44",IF(F116="U15","7,32x2,44",IF(F116="U14","7,32x2,44",IF(F116="U13","5x2",IF(F116="U12_1","7,32x2,44",IF(F116="U12_2","7,32x2,44",IF(F116="U11","5x2",IF(F116="U10","5x2
",IF(F116="U9","5x2","4 Minitore")))))))))))</f>
        <v>7,32x2,44</v>
      </c>
      <c r="I116" s="57">
        <f t="shared" ref="I116:I125" si="26">IF(F116="KM","5",IF(F116="U23",5,IF(F116="U16","5",IF(F116="U15","5",IF(F116="U14","4",IF(F116="U13","4",IF(F116="U12_1","4",IF(F116="U12_2","4",IF(F116="U11","4",IF(F116="U10","4",IF(F116="U9","4","3")))))))))))</f>
        <v>5</v>
      </c>
      <c r="J116" s="57" t="str">
        <f t="shared" si="22"/>
        <v>Egzon Gentiani &amp; Dinges Stefan</v>
      </c>
      <c r="K116" s="57" t="str">
        <f t="shared" si="23"/>
        <v>+43 670 18 59 080 &amp; +43 664 451 22 16</v>
      </c>
    </row>
    <row r="117" spans="1:11" ht="15.6" x14ac:dyDescent="0.3">
      <c r="A117" s="120" t="str">
        <f>'ICS2'!I111</f>
        <v>U9</v>
      </c>
      <c r="B117" s="121">
        <f>'ICS2'!B111</f>
        <v>46326</v>
      </c>
      <c r="C117" s="122">
        <f>'ICS2'!C111</f>
        <v>0.4375</v>
      </c>
      <c r="D117" s="120" t="str">
        <f>'ICS2'!E111</f>
        <v>NEUFELD</v>
      </c>
      <c r="E117" s="120" t="str">
        <f>'ICS2'!H111</f>
        <v>Eisenstadt</v>
      </c>
      <c r="F117" s="120" t="str">
        <f t="shared" si="21"/>
        <v>U9</v>
      </c>
      <c r="G117" s="120" t="str">
        <f t="shared" si="24"/>
        <v>40x25</v>
      </c>
      <c r="H117" s="120" t="str">
        <f t="shared" si="25"/>
        <v>5x2</v>
      </c>
      <c r="I117" s="120" t="str">
        <f t="shared" si="26"/>
        <v>4</v>
      </c>
      <c r="J117" s="120" t="str">
        <f t="shared" si="22"/>
        <v>Tobias Berger &amp; Sebastian Putric</v>
      </c>
      <c r="K117" s="120" t="str">
        <f t="shared" si="23"/>
        <v>+43 66 199 13 52 &amp;  +43 660 914 92 36</v>
      </c>
    </row>
    <row r="118" spans="1:11" ht="15.6" hidden="1" x14ac:dyDescent="0.3">
      <c r="A118" s="57" t="str">
        <f>'ICS2'!I47</f>
        <v>U23</v>
      </c>
      <c r="B118" s="103">
        <f>'ICS2'!B47</f>
        <v>46326</v>
      </c>
      <c r="C118" s="104">
        <f>'ICS2'!C47</f>
        <v>0.66666666666666663</v>
      </c>
      <c r="D118" s="57" t="str">
        <f>'ICS2'!E47</f>
        <v>ILLMITZ</v>
      </c>
      <c r="E118" s="57" t="str">
        <f>'ICS2'!H47</f>
        <v>Illmitz</v>
      </c>
      <c r="F118" s="57" t="str">
        <f t="shared" si="21"/>
        <v>U23</v>
      </c>
      <c r="G118" s="57" t="str">
        <f t="shared" si="24"/>
        <v>Großfeld</v>
      </c>
      <c r="H118" s="57" t="str">
        <f t="shared" si="25"/>
        <v>7,32x2,44</v>
      </c>
      <c r="I118" s="57">
        <f t="shared" si="26"/>
        <v>5</v>
      </c>
      <c r="J118" s="57" t="str">
        <f t="shared" si="22"/>
        <v>Egzon Gentiani &amp; Dinges Stefan</v>
      </c>
      <c r="K118" s="57" t="str">
        <f t="shared" si="23"/>
        <v>+43 670 18 59 080 &amp; +43 664 451 22 16</v>
      </c>
    </row>
    <row r="119" spans="1:11" ht="15.6" x14ac:dyDescent="0.3">
      <c r="A119" s="120" t="str">
        <f>'ICS2'!I77</f>
        <v>U12_1</v>
      </c>
      <c r="B119" s="121">
        <f>'ICS2'!B77</f>
        <v>46316</v>
      </c>
      <c r="C119" s="122">
        <f>'ICS2'!C77</f>
        <v>0.75</v>
      </c>
      <c r="D119" s="120" t="str">
        <f>'ICS2'!E77</f>
        <v>STEINBRUNN</v>
      </c>
      <c r="E119" s="120" t="str">
        <f>'ICS2'!H77</f>
        <v>SC "muki" Eisenstadt/Rust</v>
      </c>
      <c r="F119" s="120" t="str">
        <f t="shared" si="21"/>
        <v>U12_1</v>
      </c>
      <c r="G119" s="120" t="str">
        <f t="shared" si="24"/>
        <v>55*40</v>
      </c>
      <c r="H119" s="120" t="str">
        <f t="shared" si="25"/>
        <v>7,32x2,44</v>
      </c>
      <c r="I119" s="120" t="str">
        <f t="shared" si="26"/>
        <v>4</v>
      </c>
      <c r="J119" s="120" t="str">
        <f t="shared" si="22"/>
        <v>Tobias Berger &amp; Mario Magler</v>
      </c>
      <c r="K119" s="120" t="str">
        <f t="shared" si="23"/>
        <v>+43 66 199 13 52 &amp;  +43 664 762 09 93</v>
      </c>
    </row>
    <row r="120" spans="1:11" ht="15.6" hidden="1" x14ac:dyDescent="0.3">
      <c r="A120" s="109" t="str">
        <f>'ICS2'!I118</f>
        <v>U7</v>
      </c>
      <c r="B120" s="110">
        <f>'ICS2'!B118</f>
        <v>0</v>
      </c>
      <c r="C120" s="111">
        <f>'ICS2'!C118</f>
        <v>0</v>
      </c>
      <c r="D120" s="109" t="str">
        <f>'ICS2'!E118</f>
        <v/>
      </c>
      <c r="E120" s="109">
        <f>'ICS2'!H118</f>
        <v>0</v>
      </c>
      <c r="F120" s="109" t="str">
        <f t="shared" si="21"/>
        <v>U7</v>
      </c>
      <c r="G120" s="109" t="str">
        <f t="shared" si="24"/>
        <v>25x20</v>
      </c>
      <c r="H120" s="109" t="str">
        <f t="shared" si="25"/>
        <v>4 Minitore</v>
      </c>
      <c r="I120" s="109" t="str">
        <f t="shared" si="26"/>
        <v>3</v>
      </c>
      <c r="J120" s="109" t="str">
        <f t="shared" si="22"/>
        <v>Alexander Zax &amp; Jürgen Joszt</v>
      </c>
      <c r="K120" s="109" t="str">
        <f t="shared" si="23"/>
        <v>+43 664 458 88 84 &amp;  +43 660 549 82 40</v>
      </c>
    </row>
    <row r="121" spans="1:11" s="123" customFormat="1" ht="15.6" hidden="1" x14ac:dyDescent="0.3">
      <c r="A121" s="57" t="str">
        <f>'ICS2'!I119</f>
        <v>U7</v>
      </c>
      <c r="B121" s="103">
        <f>'ICS2'!B119</f>
        <v>0</v>
      </c>
      <c r="C121" s="104">
        <f>'ICS2'!C119</f>
        <v>0</v>
      </c>
      <c r="D121" s="57" t="str">
        <f>'ICS2'!E119</f>
        <v/>
      </c>
      <c r="E121" s="57">
        <f>'ICS2'!H119</f>
        <v>0</v>
      </c>
      <c r="F121" s="57" t="str">
        <f t="shared" si="21"/>
        <v>U7</v>
      </c>
      <c r="G121" s="57" t="str">
        <f t="shared" si="24"/>
        <v>25x20</v>
      </c>
      <c r="H121" s="57" t="str">
        <f t="shared" si="25"/>
        <v>4 Minitore</v>
      </c>
      <c r="I121" s="57" t="str">
        <f t="shared" si="26"/>
        <v>3</v>
      </c>
      <c r="J121" s="57" t="str">
        <f t="shared" si="22"/>
        <v>Alexander Zax &amp; Jürgen Joszt</v>
      </c>
      <c r="K121" s="57" t="str">
        <f t="shared" si="23"/>
        <v>+43 664 458 88 84 &amp;  +43 660 549 82 40</v>
      </c>
    </row>
    <row r="122" spans="1:11" s="123" customFormat="1" ht="15.6" hidden="1" x14ac:dyDescent="0.3">
      <c r="A122" s="57" t="str">
        <f>'ICS2'!I120</f>
        <v>U7</v>
      </c>
      <c r="B122" s="103">
        <f>'ICS2'!B120</f>
        <v>0</v>
      </c>
      <c r="C122" s="104">
        <f>'ICS2'!C120</f>
        <v>0</v>
      </c>
      <c r="D122" s="57" t="str">
        <f>'ICS2'!E120</f>
        <v/>
      </c>
      <c r="E122" s="57">
        <f>'ICS2'!H120</f>
        <v>0</v>
      </c>
      <c r="F122" s="57" t="str">
        <f t="shared" si="21"/>
        <v>U7</v>
      </c>
      <c r="G122" s="57" t="str">
        <f t="shared" si="24"/>
        <v>25x20</v>
      </c>
      <c r="H122" s="57" t="str">
        <f t="shared" si="25"/>
        <v>4 Minitore</v>
      </c>
      <c r="I122" s="57" t="str">
        <f t="shared" si="26"/>
        <v>3</v>
      </c>
      <c r="J122" s="57" t="str">
        <f t="shared" si="22"/>
        <v>Alexander Zax &amp; Jürgen Joszt</v>
      </c>
      <c r="K122" s="57" t="str">
        <f t="shared" si="23"/>
        <v>+43 664 458 88 84 &amp;  +43 660 549 82 40</v>
      </c>
    </row>
    <row r="123" spans="1:11" ht="15.6" hidden="1" x14ac:dyDescent="0.3">
      <c r="A123" s="57" t="str">
        <f>'ICS2'!I121</f>
        <v>U7</v>
      </c>
      <c r="B123" s="103">
        <f>'ICS2'!B121</f>
        <v>0</v>
      </c>
      <c r="C123" s="104">
        <f>'ICS2'!C121</f>
        <v>0</v>
      </c>
      <c r="D123" s="57" t="str">
        <f>'ICS2'!E121</f>
        <v/>
      </c>
      <c r="E123" s="57">
        <f>'ICS2'!H121</f>
        <v>0</v>
      </c>
      <c r="F123" s="57" t="str">
        <f t="shared" si="21"/>
        <v>U7</v>
      </c>
      <c r="G123" s="57" t="str">
        <f t="shared" si="24"/>
        <v>25x20</v>
      </c>
      <c r="H123" s="57" t="str">
        <f t="shared" si="25"/>
        <v>4 Minitore</v>
      </c>
      <c r="I123" s="57" t="str">
        <f t="shared" si="26"/>
        <v>3</v>
      </c>
      <c r="J123" s="57" t="str">
        <f t="shared" si="22"/>
        <v>Alexander Zax &amp; Jürgen Joszt</v>
      </c>
      <c r="K123" s="57" t="str">
        <f t="shared" si="23"/>
        <v>+43 664 458 88 84 &amp;  +43 660 549 82 40</v>
      </c>
    </row>
    <row r="124" spans="1:11" ht="15.6" hidden="1" x14ac:dyDescent="0.3">
      <c r="A124" s="57" t="str">
        <f>'ICS2'!I122</f>
        <v>U7</v>
      </c>
      <c r="B124" s="103">
        <f>'ICS2'!B122</f>
        <v>0</v>
      </c>
      <c r="C124" s="104">
        <f>'ICS2'!C122</f>
        <v>0</v>
      </c>
      <c r="D124" s="57" t="str">
        <f>'ICS2'!E122</f>
        <v/>
      </c>
      <c r="E124" s="57">
        <f>'ICS2'!H122</f>
        <v>0</v>
      </c>
      <c r="F124" s="57" t="str">
        <f t="shared" si="21"/>
        <v>U7</v>
      </c>
      <c r="G124" s="57" t="str">
        <f t="shared" si="24"/>
        <v>25x20</v>
      </c>
      <c r="H124" s="57" t="str">
        <f t="shared" si="25"/>
        <v>4 Minitore</v>
      </c>
      <c r="I124" s="57" t="str">
        <f t="shared" si="26"/>
        <v>3</v>
      </c>
      <c r="J124" s="57" t="str">
        <f t="shared" si="22"/>
        <v>Alexander Zax &amp; Jürgen Joszt</v>
      </c>
      <c r="K124" s="57" t="str">
        <f t="shared" si="23"/>
        <v>+43 664 458 88 84 &amp;  +43 660 549 82 40</v>
      </c>
    </row>
    <row r="125" spans="1:11" ht="15.6" hidden="1" x14ac:dyDescent="0.3">
      <c r="A125" s="57" t="str">
        <f>'ICS2'!I116</f>
        <v>U8</v>
      </c>
      <c r="B125" s="103">
        <f>'ICS2'!B116</f>
        <v>46305</v>
      </c>
      <c r="C125" s="104">
        <f>'ICS2'!C116</f>
        <v>0.39583333333333331</v>
      </c>
      <c r="D125" s="57" t="str">
        <f>'ICS2'!E116</f>
        <v>HORNSTEIN</v>
      </c>
      <c r="E125" s="57" t="str">
        <f>'ICS2'!H116</f>
        <v>Turnier</v>
      </c>
      <c r="F125" s="57" t="str">
        <f t="shared" si="21"/>
        <v>U8</v>
      </c>
      <c r="G125" s="57" t="str">
        <f t="shared" si="24"/>
        <v>29x22</v>
      </c>
      <c r="H125" s="57" t="str">
        <f t="shared" si="25"/>
        <v>4 Minitore</v>
      </c>
      <c r="I125" s="57" t="str">
        <f t="shared" si="26"/>
        <v>3</v>
      </c>
      <c r="J125" s="57" t="str">
        <f t="shared" si="22"/>
        <v>Ömer Türkes &amp; Taha Mahsumi</v>
      </c>
      <c r="K125" s="57" t="str">
        <f t="shared" si="23"/>
        <v>+43 676 661 62 26 &amp;  +43 681 208 11 599</v>
      </c>
    </row>
    <row r="126" spans="1:11" s="123" customFormat="1" ht="15.6" x14ac:dyDescent="0.3">
      <c r="A126" s="120" t="str">
        <f>'ICS2'!I57</f>
        <v>U16</v>
      </c>
      <c r="B126" s="121">
        <f>'ICS2'!B57</f>
        <v>46326</v>
      </c>
      <c r="C126" s="122">
        <f>'ICS2'!C57</f>
        <v>0.60416666666666663</v>
      </c>
      <c r="D126" s="120" t="str">
        <f>'ICS2'!E57</f>
        <v>NEUFELD</v>
      </c>
      <c r="E126" s="120" t="str">
        <f>'ICS2'!H57</f>
        <v>SPG GMWP</v>
      </c>
      <c r="F126" s="120" t="str">
        <f t="shared" si="21"/>
        <v>U16</v>
      </c>
      <c r="G126" s="120"/>
      <c r="H126" s="120"/>
      <c r="I126" s="120" t="str">
        <f>IF(F126="Großfeld","5",IF(F126="U16","5",IF(F126="U15","5",IF(F126="U14","4",IF(F126="U13","4",IF(F126="U11/U12","4",IF(F126="U9/U10","4",IF(F126="U9","4","3"))))))))</f>
        <v>5</v>
      </c>
      <c r="J126" s="120" t="str">
        <f t="shared" si="22"/>
        <v>Serdar Ekinci &amp; Gernot Sevelda &amp; Hubi Oberhofer</v>
      </c>
      <c r="K126" s="120" t="str">
        <f t="shared" si="23"/>
        <v>+43 690 104 20 129 &amp; +43 676 401 09 13 &amp; +43 699 181 68 504</v>
      </c>
    </row>
    <row r="127" spans="1:11" s="123" customFormat="1" ht="15.6" x14ac:dyDescent="0.3">
      <c r="A127" s="117" t="str">
        <f>'ICS2'!I88</f>
        <v>U12_2</v>
      </c>
      <c r="B127" s="118">
        <f>'ICS2'!B88</f>
        <v>46332</v>
      </c>
      <c r="C127" s="119">
        <f>'ICS2'!C88</f>
        <v>0.70833333333333337</v>
      </c>
      <c r="D127" s="117" t="str">
        <f>'ICS2'!E88</f>
        <v>STEINBRUNN</v>
      </c>
      <c r="E127" s="117" t="str">
        <f>'ICS2'!H88</f>
        <v>Oggau</v>
      </c>
      <c r="F127" s="117" t="str">
        <f t="shared" si="21"/>
        <v>U12_2</v>
      </c>
      <c r="G127" s="117" t="str">
        <f t="shared" ref="G127:G133" si="27">IF(F127="KM","Großfeld",IF(F127="U23","Großfeld",IF(F127="U16","Großfeld",IF(F127="U15","Großfeld",IF(F127="U14","Großfeld",IF(F127="U12_1","55*40",IF(F127="U12_2","55x40",IF(F127="U11","55x40",IF(F127="U10","40x25",IF(F127="U9","40x25",IF(F127="U8","29x22",IF(F127="U7","25x20","16x15"))))))))))))</f>
        <v>55x40</v>
      </c>
      <c r="H127" s="117" t="str">
        <f t="shared" ref="H127:H133" si="28">IF(F127="KM","7,32x2,44",IF(F127="U23","7,32x2,44",IF(F127="U16","7,32x2,44",IF(F127="U15","7,32x2,44",IF(F127="U14","7,32x2,44",IF(F127="U13","5x2",IF(F127="U12_1","7,32x2,44",IF(F127="U12_2","7,32x2,44",IF(F127="U11","5x2",IF(F127="U10","5x2
",IF(F127="U9","5x2","4 Minitore")))))))))))</f>
        <v>7,32x2,44</v>
      </c>
      <c r="I127" s="117" t="str">
        <f t="shared" ref="I127:I133" si="29">IF(F127="KM","5",IF(F127="U23",5,IF(F127="U16","5",IF(F127="U15","5",IF(F127="U14","4",IF(F127="U13","4",IF(F127="U12_1","4",IF(F127="U12_2","4",IF(F127="U11","4",IF(F127="U10","4",IF(F127="U9","4","3")))))))))))</f>
        <v>4</v>
      </c>
      <c r="J127" s="117" t="str">
        <f t="shared" si="22"/>
        <v>Tobias Berger &amp; Mario Magler</v>
      </c>
      <c r="K127" s="117" t="str">
        <f t="shared" si="23"/>
        <v>+43 66 199 13 52 &amp;  +43 664 762 09 93</v>
      </c>
    </row>
    <row r="128" spans="1:11" s="108" customFormat="1" ht="15.6" hidden="1" x14ac:dyDescent="0.3">
      <c r="A128" s="57" t="str">
        <f>'ICS2'!I115</f>
        <v>U8</v>
      </c>
      <c r="B128" s="103">
        <f>'ICS2'!B115</f>
        <v>46291</v>
      </c>
      <c r="C128" s="104">
        <f>'ICS2'!C115</f>
        <v>0.39583333333333331</v>
      </c>
      <c r="D128" s="57" t="str">
        <f>'ICS2'!E115</f>
        <v>LEITHAPRODERSDORF</v>
      </c>
      <c r="E128" s="57" t="str">
        <f>'ICS2'!H115</f>
        <v>Turnier</v>
      </c>
      <c r="F128" s="57" t="str">
        <f t="shared" si="21"/>
        <v>U8</v>
      </c>
      <c r="G128" s="57" t="str">
        <f t="shared" si="27"/>
        <v>29x22</v>
      </c>
      <c r="H128" s="57" t="str">
        <f t="shared" si="28"/>
        <v>4 Minitore</v>
      </c>
      <c r="I128" s="57" t="str">
        <f t="shared" si="29"/>
        <v>3</v>
      </c>
      <c r="J128" s="57" t="str">
        <f t="shared" si="22"/>
        <v>Ömer Türkes &amp; Taha Mahsumi</v>
      </c>
      <c r="K128" s="57" t="str">
        <f t="shared" si="23"/>
        <v>+43 676 661 62 26 &amp;  +43 681 208 11 599</v>
      </c>
    </row>
    <row r="129" spans="1:11" s="108" customFormat="1" ht="15.6" x14ac:dyDescent="0.3">
      <c r="A129" s="120" t="str">
        <f>'ICS2'!I48</f>
        <v>U23</v>
      </c>
      <c r="B129" s="121">
        <f>'ICS2'!B48</f>
        <v>46333</v>
      </c>
      <c r="C129" s="122">
        <f>'ICS2'!C48</f>
        <v>0.60416666666666663</v>
      </c>
      <c r="D129" s="120" t="str">
        <f>'ICS2'!E48</f>
        <v>NEUFELD</v>
      </c>
      <c r="E129" s="120" t="str">
        <f>'ICS2'!H48</f>
        <v>Andau</v>
      </c>
      <c r="F129" s="120" t="str">
        <f t="shared" si="21"/>
        <v>U23</v>
      </c>
      <c r="G129" s="120" t="str">
        <f t="shared" si="27"/>
        <v>Großfeld</v>
      </c>
      <c r="H129" s="120" t="str">
        <f t="shared" si="28"/>
        <v>7,32x2,44</v>
      </c>
      <c r="I129" s="120">
        <f t="shared" si="29"/>
        <v>5</v>
      </c>
      <c r="J129" s="120" t="str">
        <f t="shared" si="22"/>
        <v>Egzon Gentiani &amp; Dinges Stefan</v>
      </c>
      <c r="K129" s="120" t="str">
        <f t="shared" si="23"/>
        <v>+43 670 18 59 080 &amp; +43 664 451 22 16</v>
      </c>
    </row>
    <row r="130" spans="1:11" s="112" customFormat="1" ht="15.6" x14ac:dyDescent="0.3">
      <c r="A130" s="120" t="str">
        <f>'ICS2'!I35</f>
        <v>KM</v>
      </c>
      <c r="B130" s="121">
        <f>'ICS2'!B35</f>
        <v>46333</v>
      </c>
      <c r="C130" s="122">
        <f>'ICS2'!C35</f>
        <v>0.6875</v>
      </c>
      <c r="D130" s="120" t="str">
        <f>'ICS2'!E35</f>
        <v>NEUFELD</v>
      </c>
      <c r="E130" s="120" t="str">
        <f>'ICS2'!H35</f>
        <v>Andau</v>
      </c>
      <c r="F130" s="120" t="str">
        <f t="shared" ref="F130:F144" si="30">A130</f>
        <v>KM</v>
      </c>
      <c r="G130" s="120" t="str">
        <f t="shared" si="27"/>
        <v>Großfeld</v>
      </c>
      <c r="H130" s="120" t="str">
        <f t="shared" si="28"/>
        <v>7,32x2,44</v>
      </c>
      <c r="I130" s="120" t="str">
        <f t="shared" si="29"/>
        <v>5</v>
      </c>
      <c r="J130" s="120" t="str">
        <f t="shared" ref="J130:J144" si="31">IF(F130="KM","Pleninger Stefan &amp; Matthias Wachter",IF(F130="U23","Egzon Gentiani &amp; Dinges Stefan",IF(F130="U16","Serdar Ekinci &amp; Gernot Sevelda &amp; Hubi Oberhofer",IF(F130="U15","",IF(F130="U14","Christian Neckamm  &amp; Thomas Pöschl",IF(F130="U13","",IF(F130="U12_1","Tobias Berger &amp; Mario Magler",IF(F130="U12_2","Tobias Berger &amp; Mario Magler",IF(F130="U11","Christian Wirth",IF(F130="U10","Thomas Brandl",IF(F130="U9","Tobias Berger &amp; Sebastian Putric",IF(F130="U8","Ömer Türkes &amp; Taha Mahsumi",IF(F130="U7","Alexander Zax &amp; Jürgen Joszt",IF(F130="FKG","Ronny Archam &amp; Florian Rac",IF(A130="Camp","Berger Dieter",IF(A130="Turnier","Berger Dieter","FEHLER"))))))))))))))))</f>
        <v>Pleninger Stefan &amp; Matthias Wachter</v>
      </c>
      <c r="K130" s="120" t="str">
        <f t="shared" ref="K130:K144" si="32">IF(F130="KM","+43 664 415 99 09 &amp; +43 699 119 70 312",IF(F130="U23","+43 670 18 59 080 &amp; +43 664 451 22 16",IF(F130="U16","+43 690 104 20 129 &amp; +43 676 401 09 13 &amp; +43 699 181 68 504",IF(F130="U15","",IF(F130="U14","+43 699 192 49 527 &amp; +43 677 613 55 114",IF(F130="U13","",IF(F130="U12_1","+43 66 199 13 52 &amp;  +43 664 762 09 93",IF(F130="U12_2","+43 66 199 13 52 &amp;  +43 664 762 09 93",IF(F130="U11","+43 660 423 93 83",IF(F130="U10","+43 676 377 16 30",IF(F130="U9","+43 66 199 13 52 &amp;  +43 660 914 92 36",IF(F130="U8","+43 676 661 62 26 &amp;  +43 681 208 11 599",IF(F130="U7","+43 664 458 88 84 &amp;  +43 660 549 82 40",IF(F130="FKG","+43 699 111 93 828 &amp;  +43 660 600 25 06",IF(A130="Camp","+43 660 77 39 500",IF(A130="Turnier","+43 660 77 39 500","FEHLER"))))))))))))))))</f>
        <v>+43 664 415 99 09 &amp; +43 699 119 70 312</v>
      </c>
    </row>
    <row r="131" spans="1:11" s="123" customFormat="1" ht="15.6" x14ac:dyDescent="0.3">
      <c r="A131" s="120" t="str">
        <f>'ICS2'!I59</f>
        <v>U16</v>
      </c>
      <c r="B131" s="121">
        <f>'ICS2'!B59</f>
        <v>46340</v>
      </c>
      <c r="C131" s="122">
        <f>'ICS2'!C59</f>
        <v>0.625</v>
      </c>
      <c r="D131" s="120" t="str">
        <f>'ICS2'!E59</f>
        <v>NEUFELD</v>
      </c>
      <c r="E131" s="120" t="str">
        <f>'ICS2'!H59</f>
        <v>Großhöflein</v>
      </c>
      <c r="F131" s="120" t="str">
        <f t="shared" si="30"/>
        <v>U16</v>
      </c>
      <c r="G131" s="120" t="str">
        <f t="shared" si="27"/>
        <v>Großfeld</v>
      </c>
      <c r="H131" s="120" t="str">
        <f t="shared" si="28"/>
        <v>7,32x2,44</v>
      </c>
      <c r="I131" s="120" t="str">
        <f t="shared" si="29"/>
        <v>5</v>
      </c>
      <c r="J131" s="120" t="str">
        <f t="shared" si="31"/>
        <v>Serdar Ekinci &amp; Gernot Sevelda &amp; Hubi Oberhofer</v>
      </c>
      <c r="K131" s="120" t="str">
        <f t="shared" si="32"/>
        <v>+43 690 104 20 129 &amp; +43 676 401 09 13 &amp; +43 699 181 68 504</v>
      </c>
    </row>
    <row r="132" spans="1:11" s="123" customFormat="1" ht="15.6" hidden="1" x14ac:dyDescent="0.3">
      <c r="A132" s="57" t="str">
        <f>'ICS2'!I105</f>
        <v>U9</v>
      </c>
      <c r="B132" s="103">
        <f>'ICS2'!B105</f>
        <v>46283</v>
      </c>
      <c r="C132" s="104">
        <f>'ICS2'!C105</f>
        <v>0</v>
      </c>
      <c r="D132" s="57" t="str">
        <f>'ICS2'!E105</f>
        <v/>
      </c>
      <c r="E132" s="57" t="str">
        <f>'ICS2'!H105</f>
        <v>Spielfrei</v>
      </c>
      <c r="F132" s="57" t="str">
        <f t="shared" si="30"/>
        <v>U9</v>
      </c>
      <c r="G132" s="57" t="str">
        <f t="shared" si="27"/>
        <v>40x25</v>
      </c>
      <c r="H132" s="57" t="str">
        <f t="shared" si="28"/>
        <v>5x2</v>
      </c>
      <c r="I132" s="57" t="str">
        <f t="shared" si="29"/>
        <v>4</v>
      </c>
      <c r="J132" s="57" t="str">
        <f t="shared" si="31"/>
        <v>Tobias Berger &amp; Sebastian Putric</v>
      </c>
      <c r="K132" s="57" t="str">
        <f t="shared" si="32"/>
        <v>+43 66 199 13 52 &amp;  +43 660 914 92 36</v>
      </c>
    </row>
    <row r="133" spans="1:11" ht="15.6" hidden="1" x14ac:dyDescent="0.3">
      <c r="A133" s="57" t="str">
        <f>'ICS2'!I106</f>
        <v>U9</v>
      </c>
      <c r="B133" s="103">
        <f>'ICS2'!B106</f>
        <v>46291</v>
      </c>
      <c r="C133" s="104">
        <f>'ICS2'!C106</f>
        <v>0.41666666666666669</v>
      </c>
      <c r="D133" s="57" t="str">
        <f>'ICS2'!E106</f>
        <v>EISENSTADT</v>
      </c>
      <c r="E133" s="57" t="str">
        <f>'ICS2'!H106</f>
        <v>Eisenstadt</v>
      </c>
      <c r="F133" s="57" t="str">
        <f t="shared" si="30"/>
        <v>U9</v>
      </c>
      <c r="G133" s="57" t="str">
        <f t="shared" si="27"/>
        <v>40x25</v>
      </c>
      <c r="H133" s="57" t="str">
        <f t="shared" si="28"/>
        <v>5x2</v>
      </c>
      <c r="I133" s="57" t="str">
        <f t="shared" si="29"/>
        <v>4</v>
      </c>
      <c r="J133" s="57" t="str">
        <f t="shared" si="31"/>
        <v>Tobias Berger &amp; Sebastian Putric</v>
      </c>
      <c r="K133" s="57" t="str">
        <f t="shared" si="32"/>
        <v>+43 66 199 13 52 &amp;  +43 660 914 92 36</v>
      </c>
    </row>
    <row r="134" spans="1:11" ht="15.6" hidden="1" x14ac:dyDescent="0.3">
      <c r="A134" s="109" t="str">
        <f>'ICS2'!I138</f>
        <v>Weihnachtsfeier</v>
      </c>
      <c r="B134" s="110">
        <f>'ICS2'!B138</f>
        <v>46359</v>
      </c>
      <c r="C134" s="111">
        <f>'ICS2'!C138</f>
        <v>0.70833333333333337</v>
      </c>
      <c r="D134" s="109" t="str">
        <f>'ICS2'!E138</f>
        <v>STEINBRUNN</v>
      </c>
      <c r="E134" s="109" t="str">
        <f>'ICS2'!H138</f>
        <v>Weihnachtsfeier 2026</v>
      </c>
      <c r="F134" s="109" t="str">
        <f t="shared" si="30"/>
        <v>Weihnachtsfeier</v>
      </c>
      <c r="G134" s="109"/>
      <c r="H134" s="109"/>
      <c r="I134" s="109" t="str">
        <f>IF(F134="Großfeld","5",IF(F134="U16","5",IF(F134="U15","5",IF(F134="U14","4",IF(F134="U13","4",IF(F134="U11/U12","4",IF(F134="U9/U10","4",IF(F134="U9","4","3"))))))))</f>
        <v>3</v>
      </c>
      <c r="J134" s="109" t="str">
        <f t="shared" si="31"/>
        <v>FEHLER</v>
      </c>
      <c r="K134" s="109" t="str">
        <f t="shared" si="32"/>
        <v>FEHLER</v>
      </c>
    </row>
    <row r="135" spans="1:11" ht="15.6" x14ac:dyDescent="0.3">
      <c r="A135" s="57" t="str">
        <f>'ICS2'!I135</f>
        <v>Turnier</v>
      </c>
      <c r="B135" s="103">
        <f>'ICS2'!B135</f>
        <v>46367</v>
      </c>
      <c r="C135" s="104">
        <f>'ICS2'!C135</f>
        <v>0.6875</v>
      </c>
      <c r="D135" s="57" t="str">
        <f>'ICS2'!E135</f>
        <v>STEINBRUNN</v>
      </c>
      <c r="E135" s="57" t="str">
        <f>'ICS2'!H135</f>
        <v>Hallencup 2026_27</v>
      </c>
      <c r="F135" s="57" t="str">
        <f t="shared" si="30"/>
        <v>Turnier</v>
      </c>
      <c r="G135" s="57"/>
      <c r="H135" s="57"/>
      <c r="I135" s="57" t="str">
        <f>IF(F135="Großfeld","5",IF(F135="U16","5",IF(F135="U15","5",IF(F135="U14","4",IF(F135="U13","4",IF(F135="U11/U12","4",IF(F135="U9/U10","4",IF(F135="U9","4","3"))))))))</f>
        <v>3</v>
      </c>
      <c r="J135" s="57" t="str">
        <f t="shared" si="31"/>
        <v>Berger Dieter</v>
      </c>
      <c r="K135" s="57" t="str">
        <f t="shared" si="32"/>
        <v>+43 660 77 39 500</v>
      </c>
    </row>
    <row r="136" spans="1:11" ht="15.6" x14ac:dyDescent="0.3">
      <c r="A136" s="109" t="str">
        <f>'ICS2'!I136</f>
        <v>Turnier</v>
      </c>
      <c r="B136" s="110">
        <f>'ICS2'!B136</f>
        <v>46368</v>
      </c>
      <c r="C136" s="111">
        <f>'ICS2'!C136</f>
        <v>0.35416666666666669</v>
      </c>
      <c r="D136" s="109" t="str">
        <f>'ICS2'!E136</f>
        <v>STEINBRUNN</v>
      </c>
      <c r="E136" s="109" t="str">
        <f>'ICS2'!H136</f>
        <v>Hallencup 2026_27</v>
      </c>
      <c r="F136" s="109" t="str">
        <f t="shared" si="30"/>
        <v>Turnier</v>
      </c>
      <c r="G136" s="109"/>
      <c r="H136" s="109"/>
      <c r="I136" s="109" t="str">
        <f>IF(F136="Großfeld","5",IF(F136="U16","5",IF(F136="U15","5",IF(F136="U14","4",IF(F136="U13","4",IF(F136="U11/U12","4",IF(F136="U9/U10","4",IF(F136="U9","4","3"))))))))</f>
        <v>3</v>
      </c>
      <c r="J136" s="109" t="str">
        <f t="shared" si="31"/>
        <v>Berger Dieter</v>
      </c>
      <c r="K136" s="109" t="str">
        <f t="shared" si="32"/>
        <v>+43 660 77 39 500</v>
      </c>
    </row>
    <row r="137" spans="1:11" ht="15.6" hidden="1" x14ac:dyDescent="0.3">
      <c r="A137" s="57" t="str">
        <f>'ICS2'!I110</f>
        <v>U9</v>
      </c>
      <c r="B137" s="103">
        <f>'ICS2'!B110</f>
        <v>46318</v>
      </c>
      <c r="C137" s="104">
        <f>'ICS2'!C110</f>
        <v>0</v>
      </c>
      <c r="D137" s="57" t="str">
        <f>'ICS2'!E110</f>
        <v/>
      </c>
      <c r="E137" s="57" t="str">
        <f>'ICS2'!H110</f>
        <v>Spielfrei</v>
      </c>
      <c r="F137" s="57" t="str">
        <f t="shared" si="30"/>
        <v>U9</v>
      </c>
      <c r="G137" s="57" t="str">
        <f>IF(F137="KM","Großfeld",IF(F137="U23","Großfeld",IF(F137="U16","Großfeld",IF(F137="U15","Großfeld",IF(F137="U14","Großfeld",IF(F137="U12_1","55*40",IF(F137="U12_2","55x40",IF(F137="U11","55x40",IF(F137="U10","40x25",IF(F137="U9","40x25",IF(F137="U8","29x22",IF(F137="U7","25x20","16x15"))))))))))))</f>
        <v>40x25</v>
      </c>
      <c r="H137" s="57" t="str">
        <f>IF(F137="KM","7,32x2,44",IF(F137="U23","7,32x2,44",IF(F137="U16","7,32x2,44",IF(F137="U15","7,32x2,44",IF(F137="U14","7,32x2,44",IF(F137="U13","5x2",IF(F137="U12_1","7,32x2,44",IF(F137="U12_2","7,32x2,44",IF(F137="U11","5x2",IF(F137="U10","5x2
",IF(F137="U9","5x2","4 Minitore")))))))))))</f>
        <v>5x2</v>
      </c>
      <c r="I137" s="57" t="str">
        <f>IF(F137="KM","5",IF(F137="U23",5,IF(F137="U16","5",IF(F137="U15","5",IF(F137="U14","4",IF(F137="U13","4",IF(F137="U12_1","4",IF(F137="U12_2","4",IF(F137="U11","4",IF(F137="U10","4",IF(F137="U9","4","3")))))))))))</f>
        <v>4</v>
      </c>
      <c r="J137" s="57" t="str">
        <f t="shared" si="31"/>
        <v>Tobias Berger &amp; Sebastian Putric</v>
      </c>
      <c r="K137" s="57" t="str">
        <f t="shared" si="32"/>
        <v>+43 66 199 13 52 &amp;  +43 660 914 92 36</v>
      </c>
    </row>
    <row r="138" spans="1:11" ht="15.6" x14ac:dyDescent="0.3">
      <c r="A138" s="109" t="str">
        <f>'ICS2'!I137</f>
        <v>Turnier</v>
      </c>
      <c r="B138" s="110">
        <f>'ICS2'!B137</f>
        <v>46369</v>
      </c>
      <c r="C138" s="111">
        <f>'ICS2'!C137</f>
        <v>0.375</v>
      </c>
      <c r="D138" s="109" t="str">
        <f>'ICS2'!E137</f>
        <v>STEINBRUNN</v>
      </c>
      <c r="E138" s="109" t="str">
        <f>'ICS2'!H137</f>
        <v>Hallencup 2026_27</v>
      </c>
      <c r="F138" s="109" t="str">
        <f t="shared" si="30"/>
        <v>Turnier</v>
      </c>
      <c r="G138" s="109"/>
      <c r="H138" s="109"/>
      <c r="I138" s="109" t="str">
        <f>IF(F138="Großfeld","5",IF(F138="U16","5",IF(F138="U15","5",IF(F138="U14","4",IF(F138="U13","4",IF(F138="U11/U12","4",IF(F138="U9/U10","4",IF(F138="U9","4","3"))))))))</f>
        <v>3</v>
      </c>
      <c r="J138" s="109" t="str">
        <f t="shared" si="31"/>
        <v>Berger Dieter</v>
      </c>
      <c r="K138" s="109" t="str">
        <f t="shared" si="32"/>
        <v>+43 660 77 39 500</v>
      </c>
    </row>
    <row r="139" spans="1:11" ht="15.6" hidden="1" x14ac:dyDescent="0.3">
      <c r="A139" s="113" t="str">
        <f>'ICS2'!I112</f>
        <v>U9</v>
      </c>
      <c r="B139" s="114">
        <f>'ICS2'!B112</f>
        <v>46333</v>
      </c>
      <c r="C139" s="115">
        <f>'ICS2'!C112</f>
        <v>0.5</v>
      </c>
      <c r="D139" s="113" t="str">
        <f>'ICS2'!E112</f>
        <v>HORNSTEIN</v>
      </c>
      <c r="E139" s="113" t="str">
        <f>'ICS2'!H112</f>
        <v>Hornstein</v>
      </c>
      <c r="F139" s="113" t="str">
        <f t="shared" si="30"/>
        <v>U9</v>
      </c>
      <c r="G139" s="113" t="str">
        <f>IF(F139="KM","Großfeld",IF(F139="U23","Großfeld",IF(F139="U16","Großfeld",IF(F139="U15","Großfeld",IF(F139="U14","Großfeld",IF(F139="U12_1","55*40",IF(F139="U12_2","55x40",IF(F139="U11","55x40",IF(F139="U10","40x25",IF(F139="U9","40x25",IF(F139="U8","29x22",IF(F139="U7","25x20","16x15"))))))))))))</f>
        <v>40x25</v>
      </c>
      <c r="H139" s="113" t="str">
        <f>IF(F139="KM","7,32x2,44",IF(F139="U23","7,32x2,44",IF(F139="U16","7,32x2,44",IF(F139="U15","7,32x2,44",IF(F139="U14","7,32x2,44",IF(F139="U13","5x2",IF(F139="U12_1","7,32x2,44",IF(F139="U12_2","7,32x2,44",IF(F139="U11","5x2",IF(F139="U10","5x2
",IF(F139="U9","5x2","4 Minitore")))))))))))</f>
        <v>5x2</v>
      </c>
      <c r="I139" s="113" t="str">
        <f>IF(F139="KM","5",IF(F139="U23",5,IF(F139="U16","5",IF(F139="U15","5",IF(F139="U14","4",IF(F139="U13","4",IF(F139="U12_1","4",IF(F139="U12_2","4",IF(F139="U11","4",IF(F139="U10","4",IF(F139="U9","4","3")))))))))))</f>
        <v>4</v>
      </c>
      <c r="J139" s="113" t="str">
        <f t="shared" si="31"/>
        <v>Tobias Berger &amp; Sebastian Putric</v>
      </c>
      <c r="K139" s="113" t="str">
        <f t="shared" si="32"/>
        <v>+43 66 199 13 52 &amp;  +43 660 914 92 36</v>
      </c>
    </row>
    <row r="140" spans="1:11" ht="15.6" x14ac:dyDescent="0.3">
      <c r="A140" s="57" t="str">
        <f>'ICS2'!I139</f>
        <v>Turnier</v>
      </c>
      <c r="B140" s="103">
        <f>'ICS2'!B139</f>
        <v>46402</v>
      </c>
      <c r="C140" s="104">
        <f>'ICS2'!C139</f>
        <v>0.6875</v>
      </c>
      <c r="D140" s="57" t="str">
        <f>'ICS2'!E139</f>
        <v>STEINBRUNN</v>
      </c>
      <c r="E140" s="57" t="str">
        <f>'ICS2'!H139</f>
        <v>Hallencup 2026_27</v>
      </c>
      <c r="F140" s="57" t="str">
        <f t="shared" si="30"/>
        <v>Turnier</v>
      </c>
      <c r="G140" s="57"/>
      <c r="H140" s="57"/>
      <c r="I140" s="57" t="str">
        <f>IF(F140="Großfeld","5",IF(F140="U16","5",IF(F140="U15","5",IF(F140="U14","4",IF(F140="U13","4",IF(F140="U11/U12","4",IF(F140="U9/U10","4",IF(F140="U9","4","3"))))))))</f>
        <v>3</v>
      </c>
      <c r="J140" s="57" t="str">
        <f t="shared" si="31"/>
        <v>Berger Dieter</v>
      </c>
      <c r="K140" s="57" t="str">
        <f t="shared" si="32"/>
        <v>+43 660 77 39 500</v>
      </c>
    </row>
    <row r="141" spans="1:11" ht="15.6" hidden="1" x14ac:dyDescent="0.3">
      <c r="A141" s="124" t="str">
        <f>'Nach Mannschaften sortiert'!C56</f>
        <v>U16</v>
      </c>
      <c r="B141" s="125">
        <f>'Nach Mannschaften sortiert'!D56</f>
        <v>46320</v>
      </c>
      <c r="C141" s="126">
        <f>'Nach Mannschaften sortiert'!E56</f>
        <v>0</v>
      </c>
      <c r="D141" s="124">
        <f>'Nach Mannschaften sortiert'!F56</f>
        <v>0</v>
      </c>
      <c r="E141" s="124" t="str">
        <f>'Nach Mannschaften sortiert'!G56</f>
        <v>Spielfrei</v>
      </c>
      <c r="F141" s="124" t="str">
        <f t="shared" si="30"/>
        <v>U16</v>
      </c>
      <c r="G141" s="124"/>
      <c r="H141" s="124"/>
      <c r="I141" s="124" t="str">
        <f>IF(F141="Großfeld","5",IF(F141="U16","5",IF(F141="U15","5",IF(F141="U14","4",IF(F141="U13","4",IF(F141="U11/U12","4",IF(F141="U9/U10","4",IF(F141="U9","4","3"))))))))</f>
        <v>5</v>
      </c>
      <c r="J141" s="124" t="str">
        <f t="shared" si="31"/>
        <v>Serdar Ekinci &amp; Gernot Sevelda &amp; Hubi Oberhofer</v>
      </c>
      <c r="K141" s="124" t="str">
        <f t="shared" si="32"/>
        <v>+43 690 104 20 129 &amp; +43 676 401 09 13 &amp; +43 699 181 68 504</v>
      </c>
    </row>
    <row r="142" spans="1:11" ht="15.6" x14ac:dyDescent="0.3">
      <c r="A142" s="57" t="str">
        <f>'ICS2'!I140</f>
        <v>Turnier</v>
      </c>
      <c r="B142" s="103">
        <f>'ICS2'!B140</f>
        <v>46403</v>
      </c>
      <c r="C142" s="104">
        <f>'ICS2'!C140</f>
        <v>0.35416666666666669</v>
      </c>
      <c r="D142" s="57" t="str">
        <f>'ICS2'!E140</f>
        <v>STEINBRUNN</v>
      </c>
      <c r="E142" s="57" t="str">
        <f>'ICS2'!H140</f>
        <v>Hallencup 2026_27</v>
      </c>
      <c r="F142" s="57" t="str">
        <f t="shared" si="30"/>
        <v>Turnier</v>
      </c>
      <c r="G142" s="57"/>
      <c r="H142" s="57"/>
      <c r="I142" s="57" t="str">
        <f>IF(F142="Großfeld","5",IF(F142="U16","5",IF(F142="U15","5",IF(F142="U14","4",IF(F142="U13","4",IF(F142="U11/U12","4",IF(F142="U9/U10","4",IF(F142="U9","4","3"))))))))</f>
        <v>3</v>
      </c>
      <c r="J142" s="57" t="str">
        <f t="shared" si="31"/>
        <v>Berger Dieter</v>
      </c>
      <c r="K142" s="57" t="str">
        <f t="shared" si="32"/>
        <v>+43 660 77 39 500</v>
      </c>
    </row>
    <row r="143" spans="1:11" ht="15.6" hidden="1" x14ac:dyDescent="0.3">
      <c r="A143" s="124" t="str">
        <f>'Nach Mannschaften sortiert'!C58</f>
        <v>U16</v>
      </c>
      <c r="B143" s="125">
        <f>'Nach Mannschaften sortiert'!D58</f>
        <v>46333</v>
      </c>
      <c r="C143" s="126">
        <f>'Nach Mannschaften sortiert'!E58</f>
        <v>0.54166666666666663</v>
      </c>
      <c r="D143" s="124" t="str">
        <f>'Nach Mannschaften sortiert'!F58</f>
        <v>Trausdorf</v>
      </c>
      <c r="E143" s="124" t="str">
        <f>'Nach Mannschaften sortiert'!G58</f>
        <v>Eisenstadt</v>
      </c>
      <c r="F143" s="124" t="str">
        <f t="shared" si="30"/>
        <v>U16</v>
      </c>
      <c r="G143" s="124"/>
      <c r="H143" s="124"/>
      <c r="I143" s="124" t="str">
        <f>IF(F143="Großfeld","5",IF(F143="U16","5",IF(F143="U15","5",IF(F143="U14","4",IF(F143="U13","4",IF(F143="U11/U12","4",IF(F143="U9/U10","4",IF(F143="U9","4","3"))))))))</f>
        <v>5</v>
      </c>
      <c r="J143" s="124" t="str">
        <f t="shared" si="31"/>
        <v>Serdar Ekinci &amp; Gernot Sevelda &amp; Hubi Oberhofer</v>
      </c>
      <c r="K143" s="124" t="str">
        <f t="shared" si="32"/>
        <v>+43 690 104 20 129 &amp; +43 676 401 09 13 &amp; +43 699 181 68 504</v>
      </c>
    </row>
    <row r="144" spans="1:11" ht="15.6" x14ac:dyDescent="0.3">
      <c r="A144" s="57" t="str">
        <f>'ICS2'!I141</f>
        <v>Turnier</v>
      </c>
      <c r="B144" s="103">
        <f>'ICS2'!B141</f>
        <v>46404</v>
      </c>
      <c r="C144" s="104">
        <f>'ICS2'!C141</f>
        <v>0.375</v>
      </c>
      <c r="D144" s="57" t="str">
        <f>'ICS2'!E141</f>
        <v>STEINBRUNN</v>
      </c>
      <c r="E144" s="57" t="str">
        <f>'ICS2'!H141</f>
        <v>Hallencup 2026_27</v>
      </c>
      <c r="F144" s="57" t="str">
        <f t="shared" si="30"/>
        <v>Turnier</v>
      </c>
      <c r="G144" s="57"/>
      <c r="H144" s="57"/>
      <c r="I144" s="57" t="str">
        <f>IF(F144="Großfeld","5",IF(F144="U16","5",IF(F144="U15","5",IF(F144="U14","4",IF(F144="U13","4",IF(F144="U11/U12","4",IF(F144="U9/U10","4",IF(F144="U9","4","3"))))))))</f>
        <v>3</v>
      </c>
      <c r="J144" s="57" t="str">
        <f t="shared" si="31"/>
        <v>Berger Dieter</v>
      </c>
      <c r="K144" s="57" t="str">
        <f t="shared" si="32"/>
        <v>+43 660 77 39 500</v>
      </c>
    </row>
  </sheetData>
  <autoFilter ref="A1:K144" xr:uid="{00000000-0009-0000-0000-000006000000}">
    <filterColumn colId="0">
      <filters>
        <filter val="KM"/>
        <filter val="Turnier"/>
        <filter val="U10"/>
        <filter val="U11"/>
        <filter val="U12_1"/>
        <filter val="U12_2"/>
        <filter val="U14"/>
        <filter val="U15"/>
        <filter val="U16"/>
        <filter val="U23"/>
        <filter val="U8"/>
        <filter val="U9"/>
      </filters>
    </filterColumn>
    <filterColumn colId="3">
      <filters>
        <filter val="GROßHÖFLEIN"/>
        <filter val="NEUFELD"/>
        <filter val="STEINBRUNN"/>
        <filter val="WIMPASSING"/>
      </filters>
    </filterColumn>
    <sortState xmlns:xlrd2="http://schemas.microsoft.com/office/spreadsheetml/2017/richdata2" ref="A2:K144">
      <sortCondition ref="B1:B144"/>
    </sortState>
  </autoFilter>
  <phoneticPr fontId="12" type="noConversion"/>
  <pageMargins left="3.937007874015748E-2" right="3.937007874015748E-2" top="1.338582677165354" bottom="0.74803149606299213" header="0.31496062992125978" footer="0.31496062992125978"/>
  <pageSetup paperSize="8" scale="76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1"/>
  <sheetViews>
    <sheetView workbookViewId="0">
      <selection sqref="A1:C16"/>
    </sheetView>
  </sheetViews>
  <sheetFormatPr baseColWidth="10" defaultRowHeight="14.4" x14ac:dyDescent="0.3"/>
  <cols>
    <col min="1" max="1" width="28.109375" bestFit="1" customWidth="1"/>
    <col min="2" max="2" width="16.6640625" hidden="1" customWidth="1"/>
    <col min="3" max="3" width="48.33203125" bestFit="1" customWidth="1"/>
  </cols>
  <sheetData>
    <row r="1" spans="1:3" ht="19.95" customHeight="1" x14ac:dyDescent="0.3">
      <c r="A1" s="84" t="s">
        <v>81</v>
      </c>
      <c r="B1" s="84"/>
      <c r="C1" s="84" t="s">
        <v>82</v>
      </c>
    </row>
    <row r="2" spans="1:3" ht="19.95" customHeight="1" x14ac:dyDescent="0.3">
      <c r="A2" s="84" t="s">
        <v>83</v>
      </c>
      <c r="B2" s="84" t="s">
        <v>84</v>
      </c>
      <c r="C2" s="84" t="str">
        <f t="shared" ref="C2:C18" si="0">"https://dtb-asv.github.io/asv-neufeld/"&amp;B2</f>
        <v>https://dtb-asv.github.io/asv-neufeld/alle_spiele.ics</v>
      </c>
    </row>
    <row r="3" spans="1:3" ht="19.95" customHeight="1" x14ac:dyDescent="0.3">
      <c r="A3" s="84" t="s">
        <v>85</v>
      </c>
      <c r="B3" s="84" t="s">
        <v>86</v>
      </c>
      <c r="C3" s="84" t="str">
        <f t="shared" si="0"/>
        <v>https://dtb-asv.github.io/asv-neufeld/heimspiele.ics</v>
      </c>
    </row>
    <row r="4" spans="1:3" ht="19.95" customHeight="1" x14ac:dyDescent="0.3">
      <c r="A4" s="84" t="s">
        <v>87</v>
      </c>
      <c r="B4" s="84" t="s">
        <v>88</v>
      </c>
      <c r="C4" s="84" t="str">
        <f t="shared" si="0"/>
        <v>https://dtb-asv.github.io/asv-neufeld/auswaertsspiele.ics</v>
      </c>
    </row>
    <row r="5" spans="1:3" ht="19.95" customHeight="1" x14ac:dyDescent="0.3">
      <c r="A5" s="84" t="s">
        <v>89</v>
      </c>
      <c r="B5" s="84" t="s">
        <v>90</v>
      </c>
      <c r="C5" s="84" t="str">
        <f t="shared" si="0"/>
        <v>https://dtb-asv.github.io/asv-neufeld/KM.ics</v>
      </c>
    </row>
    <row r="6" spans="1:3" ht="19.95" customHeight="1" x14ac:dyDescent="0.3">
      <c r="A6" s="84" t="s">
        <v>91</v>
      </c>
      <c r="B6" s="84" t="s">
        <v>92</v>
      </c>
      <c r="C6" s="84" t="str">
        <f t="shared" si="0"/>
        <v>https://dtb-asv.github.io/asv-neufeld/U23.ics</v>
      </c>
    </row>
    <row r="7" spans="1:3" ht="19.95" customHeight="1" x14ac:dyDescent="0.3">
      <c r="A7" s="84" t="s">
        <v>93</v>
      </c>
      <c r="B7" s="84" t="s">
        <v>94</v>
      </c>
      <c r="C7" s="84" t="str">
        <f t="shared" si="0"/>
        <v>https://dtb-asv.github.io/asv-neufeld/U16.ics</v>
      </c>
    </row>
    <row r="8" spans="1:3" ht="19.95" customHeight="1" x14ac:dyDescent="0.3">
      <c r="A8" s="84" t="s">
        <v>95</v>
      </c>
      <c r="B8" s="84" t="s">
        <v>96</v>
      </c>
      <c r="C8" s="84" t="str">
        <f t="shared" si="0"/>
        <v>https://dtb-asv.github.io/asv-neufeld/U15.ics</v>
      </c>
    </row>
    <row r="9" spans="1:3" ht="19.95" customHeight="1" x14ac:dyDescent="0.3">
      <c r="A9" s="84" t="s">
        <v>97</v>
      </c>
      <c r="B9" s="84" t="s">
        <v>98</v>
      </c>
      <c r="C9" s="84" t="str">
        <f t="shared" si="0"/>
        <v>https://dtb-asv.github.io/asv-neufeld/U14.ics</v>
      </c>
    </row>
    <row r="10" spans="1:3" ht="19.95" customHeight="1" x14ac:dyDescent="0.3">
      <c r="A10" s="84" t="s">
        <v>99</v>
      </c>
      <c r="B10" s="84" t="s">
        <v>100</v>
      </c>
      <c r="C10" s="84" t="str">
        <f t="shared" si="0"/>
        <v>https://dtb-asv.github.io/asv-neufeld/U13.ics</v>
      </c>
    </row>
    <row r="11" spans="1:3" ht="19.95" customHeight="1" x14ac:dyDescent="0.3">
      <c r="A11" s="84" t="s">
        <v>101</v>
      </c>
      <c r="B11" s="84" t="s">
        <v>102</v>
      </c>
      <c r="C11" s="84" t="str">
        <f t="shared" si="0"/>
        <v>https://dtb-asv.github.io/asv-neufeld/U12.ics</v>
      </c>
    </row>
    <row r="12" spans="1:3" ht="19.95" customHeight="1" x14ac:dyDescent="0.3">
      <c r="A12" s="84" t="s">
        <v>103</v>
      </c>
      <c r="B12" s="84" t="s">
        <v>104</v>
      </c>
      <c r="C12" s="84" t="str">
        <f t="shared" si="0"/>
        <v>https://dtb-asv.github.io/asv-neufeld/U11.ics</v>
      </c>
    </row>
    <row r="13" spans="1:3" ht="19.95" customHeight="1" x14ac:dyDescent="0.3">
      <c r="A13" s="84" t="s">
        <v>105</v>
      </c>
      <c r="B13" s="84" t="s">
        <v>106</v>
      </c>
      <c r="C13" s="84" t="str">
        <f t="shared" si="0"/>
        <v>https://dtb-asv.github.io/asv-neufeld/U10.ics</v>
      </c>
    </row>
    <row r="14" spans="1:3" ht="19.95" customHeight="1" x14ac:dyDescent="0.3">
      <c r="A14" s="84" t="s">
        <v>107</v>
      </c>
      <c r="B14" s="84" t="s">
        <v>108</v>
      </c>
      <c r="C14" s="84" t="str">
        <f t="shared" si="0"/>
        <v>https://dtb-asv.github.io/asv-neufeld/U9.ics</v>
      </c>
    </row>
    <row r="15" spans="1:3" ht="19.95" customHeight="1" x14ac:dyDescent="0.3">
      <c r="A15" s="84" t="s">
        <v>109</v>
      </c>
      <c r="B15" s="84" t="s">
        <v>110</v>
      </c>
      <c r="C15" s="84" t="str">
        <f t="shared" si="0"/>
        <v>https://dtb-asv.github.io/asv-neufeld/ U8.ics</v>
      </c>
    </row>
    <row r="16" spans="1:3" ht="19.95" customHeight="1" x14ac:dyDescent="0.3">
      <c r="A16" s="84" t="s">
        <v>111</v>
      </c>
      <c r="B16" s="84" t="s">
        <v>112</v>
      </c>
      <c r="C16" s="84" t="str">
        <f t="shared" si="0"/>
        <v>https://dtb-asv.github.io/asv-neufeld/ U7.ics</v>
      </c>
    </row>
    <row r="17" spans="2:3" x14ac:dyDescent="0.3">
      <c r="B17" t="s">
        <v>113</v>
      </c>
      <c r="C17" t="str">
        <f t="shared" si="0"/>
        <v>https://dtb-asv.github.io/asv-neufeld/ Camp.ics</v>
      </c>
    </row>
    <row r="18" spans="2:3" x14ac:dyDescent="0.3">
      <c r="B18" t="s">
        <v>114</v>
      </c>
      <c r="C18" t="str">
        <f t="shared" si="0"/>
        <v>https://dtb-asv.github.io/asv-neufeld/ GGG.ics</v>
      </c>
    </row>
    <row r="21" spans="2:3" x14ac:dyDescent="0.3">
      <c r="B21" s="83"/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9"/>
  <sheetViews>
    <sheetView workbookViewId="0">
      <selection activeCell="G21" sqref="G21"/>
    </sheetView>
  </sheetViews>
  <sheetFormatPr baseColWidth="10" defaultRowHeight="14.4" x14ac:dyDescent="0.3"/>
  <cols>
    <col min="1" max="1" width="21.109375" customWidth="1"/>
    <col min="2" max="2" width="20.88671875" customWidth="1"/>
    <col min="3" max="4" width="13" bestFit="1" customWidth="1"/>
    <col min="5" max="5" width="13.44140625" bestFit="1" customWidth="1"/>
    <col min="6" max="6" width="14.109375" bestFit="1" customWidth="1"/>
    <col min="7" max="7" width="14.33203125" bestFit="1" customWidth="1"/>
    <col min="8" max="8" width="13" bestFit="1" customWidth="1"/>
    <col min="9" max="9" width="19.5546875" customWidth="1"/>
  </cols>
  <sheetData>
    <row r="1" spans="1:10" ht="18.600000000000001" customHeight="1" thickBot="1" x14ac:dyDescent="0.4">
      <c r="A1" s="136" t="s">
        <v>115</v>
      </c>
      <c r="B1" s="137"/>
      <c r="C1" s="137"/>
      <c r="D1" s="137"/>
      <c r="E1" s="137"/>
      <c r="F1" s="137"/>
      <c r="G1" s="137"/>
      <c r="H1" s="137"/>
    </row>
    <row r="2" spans="1:10" ht="31.95" customHeight="1" thickTop="1" x14ac:dyDescent="0.3">
      <c r="A2" s="32" t="s">
        <v>116</v>
      </c>
      <c r="B2" s="32" t="s">
        <v>117</v>
      </c>
      <c r="C2" s="32" t="s">
        <v>118</v>
      </c>
      <c r="D2" s="32" t="s">
        <v>119</v>
      </c>
      <c r="E2" s="32" t="s">
        <v>120</v>
      </c>
      <c r="F2" s="32" t="s">
        <v>121</v>
      </c>
      <c r="G2" s="32" t="s">
        <v>122</v>
      </c>
      <c r="H2" s="32" t="s">
        <v>123</v>
      </c>
      <c r="I2" s="131" t="s">
        <v>124</v>
      </c>
      <c r="J2" s="39"/>
    </row>
    <row r="3" spans="1:10" ht="31.2" customHeight="1" x14ac:dyDescent="0.35">
      <c r="A3" s="35" t="s">
        <v>125</v>
      </c>
      <c r="B3" s="36" t="s">
        <v>126</v>
      </c>
      <c r="C3" s="60"/>
      <c r="D3" s="60"/>
      <c r="E3" s="61" t="s">
        <v>127</v>
      </c>
      <c r="F3" s="60"/>
      <c r="G3" s="60"/>
      <c r="H3" s="62"/>
      <c r="I3" s="132"/>
      <c r="J3" s="39"/>
    </row>
    <row r="4" spans="1:10" ht="31.2" customHeight="1" x14ac:dyDescent="0.35">
      <c r="A4" s="35" t="s">
        <v>53</v>
      </c>
      <c r="B4" s="36" t="s">
        <v>128</v>
      </c>
      <c r="C4" s="60"/>
      <c r="D4" s="63" t="s">
        <v>129</v>
      </c>
      <c r="E4" s="60"/>
      <c r="F4" s="63" t="s">
        <v>129</v>
      </c>
      <c r="G4" s="60"/>
      <c r="H4" s="62"/>
      <c r="I4" s="132"/>
      <c r="J4" s="39"/>
    </row>
    <row r="5" spans="1:10" ht="31.2" customHeight="1" x14ac:dyDescent="0.35">
      <c r="A5" s="35" t="s">
        <v>52</v>
      </c>
      <c r="B5" s="36" t="s">
        <v>130</v>
      </c>
      <c r="C5" s="61" t="s">
        <v>131</v>
      </c>
      <c r="D5" s="60"/>
      <c r="E5" s="60"/>
      <c r="F5" s="61" t="s">
        <v>132</v>
      </c>
      <c r="G5" s="60"/>
      <c r="H5" s="62"/>
      <c r="I5" s="132"/>
      <c r="J5" s="39"/>
    </row>
    <row r="6" spans="1:10" ht="31.2" customHeight="1" x14ac:dyDescent="0.35">
      <c r="A6" s="35" t="s">
        <v>51</v>
      </c>
      <c r="B6" s="36" t="s">
        <v>133</v>
      </c>
      <c r="C6" s="64"/>
      <c r="D6" s="65" t="s">
        <v>134</v>
      </c>
      <c r="E6" s="64"/>
      <c r="F6" s="65" t="s">
        <v>134</v>
      </c>
      <c r="G6" s="64"/>
      <c r="H6" s="62"/>
      <c r="I6" s="132"/>
      <c r="J6" s="39"/>
    </row>
    <row r="7" spans="1:10" ht="31.2" customHeight="1" x14ac:dyDescent="0.35">
      <c r="A7" s="35" t="s">
        <v>48</v>
      </c>
      <c r="B7" s="36" t="s">
        <v>135</v>
      </c>
      <c r="C7" s="65" t="s">
        <v>134</v>
      </c>
      <c r="D7" s="60"/>
      <c r="E7" s="65" t="s">
        <v>134</v>
      </c>
      <c r="F7" s="60"/>
      <c r="G7" s="65" t="s">
        <v>134</v>
      </c>
      <c r="H7" s="62"/>
      <c r="I7" s="132"/>
      <c r="J7" s="39"/>
    </row>
    <row r="8" spans="1:10" ht="31.2" customHeight="1" x14ac:dyDescent="0.35">
      <c r="A8" s="35" t="s">
        <v>136</v>
      </c>
      <c r="B8" s="36" t="s">
        <v>137</v>
      </c>
      <c r="C8" s="66" t="s">
        <v>134</v>
      </c>
      <c r="D8" s="60"/>
      <c r="E8" s="65" t="s">
        <v>134</v>
      </c>
      <c r="F8" s="64"/>
      <c r="G8" s="61" t="s">
        <v>134</v>
      </c>
      <c r="H8" s="62"/>
      <c r="I8" s="132"/>
      <c r="J8" s="39"/>
    </row>
    <row r="9" spans="1:10" ht="31.5" customHeight="1" x14ac:dyDescent="0.35">
      <c r="A9" s="35" t="s">
        <v>27</v>
      </c>
      <c r="B9" s="36" t="s">
        <v>138</v>
      </c>
      <c r="C9" s="65" t="s">
        <v>134</v>
      </c>
      <c r="D9" s="60"/>
      <c r="E9" s="60"/>
      <c r="F9" s="66" t="s">
        <v>134</v>
      </c>
      <c r="G9" s="65" t="s">
        <v>134</v>
      </c>
      <c r="H9" s="67" t="s">
        <v>139</v>
      </c>
      <c r="I9" s="132"/>
      <c r="J9" s="39"/>
    </row>
    <row r="10" spans="1:10" ht="31.2" customHeight="1" x14ac:dyDescent="0.35">
      <c r="A10" s="33" t="s">
        <v>8</v>
      </c>
      <c r="B10" s="36" t="s">
        <v>140</v>
      </c>
      <c r="C10" s="60"/>
      <c r="D10" s="66" t="s">
        <v>141</v>
      </c>
      <c r="E10" s="60"/>
      <c r="F10" s="65" t="s">
        <v>142</v>
      </c>
      <c r="G10" s="65" t="s">
        <v>141</v>
      </c>
      <c r="H10" s="62"/>
      <c r="I10" s="132"/>
      <c r="J10" s="39"/>
    </row>
    <row r="11" spans="1:10" ht="31.95" customHeight="1" thickBot="1" x14ac:dyDescent="0.4">
      <c r="A11" s="34" t="s">
        <v>12</v>
      </c>
      <c r="B11" s="38" t="s">
        <v>143</v>
      </c>
      <c r="C11" s="60"/>
      <c r="D11" s="68"/>
      <c r="E11" s="69" t="s">
        <v>144</v>
      </c>
      <c r="F11" s="79"/>
      <c r="G11" s="70" t="s">
        <v>145</v>
      </c>
      <c r="H11" s="71"/>
      <c r="I11" s="133"/>
      <c r="J11" s="39"/>
    </row>
    <row r="12" spans="1:10" ht="18.600000000000001" customHeight="1" thickTop="1" x14ac:dyDescent="0.35">
      <c r="A12" s="35" t="s">
        <v>19</v>
      </c>
      <c r="B12" s="37" t="s">
        <v>146</v>
      </c>
      <c r="C12" s="72" t="s">
        <v>147</v>
      </c>
      <c r="D12" s="73"/>
      <c r="E12" s="72" t="s">
        <v>147</v>
      </c>
      <c r="F12" s="72" t="s">
        <v>147</v>
      </c>
      <c r="G12" s="73"/>
      <c r="H12" s="74"/>
    </row>
    <row r="13" spans="1:10" ht="18.600000000000001" customHeight="1" thickBot="1" x14ac:dyDescent="0.4">
      <c r="A13" s="35" t="s">
        <v>13</v>
      </c>
      <c r="B13" s="38" t="s">
        <v>148</v>
      </c>
      <c r="C13" s="75" t="s">
        <v>147</v>
      </c>
      <c r="D13" s="68"/>
      <c r="E13" s="75" t="s">
        <v>147</v>
      </c>
      <c r="F13" s="75" t="s">
        <v>147</v>
      </c>
      <c r="G13" s="68"/>
      <c r="H13" s="71"/>
    </row>
    <row r="14" spans="1:10" ht="19.2" customHeight="1" thickTop="1" thickBot="1" x14ac:dyDescent="0.4">
      <c r="A14" s="35" t="s">
        <v>149</v>
      </c>
      <c r="B14" s="35"/>
      <c r="C14" s="76"/>
      <c r="D14" s="77" t="s">
        <v>147</v>
      </c>
      <c r="E14" s="76"/>
      <c r="F14" s="76"/>
      <c r="G14" s="76"/>
      <c r="H14" s="78"/>
    </row>
    <row r="15" spans="1:10" ht="16.95" customHeight="1" thickTop="1" thickBot="1" x14ac:dyDescent="0.35">
      <c r="A15" s="134" t="s">
        <v>150</v>
      </c>
      <c r="B15" s="129"/>
      <c r="C15" s="129"/>
      <c r="D15" s="129"/>
      <c r="E15" s="129"/>
      <c r="F15" s="129"/>
      <c r="G15" s="129"/>
      <c r="H15" s="130"/>
    </row>
    <row r="16" spans="1:10" ht="16.95" customHeight="1" thickTop="1" thickBot="1" x14ac:dyDescent="0.35">
      <c r="A16" s="135" t="s">
        <v>151</v>
      </c>
      <c r="B16" s="129"/>
      <c r="C16" s="129"/>
      <c r="D16" s="129"/>
      <c r="E16" s="129"/>
      <c r="F16" s="129"/>
      <c r="G16" s="129"/>
      <c r="H16" s="130"/>
    </row>
    <row r="17" spans="1:8" ht="16.95" customHeight="1" thickTop="1" thickBot="1" x14ac:dyDescent="0.35">
      <c r="A17" s="138" t="s">
        <v>152</v>
      </c>
      <c r="B17" s="129"/>
      <c r="C17" s="129"/>
      <c r="D17" s="129"/>
      <c r="E17" s="129"/>
      <c r="F17" s="129"/>
      <c r="G17" s="129"/>
      <c r="H17" s="130"/>
    </row>
    <row r="18" spans="1:8" ht="16.95" customHeight="1" thickTop="1" thickBot="1" x14ac:dyDescent="0.35">
      <c r="A18" s="128" t="s">
        <v>153</v>
      </c>
      <c r="B18" s="129"/>
      <c r="C18" s="129"/>
      <c r="D18" s="129"/>
      <c r="E18" s="129"/>
      <c r="F18" s="129"/>
      <c r="G18" s="129"/>
      <c r="H18" s="130"/>
    </row>
    <row r="19" spans="1:8" ht="15" customHeight="1" thickTop="1" x14ac:dyDescent="0.3"/>
  </sheetData>
  <mergeCells count="6">
    <mergeCell ref="A18:H18"/>
    <mergeCell ref="I2:I11"/>
    <mergeCell ref="A15:H15"/>
    <mergeCell ref="A16:H16"/>
    <mergeCell ref="A1:H1"/>
    <mergeCell ref="A17:H17"/>
  </mergeCells>
  <pageMargins left="0.23622047244094491" right="0.23622047244094491" top="0.15748031496062989" bottom="0.19685039370078741" header="0.31496062992125978" footer="0.31496062992125978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H84"/>
  <sheetViews>
    <sheetView workbookViewId="0">
      <selection activeCell="E81" sqref="E81"/>
    </sheetView>
  </sheetViews>
  <sheetFormatPr baseColWidth="10" defaultRowHeight="14.4" x14ac:dyDescent="0.3"/>
  <cols>
    <col min="1" max="1" width="25.33203125" bestFit="1" customWidth="1"/>
    <col min="2" max="2" width="11.33203125" bestFit="1" customWidth="1"/>
    <col min="3" max="3" width="15.88671875" bestFit="1" customWidth="1"/>
    <col min="4" max="4" width="27" style="45" bestFit="1" customWidth="1"/>
    <col min="5" max="5" width="27" style="94" customWidth="1"/>
    <col min="6" max="6" width="17.109375" bestFit="1" customWidth="1"/>
    <col min="7" max="7" width="21.5546875" bestFit="1" customWidth="1"/>
    <col min="8" max="8" width="18.44140625" bestFit="1" customWidth="1"/>
  </cols>
  <sheetData>
    <row r="1" spans="1:8" x14ac:dyDescent="0.3">
      <c r="A1" s="54" t="str">
        <f>'Nach Mannschaften sortiert'!A1</f>
        <v>fortlaufende Nummer</v>
      </c>
      <c r="B1" s="54" t="str">
        <f>'Nach Mannschaften sortiert'!B1</f>
        <v>Runde</v>
      </c>
      <c r="C1" s="54" t="str">
        <f>'Nach Mannschaften sortiert'!C1</f>
        <v>Mannschaft</v>
      </c>
      <c r="D1" s="55" t="str">
        <f>'Nach Mannschaften sortiert'!D1</f>
        <v>fixierter Termin</v>
      </c>
      <c r="E1" s="95" t="str">
        <f>'Nach Mannschaften sortiert'!E1</f>
        <v>fixierte Uhrzeit</v>
      </c>
      <c r="F1" s="54" t="str">
        <f>'Nach Mannschaften sortiert'!F1</f>
        <v>Ort</v>
      </c>
      <c r="G1" s="54" t="str">
        <f>'Nach Mannschaften sortiert'!G1</f>
        <v>Gegner</v>
      </c>
      <c r="H1" s="54" t="str">
        <f>'Nach Mannschaften sortiert'!H1</f>
        <v>Auswärt/Heim</v>
      </c>
    </row>
    <row r="2" spans="1:8" hidden="1" x14ac:dyDescent="0.3">
      <c r="A2" s="54">
        <f>'Nach Mannschaften sortiert'!A23</f>
        <v>22</v>
      </c>
      <c r="B2" s="54">
        <f>'Nach Mannschaften sortiert'!B23</f>
        <v>1</v>
      </c>
      <c r="C2" s="54" t="str">
        <f>'Nach Mannschaften sortiert'!C23</f>
        <v>KM</v>
      </c>
      <c r="D2" s="55">
        <f>'Nach Mannschaften sortiert'!D23</f>
        <v>46250</v>
      </c>
      <c r="E2" s="95">
        <f>'Nach Mannschaften sortiert'!E23</f>
        <v>0.72916666666666663</v>
      </c>
      <c r="F2" s="54" t="str">
        <f>'Nach Mannschaften sortiert'!F23</f>
        <v>Kittsee</v>
      </c>
      <c r="G2" s="54" t="str">
        <f>'Nach Mannschaften sortiert'!G23</f>
        <v>Kittsee</v>
      </c>
      <c r="H2" s="54" t="str">
        <f>'Nach Mannschaften sortiert'!H23</f>
        <v>Auswärts</v>
      </c>
    </row>
    <row r="3" spans="1:8" x14ac:dyDescent="0.3">
      <c r="A3" s="54">
        <f>'Nach Mannschaften sortiert'!A24</f>
        <v>23</v>
      </c>
      <c r="B3" s="54">
        <f>'Nach Mannschaften sortiert'!B24</f>
        <v>2</v>
      </c>
      <c r="C3" s="54" t="str">
        <f>'Nach Mannschaften sortiert'!C24</f>
        <v>KM</v>
      </c>
      <c r="D3" s="55">
        <f>'Nach Mannschaften sortiert'!D24</f>
        <v>46255</v>
      </c>
      <c r="E3" s="95">
        <f>'Nach Mannschaften sortiert'!E24</f>
        <v>0.83333333333333337</v>
      </c>
      <c r="F3" s="54" t="str">
        <f>'Nach Mannschaften sortiert'!F24</f>
        <v>Deutsch Jahrndorf</v>
      </c>
      <c r="G3" s="54" t="str">
        <f>'Nach Mannschaften sortiert'!G24</f>
        <v>Deutsch Jahrndorf</v>
      </c>
      <c r="H3" s="54" t="str">
        <f>'Nach Mannschaften sortiert'!H24</f>
        <v>Auswärts</v>
      </c>
    </row>
    <row r="4" spans="1:8" hidden="1" x14ac:dyDescent="0.3">
      <c r="A4" s="54">
        <f>'Nach Mannschaften sortiert'!A25</f>
        <v>24</v>
      </c>
      <c r="B4" s="54">
        <f>'Nach Mannschaften sortiert'!B25</f>
        <v>3</v>
      </c>
      <c r="C4" s="54" t="str">
        <f>'Nach Mannschaften sortiert'!C25</f>
        <v>KM</v>
      </c>
      <c r="D4" s="55">
        <f>'Nach Mannschaften sortiert'!D25</f>
        <v>46263</v>
      </c>
      <c r="E4" s="95">
        <f>'Nach Mannschaften sortiert'!E25</f>
        <v>0.75</v>
      </c>
      <c r="F4" s="54" t="str">
        <f>'Nach Mannschaften sortiert'!F25</f>
        <v>Neufeld</v>
      </c>
      <c r="G4" s="54" t="str">
        <f>'Nach Mannschaften sortiert'!G25</f>
        <v>Tadten</v>
      </c>
      <c r="H4" s="54" t="str">
        <f>'Nach Mannschaften sortiert'!H25</f>
        <v>Heim</v>
      </c>
    </row>
    <row r="5" spans="1:8" x14ac:dyDescent="0.3">
      <c r="A5" s="54">
        <f>'Nach Mannschaften sortiert'!A60</f>
        <v>59</v>
      </c>
      <c r="B5" s="54">
        <f>'Nach Mannschaften sortiert'!B60</f>
        <v>1</v>
      </c>
      <c r="C5" s="54" t="str">
        <f>'Nach Mannschaften sortiert'!C60</f>
        <v>U14</v>
      </c>
      <c r="D5" s="55">
        <f>'Nach Mannschaften sortiert'!D60</f>
        <v>46270</v>
      </c>
      <c r="E5" s="95">
        <f>'Nach Mannschaften sortiert'!E60</f>
        <v>0.4375</v>
      </c>
      <c r="F5" s="54" t="str">
        <f>'Nach Mannschaften sortiert'!F60</f>
        <v>Großhöflein</v>
      </c>
      <c r="G5" s="54" t="str">
        <f>'Nach Mannschaften sortiert'!G60</f>
        <v>St. Georgen/Eisenstadt</v>
      </c>
      <c r="H5" s="54" t="str">
        <f>'Nach Mannschaften sortiert'!H60</f>
        <v>Heim</v>
      </c>
    </row>
    <row r="6" spans="1:8" hidden="1" x14ac:dyDescent="0.3">
      <c r="A6" s="54">
        <f>'Nach Mannschaften sortiert'!A27</f>
        <v>26</v>
      </c>
      <c r="B6" s="54">
        <f>'Nach Mannschaften sortiert'!B27</f>
        <v>5</v>
      </c>
      <c r="C6" s="54" t="str">
        <f>'Nach Mannschaften sortiert'!C27</f>
        <v>KM</v>
      </c>
      <c r="D6" s="55">
        <f>'Nach Mannschaften sortiert'!D27</f>
        <v>46276</v>
      </c>
      <c r="E6" s="95">
        <f>'Nach Mannschaften sortiert'!E27</f>
        <v>0.8125</v>
      </c>
      <c r="F6" s="54" t="str">
        <f>'Nach Mannschaften sortiert'!F27</f>
        <v>Neufeld</v>
      </c>
      <c r="G6" s="54" t="str">
        <f>'Nach Mannschaften sortiert'!G27</f>
        <v>Winden</v>
      </c>
      <c r="H6" s="54" t="str">
        <f>'Nach Mannschaften sortiert'!H27</f>
        <v>Heim</v>
      </c>
    </row>
    <row r="7" spans="1:8" x14ac:dyDescent="0.3">
      <c r="A7" s="54">
        <f>'Nach Mannschaften sortiert'!A69</f>
        <v>68</v>
      </c>
      <c r="B7" s="54">
        <f>'Nach Mannschaften sortiert'!B69</f>
        <v>1</v>
      </c>
      <c r="C7" s="54" t="str">
        <f>'Nach Mannschaften sortiert'!C69</f>
        <v>U12_1</v>
      </c>
      <c r="D7" s="55">
        <f>'Nach Mannschaften sortiert'!D69</f>
        <v>46270</v>
      </c>
      <c r="E7" s="95">
        <f>'Nach Mannschaften sortiert'!E69</f>
        <v>0.58333333333333337</v>
      </c>
      <c r="F7" s="54" t="str">
        <f>'Nach Mannschaften sortiert'!F69</f>
        <v>Steinbrunn</v>
      </c>
      <c r="G7" s="54" t="str">
        <f>'Nach Mannschaften sortiert'!G69</f>
        <v>Stotzing</v>
      </c>
      <c r="H7" s="54" t="str">
        <f>'Nach Mannschaften sortiert'!H69</f>
        <v>Heim</v>
      </c>
    </row>
    <row r="8" spans="1:8" hidden="1" x14ac:dyDescent="0.3">
      <c r="A8" s="54">
        <f>'Nach Mannschaften sortiert'!A29</f>
        <v>28</v>
      </c>
      <c r="B8" s="54">
        <f>'Nach Mannschaften sortiert'!B29</f>
        <v>7</v>
      </c>
      <c r="C8" s="54" t="str">
        <f>'Nach Mannschaften sortiert'!C29</f>
        <v>KM</v>
      </c>
      <c r="D8" s="55">
        <f>'Nach Mannschaften sortiert'!D29</f>
        <v>46291</v>
      </c>
      <c r="E8" s="95">
        <f>'Nach Mannschaften sortiert'!E29</f>
        <v>0.75</v>
      </c>
      <c r="F8" s="54" t="str">
        <f>'Nach Mannschaften sortiert'!F29</f>
        <v>Neufeld</v>
      </c>
      <c r="G8" s="54" t="str">
        <f>'Nach Mannschaften sortiert'!G29</f>
        <v>Wallern</v>
      </c>
      <c r="H8" s="54" t="str">
        <f>'Nach Mannschaften sortiert'!H29</f>
        <v>Heim</v>
      </c>
    </row>
    <row r="9" spans="1:8" x14ac:dyDescent="0.3">
      <c r="A9" s="52">
        <f>'Nach Mannschaften sortiert'!A123</f>
        <v>122</v>
      </c>
      <c r="B9" s="52">
        <f>'Nach Mannschaften sortiert'!B123</f>
        <v>1</v>
      </c>
      <c r="C9" s="52" t="str">
        <f>'Nach Mannschaften sortiert'!C124</f>
        <v>Camp</v>
      </c>
      <c r="D9" s="53">
        <f>'Nach Mannschaften sortiert'!D123</f>
        <v>46230</v>
      </c>
      <c r="E9" s="96">
        <f>'Nach Mannschaften sortiert'!E123</f>
        <v>0.375</v>
      </c>
      <c r="F9" s="52" t="str">
        <f>'Nach Mannschaften sortiert'!F123</f>
        <v>Neufeld</v>
      </c>
      <c r="G9" s="52" t="str">
        <f>'Nach Mannschaften sortiert'!G123</f>
        <v>REAL MADRID CAMP</v>
      </c>
      <c r="H9" s="52" t="str">
        <f>'Nach Mannschaften sortiert'!H123</f>
        <v>Heim</v>
      </c>
    </row>
    <row r="10" spans="1:8" hidden="1" x14ac:dyDescent="0.3">
      <c r="A10" s="54">
        <f>'Nach Mannschaften sortiert'!A31</f>
        <v>30</v>
      </c>
      <c r="B10" s="54">
        <f>'Nach Mannschaften sortiert'!B31</f>
        <v>9</v>
      </c>
      <c r="C10" s="54" t="str">
        <f>'Nach Mannschaften sortiert'!C31</f>
        <v>KM</v>
      </c>
      <c r="D10" s="55">
        <f>'Nach Mannschaften sortiert'!D31</f>
        <v>46304</v>
      </c>
      <c r="E10" s="95">
        <f>'Nach Mannschaften sortiert'!E31</f>
        <v>0.8125</v>
      </c>
      <c r="F10" s="54" t="str">
        <f>'Nach Mannschaften sortiert'!F31</f>
        <v>Neufeld</v>
      </c>
      <c r="G10" s="54" t="str">
        <f>'Nach Mannschaften sortiert'!G31</f>
        <v>Wimpassing</v>
      </c>
      <c r="H10" s="54" t="str">
        <f>'Nach Mannschaften sortiert'!H31</f>
        <v>Heim</v>
      </c>
    </row>
    <row r="11" spans="1:8" x14ac:dyDescent="0.3">
      <c r="A11" s="52">
        <f>'Nach Mannschaften sortiert'!A124</f>
        <v>123</v>
      </c>
      <c r="B11" s="52">
        <f>'Nach Mannschaften sortiert'!B124</f>
        <v>2</v>
      </c>
      <c r="C11" s="52" t="str">
        <f>'Nach Mannschaften sortiert'!C125</f>
        <v>Camp</v>
      </c>
      <c r="D11" s="53">
        <f>'Nach Mannschaften sortiert'!D124</f>
        <v>46231</v>
      </c>
      <c r="E11" s="96">
        <f>'Nach Mannschaften sortiert'!E124</f>
        <v>0.375</v>
      </c>
      <c r="F11" s="52" t="str">
        <f>'Nach Mannschaften sortiert'!F124</f>
        <v>Neufeld</v>
      </c>
      <c r="G11" s="52" t="str">
        <f>'Nach Mannschaften sortiert'!G124</f>
        <v>REAL MADRID CAMP</v>
      </c>
      <c r="H11" s="52" t="str">
        <f>'Nach Mannschaften sortiert'!H124</f>
        <v>Heim</v>
      </c>
    </row>
    <row r="12" spans="1:8" hidden="1" x14ac:dyDescent="0.3">
      <c r="A12" s="54">
        <f>'Nach Mannschaften sortiert'!A33</f>
        <v>32</v>
      </c>
      <c r="B12" s="54">
        <f>'Nach Mannschaften sortiert'!B33</f>
        <v>11</v>
      </c>
      <c r="C12" s="54" t="str">
        <f>'Nach Mannschaften sortiert'!C33</f>
        <v>KM</v>
      </c>
      <c r="D12" s="55">
        <f>'Nach Mannschaften sortiert'!D33</f>
        <v>46318</v>
      </c>
      <c r="E12" s="95">
        <f>'Nach Mannschaften sortiert'!E33</f>
        <v>0.8125</v>
      </c>
      <c r="F12" s="54" t="str">
        <f>'Nach Mannschaften sortiert'!F33</f>
        <v>Neufeld</v>
      </c>
      <c r="G12" s="54" t="str">
        <f>'Nach Mannschaften sortiert'!G33</f>
        <v>Gols</v>
      </c>
      <c r="H12" s="54" t="str">
        <f>'Nach Mannschaften sortiert'!H33</f>
        <v>Heim</v>
      </c>
    </row>
    <row r="13" spans="1:8" hidden="1" x14ac:dyDescent="0.3">
      <c r="A13" s="54">
        <f>'Nach Mannschaften sortiert'!A34</f>
        <v>33</v>
      </c>
      <c r="B13" s="54">
        <f>'Nach Mannschaften sortiert'!B34</f>
        <v>12</v>
      </c>
      <c r="C13" s="54" t="str">
        <f>'Nach Mannschaften sortiert'!C34</f>
        <v>KM</v>
      </c>
      <c r="D13" s="55">
        <f>'Nach Mannschaften sortiert'!D34</f>
        <v>46326</v>
      </c>
      <c r="E13" s="95">
        <f>'Nach Mannschaften sortiert'!E34</f>
        <v>0.75</v>
      </c>
      <c r="F13" s="54" t="str">
        <f>'Nach Mannschaften sortiert'!F34</f>
        <v>Illmitz</v>
      </c>
      <c r="G13" s="54" t="str">
        <f>'Nach Mannschaften sortiert'!G34</f>
        <v>Illmitz</v>
      </c>
      <c r="H13" s="54" t="str">
        <f>'Nach Mannschaften sortiert'!H34</f>
        <v>Auswärts</v>
      </c>
    </row>
    <row r="14" spans="1:8" x14ac:dyDescent="0.3">
      <c r="A14" s="52">
        <f>'Nach Mannschaften sortiert'!A125</f>
        <v>124</v>
      </c>
      <c r="B14" s="52">
        <f>'Nach Mannschaften sortiert'!B125</f>
        <v>3</v>
      </c>
      <c r="C14" s="52" t="str">
        <f>'Nach Mannschaften sortiert'!C126</f>
        <v>Camp</v>
      </c>
      <c r="D14" s="53">
        <f>'Nach Mannschaften sortiert'!D125</f>
        <v>46232</v>
      </c>
      <c r="E14" s="96">
        <f>'Nach Mannschaften sortiert'!E125</f>
        <v>0.375</v>
      </c>
      <c r="F14" s="52" t="str">
        <f>'Nach Mannschaften sortiert'!F125</f>
        <v>Neufeld</v>
      </c>
      <c r="G14" s="52" t="str">
        <f>'Nach Mannschaften sortiert'!G125</f>
        <v>REAL MADRID CAMP</v>
      </c>
      <c r="H14" s="52" t="str">
        <f>'Nach Mannschaften sortiert'!H125</f>
        <v>Heim</v>
      </c>
    </row>
    <row r="15" spans="1:8" hidden="1" x14ac:dyDescent="0.3">
      <c r="A15" s="54">
        <f>'Nach Mannschaften sortiert'!A49</f>
        <v>48</v>
      </c>
      <c r="B15" s="54">
        <f>'Nach Mannschaften sortiert'!B49</f>
        <v>1</v>
      </c>
      <c r="C15" s="54" t="str">
        <f>'Nach Mannschaften sortiert'!C49</f>
        <v>U16</v>
      </c>
      <c r="D15" s="55">
        <f>'Nach Mannschaften sortiert'!D49</f>
        <v>46271</v>
      </c>
      <c r="E15" s="95">
        <f>'Nach Mannschaften sortiert'!E49</f>
        <v>0</v>
      </c>
      <c r="F15" s="54">
        <f>'Nach Mannschaften sortiert'!F49</f>
        <v>0</v>
      </c>
      <c r="G15" s="54" t="str">
        <f>'Nach Mannschaften sortiert'!G49</f>
        <v>Spielfrei</v>
      </c>
      <c r="H15" s="54">
        <f>'Nach Mannschaften sortiert'!H49</f>
        <v>0</v>
      </c>
    </row>
    <row r="16" spans="1:8" hidden="1" x14ac:dyDescent="0.3">
      <c r="A16" s="48">
        <f>'Nach Mannschaften sortiert'!A50</f>
        <v>49</v>
      </c>
      <c r="B16" s="48">
        <f>'Nach Mannschaften sortiert'!B50</f>
        <v>2</v>
      </c>
      <c r="C16" s="48" t="str">
        <f>'Nach Mannschaften sortiert'!C50</f>
        <v>U16</v>
      </c>
      <c r="D16" s="49">
        <f>'Nach Mannschaften sortiert'!D50</f>
        <v>46277</v>
      </c>
      <c r="E16" s="97">
        <f>'Nach Mannschaften sortiert'!E50</f>
        <v>0.52083333333333337</v>
      </c>
      <c r="F16" s="48" t="str">
        <f>'Nach Mannschaften sortiert'!F50</f>
        <v>Gols</v>
      </c>
      <c r="G16" s="48" t="str">
        <f>'Nach Mannschaften sortiert'!G50</f>
        <v>GMWP</v>
      </c>
      <c r="H16" s="48" t="str">
        <f>'Nach Mannschaften sortiert'!H50</f>
        <v>Auswärts</v>
      </c>
    </row>
    <row r="17" spans="1:8" hidden="1" x14ac:dyDescent="0.3">
      <c r="A17" s="54">
        <f>'Nach Mannschaften sortiert'!A51</f>
        <v>50</v>
      </c>
      <c r="B17" s="54">
        <f>'Nach Mannschaften sortiert'!B51</f>
        <v>3</v>
      </c>
      <c r="C17" s="54" t="str">
        <f>'Nach Mannschaften sortiert'!C51</f>
        <v>U16</v>
      </c>
      <c r="D17" s="55">
        <f>'Nach Mannschaften sortiert'!D51</f>
        <v>46284</v>
      </c>
      <c r="E17" s="95">
        <f>'Nach Mannschaften sortiert'!E51</f>
        <v>0.70833333333333337</v>
      </c>
      <c r="F17" s="54" t="str">
        <f>'Nach Mannschaften sortiert'!F51</f>
        <v>Wimpassing</v>
      </c>
      <c r="G17" s="54" t="str">
        <f>'Nach Mannschaften sortiert'!G51</f>
        <v>Eisenstadt</v>
      </c>
      <c r="H17" s="54" t="str">
        <f>'Nach Mannschaften sortiert'!H51</f>
        <v>Heim</v>
      </c>
    </row>
    <row r="18" spans="1:8" x14ac:dyDescent="0.3">
      <c r="A18" s="54">
        <f>'Nach Mannschaften sortiert'!A26</f>
        <v>25</v>
      </c>
      <c r="B18" s="54">
        <f>'Nach Mannschaften sortiert'!B26</f>
        <v>4</v>
      </c>
      <c r="C18" s="54" t="str">
        <f>'Nach Mannschaften sortiert'!C26</f>
        <v>KM</v>
      </c>
      <c r="D18" s="55">
        <f>'Nach Mannschaften sortiert'!D26</f>
        <v>46270</v>
      </c>
      <c r="E18" s="95">
        <f>'Nach Mannschaften sortiert'!E26</f>
        <v>0.6875</v>
      </c>
      <c r="F18" s="54" t="str">
        <f>'Nach Mannschaften sortiert'!F26</f>
        <v>Mönchhof</v>
      </c>
      <c r="G18" s="54" t="str">
        <f>'Nach Mannschaften sortiert'!G26</f>
        <v>Mönchhof</v>
      </c>
      <c r="H18" s="54" t="str">
        <f>'Nach Mannschaften sortiert'!H26</f>
        <v>Auswärts</v>
      </c>
    </row>
    <row r="19" spans="1:8" hidden="1" x14ac:dyDescent="0.3">
      <c r="A19" s="54">
        <f>'Nach Mannschaften sortiert'!A53</f>
        <v>52</v>
      </c>
      <c r="B19" s="54">
        <f>'Nach Mannschaften sortiert'!B53</f>
        <v>5</v>
      </c>
      <c r="C19" s="54" t="str">
        <f>'Nach Mannschaften sortiert'!C53</f>
        <v>U16</v>
      </c>
      <c r="D19" s="55">
        <f>'Nach Mannschaften sortiert'!D53</f>
        <v>46298</v>
      </c>
      <c r="E19" s="95">
        <f>'Nach Mannschaften sortiert'!E53</f>
        <v>0.58333333333333337</v>
      </c>
      <c r="F19" s="54" t="str">
        <f>'Nach Mannschaften sortiert'!F53</f>
        <v>Neufeld</v>
      </c>
      <c r="G19" s="54" t="str">
        <f>'Nach Mannschaften sortiert'!G53</f>
        <v>Neusiedl</v>
      </c>
      <c r="H19" s="54" t="str">
        <f>'Nach Mannschaften sortiert'!H53</f>
        <v>Heim</v>
      </c>
    </row>
    <row r="20" spans="1:8" hidden="1" x14ac:dyDescent="0.3">
      <c r="A20" s="46">
        <f>'Nach Mannschaften sortiert'!A54</f>
        <v>53</v>
      </c>
      <c r="B20" s="46">
        <f>'Nach Mannschaften sortiert'!B54</f>
        <v>6</v>
      </c>
      <c r="C20" s="46" t="str">
        <f>'Nach Mannschaften sortiert'!C54</f>
        <v>U16</v>
      </c>
      <c r="D20" s="47">
        <f>'Nach Mannschaften sortiert'!D54</f>
        <v>46305</v>
      </c>
      <c r="E20" s="98">
        <f>'Nach Mannschaften sortiert'!E54</f>
        <v>0.66666666666666663</v>
      </c>
      <c r="F20" s="46" t="str">
        <f>'Nach Mannschaften sortiert'!F54</f>
        <v>Neufeld</v>
      </c>
      <c r="G20" s="46" t="str">
        <f>'Nach Mannschaften sortiert'!G54</f>
        <v>Parndorf</v>
      </c>
      <c r="H20" s="46" t="str">
        <f>'Nach Mannschaften sortiert'!H54</f>
        <v>Heim</v>
      </c>
    </row>
    <row r="21" spans="1:8" hidden="1" x14ac:dyDescent="0.3">
      <c r="A21" s="54">
        <f>'Nach Mannschaften sortiert'!A55</f>
        <v>54</v>
      </c>
      <c r="B21" s="54">
        <f>'Nach Mannschaften sortiert'!B55</f>
        <v>7</v>
      </c>
      <c r="C21" s="54" t="str">
        <f>'Nach Mannschaften sortiert'!C55</f>
        <v>U16</v>
      </c>
      <c r="D21" s="55">
        <f>'Nach Mannschaften sortiert'!D55</f>
        <v>46311</v>
      </c>
      <c r="E21" s="95">
        <f>'Nach Mannschaften sortiert'!E55</f>
        <v>0.75</v>
      </c>
      <c r="F21" s="54" t="str">
        <f>'Nach Mannschaften sortiert'!F55</f>
        <v>St. Georgen</v>
      </c>
      <c r="G21" s="54" t="str">
        <f>'Nach Mannschaften sortiert'!G55</f>
        <v>St. Georgen/Eisenstadt</v>
      </c>
      <c r="H21" s="54" t="str">
        <f>'Nach Mannschaften sortiert'!H55</f>
        <v>Auswärts</v>
      </c>
    </row>
    <row r="22" spans="1:8" hidden="1" x14ac:dyDescent="0.3">
      <c r="A22" s="48" t="e">
        <f>'Nach Mannschaften sortiert'!#REF!</f>
        <v>#REF!</v>
      </c>
      <c r="B22" s="48" t="e">
        <f>'Nach Mannschaften sortiert'!#REF!</f>
        <v>#REF!</v>
      </c>
      <c r="C22" s="48" t="e">
        <f>'Nach Mannschaften sortiert'!#REF!</f>
        <v>#REF!</v>
      </c>
      <c r="D22" s="49" t="e">
        <f>'Nach Mannschaften sortiert'!#REF!</f>
        <v>#REF!</v>
      </c>
      <c r="E22" s="97" t="e">
        <f>'Nach Mannschaften sortiert'!#REF!</f>
        <v>#REF!</v>
      </c>
      <c r="F22" s="48" t="e">
        <f>'Nach Mannschaften sortiert'!#REF!</f>
        <v>#REF!</v>
      </c>
      <c r="G22" s="48" t="e">
        <f>'Nach Mannschaften sortiert'!#REF!</f>
        <v>#REF!</v>
      </c>
      <c r="H22" s="48" t="e">
        <f>'Nach Mannschaften sortiert'!#REF!</f>
        <v>#REF!</v>
      </c>
    </row>
    <row r="23" spans="1:8" hidden="1" x14ac:dyDescent="0.3">
      <c r="A23" s="54" t="e">
        <f>'Nach Mannschaften sortiert'!#REF!</f>
        <v>#REF!</v>
      </c>
      <c r="B23" s="54" t="e">
        <f>'Nach Mannschaften sortiert'!#REF!</f>
        <v>#REF!</v>
      </c>
      <c r="C23" s="54" t="e">
        <f>'Nach Mannschaften sortiert'!#REF!</f>
        <v>#REF!</v>
      </c>
      <c r="D23" s="55" t="e">
        <f>'Nach Mannschaften sortiert'!#REF!</f>
        <v>#REF!</v>
      </c>
      <c r="E23" s="95" t="e">
        <f>'Nach Mannschaften sortiert'!#REF!</f>
        <v>#REF!</v>
      </c>
      <c r="F23" s="54" t="e">
        <f>'Nach Mannschaften sortiert'!#REF!</f>
        <v>#REF!</v>
      </c>
      <c r="G23" s="54" t="e">
        <f>'Nach Mannschaften sortiert'!#REF!</f>
        <v>#REF!</v>
      </c>
      <c r="H23" s="54" t="e">
        <f>'Nach Mannschaften sortiert'!#REF!</f>
        <v>#REF!</v>
      </c>
    </row>
    <row r="24" spans="1:8" x14ac:dyDescent="0.3">
      <c r="A24" s="50">
        <f>'Nach Mannschaften sortiert'!A103</f>
        <v>102</v>
      </c>
      <c r="B24" s="50">
        <f>'Nach Mannschaften sortiert'!B103</f>
        <v>1</v>
      </c>
      <c r="C24" s="50" t="str">
        <f>'Nach Mannschaften sortiert'!C103</f>
        <v>U9</v>
      </c>
      <c r="D24" s="51">
        <f>'Nach Mannschaften sortiert'!D103</f>
        <v>46289</v>
      </c>
      <c r="E24" s="99">
        <f>'Nach Mannschaften sortiert'!E103</f>
        <v>0.70833333333333337</v>
      </c>
      <c r="F24" s="50" t="str">
        <f>'Nach Mannschaften sortiert'!F103</f>
        <v>Großhöflein</v>
      </c>
      <c r="G24" s="50" t="str">
        <f>'Nach Mannschaften sortiert'!G103</f>
        <v>Großhöflein</v>
      </c>
      <c r="H24" s="50" t="str">
        <f>'Nach Mannschaften sortiert'!H103</f>
        <v>Auswärts</v>
      </c>
    </row>
    <row r="25" spans="1:8" hidden="1" x14ac:dyDescent="0.3">
      <c r="A25" s="54" t="e">
        <f>'Nach Mannschaften sortiert'!#REF!</f>
        <v>#REF!</v>
      </c>
      <c r="B25" s="54" t="e">
        <f>'Nach Mannschaften sortiert'!#REF!</f>
        <v>#REF!</v>
      </c>
      <c r="C25" s="54" t="e">
        <f>'Nach Mannschaften sortiert'!#REF!</f>
        <v>#REF!</v>
      </c>
      <c r="D25" s="55" t="e">
        <f>'Nach Mannschaften sortiert'!#REF!</f>
        <v>#REF!</v>
      </c>
      <c r="E25" s="95" t="e">
        <f>'Nach Mannschaften sortiert'!#REF!</f>
        <v>#REF!</v>
      </c>
      <c r="F25" s="54" t="e">
        <f>'Nach Mannschaften sortiert'!#REF!</f>
        <v>#REF!</v>
      </c>
      <c r="G25" s="54" t="e">
        <f>'Nach Mannschaften sortiert'!#REF!</f>
        <v>#REF!</v>
      </c>
      <c r="H25" s="54" t="e">
        <f>'Nach Mannschaften sortiert'!#REF!</f>
        <v>#REF!</v>
      </c>
    </row>
    <row r="26" spans="1:8" x14ac:dyDescent="0.3">
      <c r="A26" s="50">
        <f>'Nach Mannschaften sortiert'!A113</f>
        <v>112</v>
      </c>
      <c r="B26" s="50">
        <f>'Nach Mannschaften sortiert'!B113</f>
        <v>1</v>
      </c>
      <c r="C26" s="50" t="str">
        <f>'Nach Mannschaften sortiert'!C113</f>
        <v>U8</v>
      </c>
      <c r="D26" s="51">
        <f>'Nach Mannschaften sortiert'!D113</f>
        <v>46312</v>
      </c>
      <c r="E26" s="99">
        <f>'Nach Mannschaften sortiert'!E113</f>
        <v>0.39583333333333331</v>
      </c>
      <c r="F26" s="50" t="str">
        <f>'Nach Mannschaften sortiert'!F113</f>
        <v>Neufeld</v>
      </c>
      <c r="G26" s="50" t="str">
        <f>'Nach Mannschaften sortiert'!G113</f>
        <v>Heimturnier</v>
      </c>
      <c r="H26" s="50" t="str">
        <f>'Nach Mannschaften sortiert'!H113</f>
        <v>Heim</v>
      </c>
    </row>
    <row r="27" spans="1:8" hidden="1" x14ac:dyDescent="0.3">
      <c r="A27" s="48" t="e">
        <f>'Nach Mannschaften sortiert'!#REF!</f>
        <v>#REF!</v>
      </c>
      <c r="B27" s="48" t="e">
        <f>'Nach Mannschaften sortiert'!#REF!</f>
        <v>#REF!</v>
      </c>
      <c r="C27" s="48" t="e">
        <f>'Nach Mannschaften sortiert'!#REF!</f>
        <v>#REF!</v>
      </c>
      <c r="D27" s="49" t="e">
        <f>'Nach Mannschaften sortiert'!#REF!</f>
        <v>#REF!</v>
      </c>
      <c r="E27" s="97" t="e">
        <f>'Nach Mannschaften sortiert'!#REF!</f>
        <v>#REF!</v>
      </c>
      <c r="F27" s="48" t="e">
        <f>'Nach Mannschaften sortiert'!#REF!</f>
        <v>#REF!</v>
      </c>
      <c r="G27" s="48" t="e">
        <f>'Nach Mannschaften sortiert'!#REF!</f>
        <v>#REF!</v>
      </c>
      <c r="H27" s="48" t="e">
        <f>'Nach Mannschaften sortiert'!#REF!</f>
        <v>#REF!</v>
      </c>
    </row>
    <row r="28" spans="1:8" hidden="1" x14ac:dyDescent="0.3">
      <c r="A28" s="54" t="e">
        <f>'Nach Mannschaften sortiert'!#REF!</f>
        <v>#REF!</v>
      </c>
      <c r="B28" s="54" t="e">
        <f>'Nach Mannschaften sortiert'!#REF!</f>
        <v>#REF!</v>
      </c>
      <c r="C28" s="54" t="e">
        <f>'Nach Mannschaften sortiert'!#REF!</f>
        <v>#REF!</v>
      </c>
      <c r="D28" s="55" t="e">
        <f>'Nach Mannschaften sortiert'!#REF!</f>
        <v>#REF!</v>
      </c>
      <c r="E28" s="95" t="e">
        <f>'Nach Mannschaften sortiert'!#REF!</f>
        <v>#REF!</v>
      </c>
      <c r="F28" s="54" t="e">
        <f>'Nach Mannschaften sortiert'!#REF!</f>
        <v>#REF!</v>
      </c>
      <c r="G28" s="54" t="e">
        <f>'Nach Mannschaften sortiert'!#REF!</f>
        <v>#REF!</v>
      </c>
      <c r="H28" s="54" t="e">
        <f>'Nach Mannschaften sortiert'!#REF!</f>
        <v>#REF!</v>
      </c>
    </row>
    <row r="29" spans="1:8" x14ac:dyDescent="0.3">
      <c r="A29" s="50">
        <f>'Nach Mannschaften sortiert'!A118</f>
        <v>117</v>
      </c>
      <c r="B29" s="50">
        <f>'Nach Mannschaften sortiert'!B118</f>
        <v>1</v>
      </c>
      <c r="C29" s="50" t="str">
        <f>'Nach Mannschaften sortiert'!C118</f>
        <v>U7</v>
      </c>
      <c r="D29" s="51">
        <f>'Nach Mannschaften sortiert'!D118</f>
        <v>0</v>
      </c>
      <c r="E29" s="99">
        <f>'Nach Mannschaften sortiert'!E118</f>
        <v>0</v>
      </c>
      <c r="F29" s="50">
        <f>'Nach Mannschaften sortiert'!F118</f>
        <v>0</v>
      </c>
      <c r="G29" s="50">
        <f>'Nach Mannschaften sortiert'!G118</f>
        <v>0</v>
      </c>
      <c r="H29" s="50">
        <f>'Nach Mannschaften sortiert'!H118</f>
        <v>0</v>
      </c>
    </row>
    <row r="30" spans="1:8" hidden="1" x14ac:dyDescent="0.3">
      <c r="A30" s="54" t="e">
        <f>'Nach Mannschaften sortiert'!#REF!</f>
        <v>#REF!</v>
      </c>
      <c r="B30" s="54" t="e">
        <f>'Nach Mannschaften sortiert'!#REF!</f>
        <v>#REF!</v>
      </c>
      <c r="C30" s="54" t="e">
        <f>'Nach Mannschaften sortiert'!#REF!</f>
        <v>#REF!</v>
      </c>
      <c r="D30" s="55" t="e">
        <f>'Nach Mannschaften sortiert'!#REF!</f>
        <v>#REF!</v>
      </c>
      <c r="E30" s="95" t="e">
        <f>'Nach Mannschaften sortiert'!#REF!</f>
        <v>#REF!</v>
      </c>
      <c r="F30" s="54" t="e">
        <f>'Nach Mannschaften sortiert'!#REF!</f>
        <v>#REF!</v>
      </c>
      <c r="G30" s="54" t="e">
        <f>'Nach Mannschaften sortiert'!#REF!</f>
        <v>#REF!</v>
      </c>
      <c r="H30" s="54" t="e">
        <f>'Nach Mannschaften sortiert'!#REF!</f>
        <v>#REF!</v>
      </c>
    </row>
    <row r="31" spans="1:8" hidden="1" x14ac:dyDescent="0.3">
      <c r="A31" s="54" t="e">
        <f>'Nach Mannschaften sortiert'!#REF!</f>
        <v>#REF!</v>
      </c>
      <c r="B31" s="54" t="e">
        <f>'Nach Mannschaften sortiert'!#REF!</f>
        <v>#REF!</v>
      </c>
      <c r="C31" s="54" t="e">
        <f>'Nach Mannschaften sortiert'!#REF!</f>
        <v>#REF!</v>
      </c>
      <c r="D31" s="55" t="e">
        <f>'Nach Mannschaften sortiert'!#REF!</f>
        <v>#REF!</v>
      </c>
      <c r="E31" s="95" t="e">
        <f>'Nach Mannschaften sortiert'!#REF!</f>
        <v>#REF!</v>
      </c>
      <c r="F31" s="54" t="e">
        <f>'Nach Mannschaften sortiert'!#REF!</f>
        <v>#REF!</v>
      </c>
      <c r="G31" s="54" t="e">
        <f>'Nach Mannschaften sortiert'!#REF!</f>
        <v>#REF!</v>
      </c>
      <c r="H31" s="54" t="e">
        <f>'Nach Mannschaften sortiert'!#REF!</f>
        <v>#REF!</v>
      </c>
    </row>
    <row r="32" spans="1:8" hidden="1" x14ac:dyDescent="0.3">
      <c r="A32" s="54" t="e">
        <f>'Nach Mannschaften sortiert'!#REF!</f>
        <v>#REF!</v>
      </c>
      <c r="B32" s="54" t="e">
        <f>'Nach Mannschaften sortiert'!#REF!</f>
        <v>#REF!</v>
      </c>
      <c r="C32" s="54" t="e">
        <f>'Nach Mannschaften sortiert'!#REF!</f>
        <v>#REF!</v>
      </c>
      <c r="D32" s="55" t="e">
        <f>'Nach Mannschaften sortiert'!#REF!</f>
        <v>#REF!</v>
      </c>
      <c r="E32" s="95" t="e">
        <f>'Nach Mannschaften sortiert'!#REF!</f>
        <v>#REF!</v>
      </c>
      <c r="F32" s="54" t="e">
        <f>'Nach Mannschaften sortiert'!#REF!</f>
        <v>#REF!</v>
      </c>
      <c r="G32" s="54" t="e">
        <f>'Nach Mannschaften sortiert'!#REF!</f>
        <v>#REF!</v>
      </c>
      <c r="H32" s="54" t="e">
        <f>'Nach Mannschaften sortiert'!#REF!</f>
        <v>#REF!</v>
      </c>
    </row>
    <row r="33" spans="1:8" hidden="1" x14ac:dyDescent="0.3">
      <c r="A33" s="48" t="e">
        <f>'Nach Mannschaften sortiert'!#REF!</f>
        <v>#REF!</v>
      </c>
      <c r="B33" s="48" t="e">
        <f>'Nach Mannschaften sortiert'!#REF!</f>
        <v>#REF!</v>
      </c>
      <c r="C33" s="48" t="e">
        <f>'Nach Mannschaften sortiert'!#REF!</f>
        <v>#REF!</v>
      </c>
      <c r="D33" s="49" t="e">
        <f>'Nach Mannschaften sortiert'!#REF!</f>
        <v>#REF!</v>
      </c>
      <c r="E33" s="97" t="e">
        <f>'Nach Mannschaften sortiert'!#REF!</f>
        <v>#REF!</v>
      </c>
      <c r="F33" s="48" t="e">
        <f>'Nach Mannschaften sortiert'!#REF!</f>
        <v>#REF!</v>
      </c>
      <c r="G33" s="48" t="e">
        <f>'Nach Mannschaften sortiert'!#REF!</f>
        <v>#REF!</v>
      </c>
      <c r="H33" s="48" t="e">
        <f>'Nach Mannschaften sortiert'!#REF!</f>
        <v>#REF!</v>
      </c>
    </row>
    <row r="34" spans="1:8" hidden="1" x14ac:dyDescent="0.3">
      <c r="A34" s="54" t="e">
        <f>'Nach Mannschaften sortiert'!#REF!</f>
        <v>#REF!</v>
      </c>
      <c r="B34" s="54" t="e">
        <f>'Nach Mannschaften sortiert'!#REF!</f>
        <v>#REF!</v>
      </c>
      <c r="C34" s="54" t="e">
        <f>'Nach Mannschaften sortiert'!#REF!</f>
        <v>#REF!</v>
      </c>
      <c r="D34" s="55" t="e">
        <f>'Nach Mannschaften sortiert'!#REF!</f>
        <v>#REF!</v>
      </c>
      <c r="E34" s="95" t="e">
        <f>'Nach Mannschaften sortiert'!#REF!</f>
        <v>#REF!</v>
      </c>
      <c r="F34" s="54" t="e">
        <f>'Nach Mannschaften sortiert'!#REF!</f>
        <v>#REF!</v>
      </c>
      <c r="G34" s="54" t="e">
        <f>'Nach Mannschaften sortiert'!#REF!</f>
        <v>#REF!</v>
      </c>
      <c r="H34" s="54" t="e">
        <f>'Nach Mannschaften sortiert'!#REF!</f>
        <v>#REF!</v>
      </c>
    </row>
    <row r="35" spans="1:8" x14ac:dyDescent="0.3">
      <c r="A35" s="50">
        <f>'Nach Mannschaften sortiert'!A90</f>
        <v>89</v>
      </c>
      <c r="B35" s="50">
        <f>'Nach Mannschaften sortiert'!B90</f>
        <v>2</v>
      </c>
      <c r="C35" s="50" t="str">
        <f>'Nach Mannschaften sortiert'!C90</f>
        <v>U11</v>
      </c>
      <c r="D35" s="51">
        <f>'Nach Mannschaften sortiert'!D90</f>
        <v>46276</v>
      </c>
      <c r="E35" s="99">
        <f>'Nach Mannschaften sortiert'!E90</f>
        <v>0.77083333333333337</v>
      </c>
      <c r="F35" s="50" t="str">
        <f>'Nach Mannschaften sortiert'!F90</f>
        <v>Hornstein</v>
      </c>
      <c r="G35" s="50" t="str">
        <f>'Nach Mannschaften sortiert'!G90</f>
        <v>Hornstein</v>
      </c>
      <c r="H35" s="50" t="str">
        <f>'Nach Mannschaften sortiert'!H90</f>
        <v>Auswärts</v>
      </c>
    </row>
    <row r="36" spans="1:8" hidden="1" x14ac:dyDescent="0.3">
      <c r="A36" s="54">
        <f>'Nach Mannschaften sortiert'!A61</f>
        <v>60</v>
      </c>
      <c r="B36" s="54">
        <f>'Nach Mannschaften sortiert'!B61</f>
        <v>2</v>
      </c>
      <c r="C36" s="54" t="str">
        <f>'Nach Mannschaften sortiert'!C61</f>
        <v>U14</v>
      </c>
      <c r="D36" s="55">
        <f>'Nach Mannschaften sortiert'!D61</f>
        <v>46288</v>
      </c>
      <c r="E36" s="95">
        <f>'Nach Mannschaften sortiert'!E61</f>
        <v>0.79166666666666663</v>
      </c>
      <c r="F36" s="54" t="str">
        <f>'Nach Mannschaften sortiert'!F61</f>
        <v>Neudörfl</v>
      </c>
      <c r="G36" s="54" t="str">
        <f>'Nach Mannschaften sortiert'!G61</f>
        <v>Neudörfl</v>
      </c>
      <c r="H36" s="54" t="str">
        <f>'Nach Mannschaften sortiert'!H61</f>
        <v>Auswärts</v>
      </c>
    </row>
    <row r="37" spans="1:8" hidden="1" x14ac:dyDescent="0.3">
      <c r="A37" s="54">
        <f>'Nach Mannschaften sortiert'!A62</f>
        <v>61</v>
      </c>
      <c r="B37" s="54">
        <f>'Nach Mannschaften sortiert'!B62</f>
        <v>3</v>
      </c>
      <c r="C37" s="54" t="str">
        <f>'Nach Mannschaften sortiert'!C62</f>
        <v>U14</v>
      </c>
      <c r="D37" s="55">
        <f>'Nach Mannschaften sortiert'!D62</f>
        <v>46284</v>
      </c>
      <c r="E37" s="95">
        <f>'Nach Mannschaften sortiert'!E62</f>
        <v>0.66666666666666663</v>
      </c>
      <c r="F37" s="54" t="str">
        <f>'Nach Mannschaften sortiert'!F62</f>
        <v>Großhöflein</v>
      </c>
      <c r="G37" s="54" t="str">
        <f>'Nach Mannschaften sortiert'!G62</f>
        <v>Parndorf</v>
      </c>
      <c r="H37" s="54" t="str">
        <f>'Nach Mannschaften sortiert'!H62</f>
        <v>Heim</v>
      </c>
    </row>
    <row r="38" spans="1:8" x14ac:dyDescent="0.3">
      <c r="A38" s="48" t="e">
        <f>'Nach Mannschaften sortiert'!#REF!</f>
        <v>#REF!</v>
      </c>
      <c r="B38" s="48" t="e">
        <f>'Nach Mannschaften sortiert'!#REF!</f>
        <v>#REF!</v>
      </c>
      <c r="C38" s="48" t="e">
        <f>'Nach Mannschaften sortiert'!#REF!</f>
        <v>#REF!</v>
      </c>
      <c r="D38" s="49" t="e">
        <f>'Nach Mannschaften sortiert'!#REF!</f>
        <v>#REF!</v>
      </c>
      <c r="E38" s="97" t="e">
        <f>'Nach Mannschaften sortiert'!#REF!</f>
        <v>#REF!</v>
      </c>
      <c r="F38" s="48" t="e">
        <f>'Nach Mannschaften sortiert'!#REF!</f>
        <v>#REF!</v>
      </c>
      <c r="G38" s="48" t="e">
        <f>'Nach Mannschaften sortiert'!#REF!</f>
        <v>#REF!</v>
      </c>
      <c r="H38" s="48" t="e">
        <f>'Nach Mannschaften sortiert'!#REF!</f>
        <v>#REF!</v>
      </c>
    </row>
    <row r="39" spans="1:8" hidden="1" x14ac:dyDescent="0.3">
      <c r="A39" s="54" t="e">
        <f>'Nach Mannschaften sortiert'!#REF!</f>
        <v>#REF!</v>
      </c>
      <c r="B39" s="54" t="e">
        <f>'Nach Mannschaften sortiert'!#REF!</f>
        <v>#REF!</v>
      </c>
      <c r="C39" s="54" t="e">
        <f>'Nach Mannschaften sortiert'!#REF!</f>
        <v>#REF!</v>
      </c>
      <c r="D39" s="55" t="e">
        <f>'Nach Mannschaften sortiert'!#REF!</f>
        <v>#REF!</v>
      </c>
      <c r="E39" s="95" t="e">
        <f>'Nach Mannschaften sortiert'!#REF!</f>
        <v>#REF!</v>
      </c>
      <c r="F39" s="54" t="e">
        <f>'Nach Mannschaften sortiert'!#REF!</f>
        <v>#REF!</v>
      </c>
      <c r="G39" s="54" t="e">
        <f>'Nach Mannschaften sortiert'!#REF!</f>
        <v>#REF!</v>
      </c>
      <c r="H39" s="54" t="e">
        <f>'Nach Mannschaften sortiert'!#REF!</f>
        <v>#REF!</v>
      </c>
    </row>
    <row r="40" spans="1:8" hidden="1" x14ac:dyDescent="0.3">
      <c r="A40" s="54">
        <f>'Nach Mannschaften sortiert'!A64</f>
        <v>63</v>
      </c>
      <c r="B40" s="54">
        <f>'Nach Mannschaften sortiert'!B64</f>
        <v>5</v>
      </c>
      <c r="C40" s="54" t="str">
        <f>'Nach Mannschaften sortiert'!C64</f>
        <v>U14</v>
      </c>
      <c r="D40" s="55">
        <f>'Nach Mannschaften sortiert'!D64</f>
        <v>46298</v>
      </c>
      <c r="E40" s="95">
        <f>'Nach Mannschaften sortiert'!E64</f>
        <v>0.70833333333333337</v>
      </c>
      <c r="F40" s="54" t="str">
        <f>'Nach Mannschaften sortiert'!F64</f>
        <v>Draßburg</v>
      </c>
      <c r="G40" s="54" t="str">
        <f>'Nach Mannschaften sortiert'!G64</f>
        <v>SPG Draßburg/ZSP/Kemeten</v>
      </c>
      <c r="H40" s="54" t="str">
        <f>'Nach Mannschaften sortiert'!H64</f>
        <v>Auswärts</v>
      </c>
    </row>
    <row r="41" spans="1:8" x14ac:dyDescent="0.3">
      <c r="A41" s="48">
        <f>'Nach Mannschaften sortiert'!A28</f>
        <v>27</v>
      </c>
      <c r="B41" s="48">
        <f>'Nach Mannschaften sortiert'!B28</f>
        <v>6</v>
      </c>
      <c r="C41" s="48" t="str">
        <f>'Nach Mannschaften sortiert'!C28</f>
        <v>KM</v>
      </c>
      <c r="D41" s="49">
        <f>'Nach Mannschaften sortiert'!D28</f>
        <v>46284</v>
      </c>
      <c r="E41" s="97">
        <f>'Nach Mannschaften sortiert'!E28</f>
        <v>0.66666666666666663</v>
      </c>
      <c r="F41" s="48" t="str">
        <f>'Nach Mannschaften sortiert'!F28</f>
        <v>Gattendorf</v>
      </c>
      <c r="G41" s="48" t="str">
        <f>'Nach Mannschaften sortiert'!G28</f>
        <v>Gattendorf</v>
      </c>
      <c r="H41" s="48" t="str">
        <f>'Nach Mannschaften sortiert'!H28</f>
        <v>Auswärts</v>
      </c>
    </row>
    <row r="42" spans="1:8" x14ac:dyDescent="0.3">
      <c r="A42" s="54">
        <f>'Nach Mannschaften sortiert'!A94</f>
        <v>93</v>
      </c>
      <c r="B42" s="54">
        <f>'Nach Mannschaften sortiert'!B94</f>
        <v>6</v>
      </c>
      <c r="C42" s="54" t="str">
        <f>'Nach Mannschaften sortiert'!C94</f>
        <v>U11</v>
      </c>
      <c r="D42" s="55">
        <f>'Nach Mannschaften sortiert'!D94</f>
        <v>46305</v>
      </c>
      <c r="E42" s="95">
        <f>'Nach Mannschaften sortiert'!E94</f>
        <v>0.5625</v>
      </c>
      <c r="F42" s="54" t="str">
        <f>'Nach Mannschaften sortiert'!F94</f>
        <v>Leithaprodersdorf</v>
      </c>
      <c r="G42" s="54" t="str">
        <f>'Nach Mannschaften sortiert'!G94</f>
        <v>Leithaprodersdorf</v>
      </c>
      <c r="H42" s="54" t="str">
        <f>'Nach Mannschaften sortiert'!H94</f>
        <v>Auswärts</v>
      </c>
    </row>
    <row r="43" spans="1:8" hidden="1" x14ac:dyDescent="0.3">
      <c r="A43" s="54" t="e">
        <f>'Nach Mannschaften sortiert'!#REF!</f>
        <v>#REF!</v>
      </c>
      <c r="B43" s="54" t="e">
        <f>'Nach Mannschaften sortiert'!#REF!</f>
        <v>#REF!</v>
      </c>
      <c r="C43" s="54" t="e">
        <f>'Nach Mannschaften sortiert'!#REF!</f>
        <v>#REF!</v>
      </c>
      <c r="D43" s="55" t="e">
        <f>'Nach Mannschaften sortiert'!#REF!</f>
        <v>#REF!</v>
      </c>
      <c r="E43" s="95" t="e">
        <f>'Nach Mannschaften sortiert'!#REF!</f>
        <v>#REF!</v>
      </c>
      <c r="F43" s="54" t="e">
        <f>'Nach Mannschaften sortiert'!#REF!</f>
        <v>#REF!</v>
      </c>
      <c r="G43" s="54" t="e">
        <f>'Nach Mannschaften sortiert'!#REF!</f>
        <v>#REF!</v>
      </c>
      <c r="H43" s="54" t="e">
        <f>'Nach Mannschaften sortiert'!#REF!</f>
        <v>#REF!</v>
      </c>
    </row>
    <row r="44" spans="1:8" x14ac:dyDescent="0.3">
      <c r="A44" s="50">
        <f>'Nach Mannschaften sortiert'!A71</f>
        <v>70</v>
      </c>
      <c r="B44" s="50">
        <f>'Nach Mannschaften sortiert'!B71</f>
        <v>3</v>
      </c>
      <c r="C44" s="50" t="str">
        <f>'Nach Mannschaften sortiert'!C71</f>
        <v>U12_1</v>
      </c>
      <c r="D44" s="51">
        <f>'Nach Mannschaften sortiert'!D71</f>
        <v>46287</v>
      </c>
      <c r="E44" s="99">
        <f>'Nach Mannschaften sortiert'!E71</f>
        <v>0.72916666666666663</v>
      </c>
      <c r="F44" s="50" t="str">
        <f>'Nach Mannschaften sortiert'!F71</f>
        <v>Neufeld</v>
      </c>
      <c r="G44" s="50" t="str">
        <f>'Nach Mannschaften sortiert'!G71</f>
        <v>Leithaprodersdorf</v>
      </c>
      <c r="H44" s="50" t="str">
        <f>'Nach Mannschaften sortiert'!H71</f>
        <v>Heim</v>
      </c>
    </row>
    <row r="45" spans="1:8" x14ac:dyDescent="0.3">
      <c r="A45" s="50">
        <f>'Nach Mannschaften sortiert'!A63</f>
        <v>62</v>
      </c>
      <c r="B45" s="50">
        <f>'Nach Mannschaften sortiert'!B63</f>
        <v>4</v>
      </c>
      <c r="C45" s="50" t="str">
        <f>'Nach Mannschaften sortiert'!C63</f>
        <v>U14</v>
      </c>
      <c r="D45" s="51">
        <f>'Nach Mannschaften sortiert'!D63</f>
        <v>46292</v>
      </c>
      <c r="E45" s="99">
        <f>'Nach Mannschaften sortiert'!E63</f>
        <v>0.4375</v>
      </c>
      <c r="F45" s="50" t="str">
        <f>'Nach Mannschaften sortiert'!F63</f>
        <v>Großhöflein</v>
      </c>
      <c r="G45" s="50" t="str">
        <f>'Nach Mannschaften sortiert'!G63</f>
        <v>SPG Seewinkel</v>
      </c>
      <c r="H45" s="50" t="str">
        <f>'Nach Mannschaften sortiert'!H63</f>
        <v>Heim</v>
      </c>
    </row>
    <row r="46" spans="1:8" hidden="1" x14ac:dyDescent="0.3">
      <c r="A46" s="54" t="e">
        <f>'Nach Mannschaften sortiert'!#REF!</f>
        <v>#REF!</v>
      </c>
      <c r="B46" s="54" t="e">
        <f>'Nach Mannschaften sortiert'!#REF!</f>
        <v>#REF!</v>
      </c>
      <c r="C46" s="54" t="e">
        <f>'Nach Mannschaften sortiert'!#REF!</f>
        <v>#REF!</v>
      </c>
      <c r="D46" s="55" t="e">
        <f>'Nach Mannschaften sortiert'!#REF!</f>
        <v>#REF!</v>
      </c>
      <c r="E46" s="95" t="e">
        <f>'Nach Mannschaften sortiert'!#REF!</f>
        <v>#REF!</v>
      </c>
      <c r="F46" s="54" t="e">
        <f>'Nach Mannschaften sortiert'!#REF!</f>
        <v>#REF!</v>
      </c>
      <c r="G46" s="54" t="e">
        <f>'Nach Mannschaften sortiert'!#REF!</f>
        <v>#REF!</v>
      </c>
      <c r="H46" s="54" t="e">
        <f>'Nach Mannschaften sortiert'!#REF!</f>
        <v>#REF!</v>
      </c>
    </row>
    <row r="47" spans="1:8" hidden="1" x14ac:dyDescent="0.3">
      <c r="A47" s="54">
        <f>'Nach Mannschaften sortiert'!A70</f>
        <v>69</v>
      </c>
      <c r="B47" s="54">
        <f>'Nach Mannschaften sortiert'!B70</f>
        <v>2</v>
      </c>
      <c r="C47" s="54" t="str">
        <f>'Nach Mannschaften sortiert'!C70</f>
        <v>U12_1</v>
      </c>
      <c r="D47" s="55">
        <f>'Nach Mannschaften sortiert'!D70</f>
        <v>46277</v>
      </c>
      <c r="E47" s="95">
        <f>'Nach Mannschaften sortiert'!E70</f>
        <v>0.47916666666666669</v>
      </c>
      <c r="F47" s="54" t="str">
        <f>'Nach Mannschaften sortiert'!F70</f>
        <v>Klingenbach</v>
      </c>
      <c r="G47" s="54" t="str">
        <f>'Nach Mannschaften sortiert'!G70</f>
        <v>SPG Klimpuh Juniors</v>
      </c>
      <c r="H47" s="54" t="str">
        <f>'Nach Mannschaften sortiert'!H70</f>
        <v>Auswärts</v>
      </c>
    </row>
    <row r="48" spans="1:8" x14ac:dyDescent="0.3">
      <c r="A48" s="48">
        <f>'Nach Mannschaften sortiert'!A52</f>
        <v>51</v>
      </c>
      <c r="B48" s="48">
        <f>'Nach Mannschaften sortiert'!B52</f>
        <v>4</v>
      </c>
      <c r="C48" s="48" t="str">
        <f>'Nach Mannschaften sortiert'!C52</f>
        <v>U16</v>
      </c>
      <c r="D48" s="49">
        <f>'Nach Mannschaften sortiert'!D52</f>
        <v>46292</v>
      </c>
      <c r="E48" s="97">
        <f>'Nach Mannschaften sortiert'!E52</f>
        <v>0.70833333333333337</v>
      </c>
      <c r="F48" s="48" t="str">
        <f>'Nach Mannschaften sortiert'!F52</f>
        <v>Großhöflein</v>
      </c>
      <c r="G48" s="48" t="str">
        <f>'Nach Mannschaften sortiert'!G52</f>
        <v>Großhöflein</v>
      </c>
      <c r="H48" s="48" t="str">
        <f>'Nach Mannschaften sortiert'!H52</f>
        <v>Auswärts</v>
      </c>
    </row>
    <row r="49" spans="1:8" hidden="1" x14ac:dyDescent="0.3">
      <c r="A49" s="54">
        <f>'Nach Mannschaften sortiert'!A72</f>
        <v>71</v>
      </c>
      <c r="B49" s="54">
        <f>'Nach Mannschaften sortiert'!B72</f>
        <v>4</v>
      </c>
      <c r="C49" s="54" t="str">
        <f>'Nach Mannschaften sortiert'!C72</f>
        <v>U12_1</v>
      </c>
      <c r="D49" s="55">
        <f>'Nach Mannschaften sortiert'!D72</f>
        <v>46291</v>
      </c>
      <c r="E49" s="95">
        <f>'Nach Mannschaften sortiert'!E72</f>
        <v>0.5</v>
      </c>
      <c r="F49" s="54" t="str">
        <f>'Nach Mannschaften sortiert'!F72</f>
        <v>Eisenstadt</v>
      </c>
      <c r="G49" s="54" t="str">
        <f>'Nach Mannschaften sortiert'!G72</f>
        <v>SC "muki" Eisenstadt/Rust</v>
      </c>
      <c r="H49" s="54" t="str">
        <f>'Nach Mannschaften sortiert'!H72</f>
        <v>Auswärts</v>
      </c>
    </row>
    <row r="50" spans="1:8" hidden="1" x14ac:dyDescent="0.3">
      <c r="A50" s="54">
        <f>'Nach Mannschaften sortiert'!A73</f>
        <v>72</v>
      </c>
      <c r="B50" s="54">
        <f>'Nach Mannschaften sortiert'!B73</f>
        <v>5</v>
      </c>
      <c r="C50" s="54" t="str">
        <f>'Nach Mannschaften sortiert'!C73</f>
        <v>U12_1</v>
      </c>
      <c r="D50" s="55">
        <f>'Nach Mannschaften sortiert'!D73</f>
        <v>46307</v>
      </c>
      <c r="E50" s="95">
        <f>'Nach Mannschaften sortiert'!E73</f>
        <v>0.72916666666666663</v>
      </c>
      <c r="F50" s="54" t="str">
        <f>'Nach Mannschaften sortiert'!F73</f>
        <v>Steinbrunn</v>
      </c>
      <c r="G50" s="54" t="str">
        <f>'Nach Mannschaften sortiert'!G73</f>
        <v>Hornstein/Wimpasing</v>
      </c>
      <c r="H50" s="54" t="str">
        <f>'Nach Mannschaften sortiert'!H73</f>
        <v>Heim</v>
      </c>
    </row>
    <row r="51" spans="1:8" hidden="1" x14ac:dyDescent="0.3">
      <c r="A51" s="54" t="e">
        <f>'Nach Mannschaften sortiert'!#REF!</f>
        <v>#REF!</v>
      </c>
      <c r="B51" s="54" t="e">
        <f>'Nach Mannschaften sortiert'!#REF!</f>
        <v>#REF!</v>
      </c>
      <c r="C51" s="54" t="e">
        <f>'Nach Mannschaften sortiert'!#REF!</f>
        <v>#REF!</v>
      </c>
      <c r="D51" s="55" t="e">
        <f>'Nach Mannschaften sortiert'!#REF!</f>
        <v>#REF!</v>
      </c>
      <c r="E51" s="95" t="e">
        <f>'Nach Mannschaften sortiert'!#REF!</f>
        <v>#REF!</v>
      </c>
      <c r="F51" s="54" t="e">
        <f>'Nach Mannschaften sortiert'!#REF!</f>
        <v>#REF!</v>
      </c>
      <c r="G51" s="54" t="e">
        <f>'Nach Mannschaften sortiert'!#REF!</f>
        <v>#REF!</v>
      </c>
      <c r="H51" s="54" t="e">
        <f>'Nach Mannschaften sortiert'!#REF!</f>
        <v>#REF!</v>
      </c>
    </row>
    <row r="52" spans="1:8" x14ac:dyDescent="0.3">
      <c r="A52" s="48">
        <f>'Nach Mannschaften sortiert'!A30</f>
        <v>29</v>
      </c>
      <c r="B52" s="48">
        <f>'Nach Mannschaften sortiert'!B30</f>
        <v>8</v>
      </c>
      <c r="C52" s="48" t="str">
        <f>'Nach Mannschaften sortiert'!C30</f>
        <v>KM</v>
      </c>
      <c r="D52" s="49">
        <f>'Nach Mannschaften sortiert'!D30</f>
        <v>46297</v>
      </c>
      <c r="E52" s="97">
        <f>'Nach Mannschaften sortiert'!E30</f>
        <v>0.8125</v>
      </c>
      <c r="F52" s="48" t="str">
        <f>'Nach Mannschaften sortiert'!F30</f>
        <v>Siegendorf</v>
      </c>
      <c r="G52" s="48" t="str">
        <f>'Nach Mannschaften sortiert'!G30</f>
        <v>Siegendorf</v>
      </c>
      <c r="H52" s="48" t="str">
        <f>'Nach Mannschaften sortiert'!H30</f>
        <v>Auswärts</v>
      </c>
    </row>
    <row r="53" spans="1:8" hidden="1" x14ac:dyDescent="0.3">
      <c r="A53" s="54">
        <f>'Nach Mannschaften sortiert'!A75</f>
        <v>74</v>
      </c>
      <c r="B53" s="54">
        <f>'Nach Mannschaften sortiert'!B75</f>
        <v>7</v>
      </c>
      <c r="C53" s="54" t="str">
        <f>'Nach Mannschaften sortiert'!C75</f>
        <v>U12_1</v>
      </c>
      <c r="D53" s="55">
        <f>'Nach Mannschaften sortiert'!D75</f>
        <v>46312</v>
      </c>
      <c r="E53" s="95">
        <f>'Nach Mannschaften sortiert'!E75</f>
        <v>0.625</v>
      </c>
      <c r="F53" s="54" t="str">
        <f>'Nach Mannschaften sortiert'!F75</f>
        <v>Neufeld</v>
      </c>
      <c r="G53" s="54" t="str">
        <f>'Nach Mannschaften sortiert'!G75</f>
        <v>SPG Klimpuh Juniors</v>
      </c>
      <c r="H53" s="54" t="str">
        <f>'Nach Mannschaften sortiert'!H75</f>
        <v>Heim</v>
      </c>
    </row>
    <row r="54" spans="1:8" x14ac:dyDescent="0.3">
      <c r="A54" s="48" t="e">
        <f>'Nach Mannschaften sortiert'!#REF!</f>
        <v>#REF!</v>
      </c>
      <c r="B54" s="48" t="e">
        <f>'Nach Mannschaften sortiert'!#REF!</f>
        <v>#REF!</v>
      </c>
      <c r="C54" s="48" t="e">
        <f>'Nach Mannschaften sortiert'!#REF!</f>
        <v>#REF!</v>
      </c>
      <c r="D54" s="49" t="e">
        <f>'Nach Mannschaften sortiert'!#REF!</f>
        <v>#REF!</v>
      </c>
      <c r="E54" s="97" t="e">
        <f>'Nach Mannschaften sortiert'!#REF!</f>
        <v>#REF!</v>
      </c>
      <c r="F54" s="48" t="e">
        <f>'Nach Mannschaften sortiert'!#REF!</f>
        <v>#REF!</v>
      </c>
      <c r="G54" s="48" t="e">
        <f>'Nach Mannschaften sortiert'!#REF!</f>
        <v>#REF!</v>
      </c>
      <c r="H54" s="48" t="e">
        <f>'Nach Mannschaften sortiert'!#REF!</f>
        <v>#REF!</v>
      </c>
    </row>
    <row r="55" spans="1:8" hidden="1" x14ac:dyDescent="0.3">
      <c r="A55" s="54">
        <f>'Nach Mannschaften sortiert'!A89</f>
        <v>88</v>
      </c>
      <c r="B55" s="54">
        <f>'Nach Mannschaften sortiert'!B89</f>
        <v>1</v>
      </c>
      <c r="C55" s="54" t="str">
        <f>'Nach Mannschaften sortiert'!C89</f>
        <v>U11</v>
      </c>
      <c r="D55" s="55">
        <f>'Nach Mannschaften sortiert'!D89</f>
        <v>46270</v>
      </c>
      <c r="E55" s="95">
        <f>'Nach Mannschaften sortiert'!E89</f>
        <v>0.41666666666666669</v>
      </c>
      <c r="F55" s="54" t="str">
        <f>'Nach Mannschaften sortiert'!F89</f>
        <v>Steinbrunn</v>
      </c>
      <c r="G55" s="54" t="str">
        <f>'Nach Mannschaften sortiert'!G89</f>
        <v>Leithaprodersdorf</v>
      </c>
      <c r="H55" s="54" t="str">
        <f>'Nach Mannschaften sortiert'!H89</f>
        <v>Heim</v>
      </c>
    </row>
    <row r="56" spans="1:8" x14ac:dyDescent="0.3">
      <c r="A56" s="48">
        <f>'Nach Mannschaften sortiert'!A95</f>
        <v>94</v>
      </c>
      <c r="B56" s="48">
        <f>'Nach Mannschaften sortiert'!B95</f>
        <v>7</v>
      </c>
      <c r="C56" s="48" t="str">
        <f>'Nach Mannschaften sortiert'!C95</f>
        <v>U11</v>
      </c>
      <c r="D56" s="49">
        <f>'Nach Mannschaften sortiert'!D95</f>
        <v>46312</v>
      </c>
      <c r="E56" s="97">
        <f>'Nach Mannschaften sortiert'!E95</f>
        <v>0.54166666666666663</v>
      </c>
      <c r="F56" s="48" t="str">
        <f>'Nach Mannschaften sortiert'!F95</f>
        <v>Neufeld</v>
      </c>
      <c r="G56" s="48" t="str">
        <f>'Nach Mannschaften sortiert'!G95</f>
        <v>Leithaprodersdorf</v>
      </c>
      <c r="H56" s="48" t="str">
        <f>'Nach Mannschaften sortiert'!H95</f>
        <v>Heim</v>
      </c>
    </row>
    <row r="57" spans="1:8" hidden="1" x14ac:dyDescent="0.3">
      <c r="A57" s="54">
        <f>'Nach Mannschaften sortiert'!A92</f>
        <v>91</v>
      </c>
      <c r="B57" s="54">
        <f>'Nach Mannschaften sortiert'!B92</f>
        <v>4</v>
      </c>
      <c r="C57" s="54" t="str">
        <f>'Nach Mannschaften sortiert'!C92</f>
        <v>U11</v>
      </c>
      <c r="D57" s="55">
        <f>'Nach Mannschaften sortiert'!D92</f>
        <v>46292</v>
      </c>
      <c r="E57" s="95">
        <f>'Nach Mannschaften sortiert'!E92</f>
        <v>0.54166666666666663</v>
      </c>
      <c r="F57" s="54" t="str">
        <f>'Nach Mannschaften sortiert'!F92</f>
        <v>Neufeld</v>
      </c>
      <c r="G57" s="54" t="str">
        <f>'Nach Mannschaften sortiert'!G92</f>
        <v>Wulkaprodersdorf</v>
      </c>
      <c r="H57" s="54" t="str">
        <f>'Nach Mannschaften sortiert'!H92</f>
        <v>Heim</v>
      </c>
    </row>
    <row r="58" spans="1:8" x14ac:dyDescent="0.3">
      <c r="A58" s="48">
        <f>'Nach Mannschaften sortiert'!A32</f>
        <v>31</v>
      </c>
      <c r="B58" s="48">
        <f>'Nach Mannschaften sortiert'!B32</f>
        <v>10</v>
      </c>
      <c r="C58" s="48" t="str">
        <f>'Nach Mannschaften sortiert'!C32</f>
        <v>KM</v>
      </c>
      <c r="D58" s="49">
        <f>'Nach Mannschaften sortiert'!D32</f>
        <v>46311</v>
      </c>
      <c r="E58" s="97">
        <f>'Nach Mannschaften sortiert'!E32</f>
        <v>0.8125</v>
      </c>
      <c r="F58" s="48" t="str">
        <f>'Nach Mannschaften sortiert'!F32</f>
        <v>Hornstein</v>
      </c>
      <c r="G58" s="48" t="str">
        <f>'Nach Mannschaften sortiert'!G32</f>
        <v>Hornstein</v>
      </c>
      <c r="H58" s="48" t="str">
        <f>'Nach Mannschaften sortiert'!H32</f>
        <v>Auswärts</v>
      </c>
    </row>
    <row r="59" spans="1:8" hidden="1" x14ac:dyDescent="0.3">
      <c r="A59" s="54" t="e">
        <f>'Nach Mannschaften sortiert'!#REF!</f>
        <v>#REF!</v>
      </c>
      <c r="B59" s="54" t="e">
        <f>'Nach Mannschaften sortiert'!#REF!</f>
        <v>#REF!</v>
      </c>
      <c r="C59" s="54" t="e">
        <f>'Nach Mannschaften sortiert'!#REF!</f>
        <v>#REF!</v>
      </c>
      <c r="D59" s="55" t="e">
        <f>'Nach Mannschaften sortiert'!#REF!</f>
        <v>#REF!</v>
      </c>
      <c r="E59" s="95" t="e">
        <f>'Nach Mannschaften sortiert'!#REF!</f>
        <v>#REF!</v>
      </c>
      <c r="F59" s="54" t="e">
        <f>'Nach Mannschaften sortiert'!#REF!</f>
        <v>#REF!</v>
      </c>
      <c r="G59" s="54" t="e">
        <f>'Nach Mannschaften sortiert'!#REF!</f>
        <v>#REF!</v>
      </c>
      <c r="H59" s="54" t="e">
        <f>'Nach Mannschaften sortiert'!#REF!</f>
        <v>#REF!</v>
      </c>
    </row>
    <row r="60" spans="1:8" x14ac:dyDescent="0.3">
      <c r="A60" s="48">
        <f>'Nach Mannschaften sortiert'!A67</f>
        <v>66</v>
      </c>
      <c r="B60" s="48">
        <f>'Nach Mannschaften sortiert'!B67</f>
        <v>8</v>
      </c>
      <c r="C60" s="48" t="str">
        <f>'Nach Mannschaften sortiert'!C67</f>
        <v>U14</v>
      </c>
      <c r="D60" s="49">
        <f>'Nach Mannschaften sortiert'!D67</f>
        <v>46320</v>
      </c>
      <c r="E60" s="97">
        <f>'Nach Mannschaften sortiert'!E67</f>
        <v>0.58333333333333337</v>
      </c>
      <c r="F60" s="48" t="str">
        <f>'Nach Mannschaften sortiert'!F67</f>
        <v>Neufeld</v>
      </c>
      <c r="G60" s="48" t="str">
        <f>'Nach Mannschaften sortiert'!G67</f>
        <v>MSV 2020</v>
      </c>
      <c r="H60" s="48" t="str">
        <f>'Nach Mannschaften sortiert'!H67</f>
        <v>Heim</v>
      </c>
    </row>
    <row r="61" spans="1:8" hidden="1" x14ac:dyDescent="0.3">
      <c r="A61" s="54">
        <f>'Nach Mannschaften sortiert'!A96</f>
        <v>95</v>
      </c>
      <c r="B61" s="54">
        <f>'Nach Mannschaften sortiert'!B96</f>
        <v>8</v>
      </c>
      <c r="C61" s="54" t="str">
        <f>'Nach Mannschaften sortiert'!C96</f>
        <v>U11</v>
      </c>
      <c r="D61" s="55">
        <f>'Nach Mannschaften sortiert'!D96</f>
        <v>46320</v>
      </c>
      <c r="E61" s="95">
        <f>'Nach Mannschaften sortiert'!E96</f>
        <v>0.5</v>
      </c>
      <c r="F61" s="54" t="str">
        <f>'Nach Mannschaften sortiert'!F96</f>
        <v>Hornstein</v>
      </c>
      <c r="G61" s="54" t="str">
        <f>'Nach Mannschaften sortiert'!G96</f>
        <v>Hornstein</v>
      </c>
      <c r="H61" s="54" t="str">
        <f>'Nach Mannschaften sortiert'!H96</f>
        <v>Auswärts</v>
      </c>
    </row>
    <row r="62" spans="1:8" x14ac:dyDescent="0.3">
      <c r="A62" s="46">
        <f>'Nach Mannschaften sortiert'!A68</f>
        <v>67</v>
      </c>
      <c r="B62" s="46">
        <f>'Nach Mannschaften sortiert'!B68</f>
        <v>9</v>
      </c>
      <c r="C62" s="46" t="str">
        <f>'Nach Mannschaften sortiert'!C68</f>
        <v>U14</v>
      </c>
      <c r="D62" s="47">
        <f>'Nach Mannschaften sortiert'!D68</f>
        <v>46326</v>
      </c>
      <c r="E62" s="98">
        <f>'Nach Mannschaften sortiert'!E68</f>
        <v>0.58333333333333337</v>
      </c>
      <c r="F62" s="46" t="str">
        <f>'Nach Mannschaften sortiert'!F68</f>
        <v>Gols</v>
      </c>
      <c r="G62" s="46" t="str">
        <f>'Nach Mannschaften sortiert'!G68</f>
        <v>GMWP</v>
      </c>
      <c r="H62" s="46" t="str">
        <f>'Nach Mannschaften sortiert'!H68</f>
        <v>Auswärts</v>
      </c>
    </row>
    <row r="63" spans="1:8" hidden="1" x14ac:dyDescent="0.3">
      <c r="A63" s="54" t="e">
        <f>'Nach Mannschaften sortiert'!#REF!</f>
        <v>#REF!</v>
      </c>
      <c r="B63" s="54" t="e">
        <f>'Nach Mannschaften sortiert'!#REF!</f>
        <v>#REF!</v>
      </c>
      <c r="C63" s="54" t="e">
        <f>'Nach Mannschaften sortiert'!#REF!</f>
        <v>#REF!</v>
      </c>
      <c r="D63" s="55" t="e">
        <f>'Nach Mannschaften sortiert'!#REF!</f>
        <v>#REF!</v>
      </c>
      <c r="E63" s="95" t="e">
        <f>'Nach Mannschaften sortiert'!#REF!</f>
        <v>#REF!</v>
      </c>
      <c r="F63" s="54" t="e">
        <f>'Nach Mannschaften sortiert'!#REF!</f>
        <v>#REF!</v>
      </c>
      <c r="G63" s="54" t="e">
        <f>'Nach Mannschaften sortiert'!#REF!</f>
        <v>#REF!</v>
      </c>
      <c r="H63" s="54" t="e">
        <f>'Nach Mannschaften sortiert'!#REF!</f>
        <v>#REF!</v>
      </c>
    </row>
    <row r="64" spans="1:8" hidden="1" x14ac:dyDescent="0.3">
      <c r="A64" s="54" t="e">
        <f>'Nach Mannschaften sortiert'!#REF!</f>
        <v>#REF!</v>
      </c>
      <c r="B64" s="54" t="e">
        <f>'Nach Mannschaften sortiert'!#REF!</f>
        <v>#REF!</v>
      </c>
      <c r="C64" s="54" t="e">
        <f>'Nach Mannschaften sortiert'!#REF!</f>
        <v>#REF!</v>
      </c>
      <c r="D64" s="55" t="e">
        <f>'Nach Mannschaften sortiert'!#REF!</f>
        <v>#REF!</v>
      </c>
      <c r="E64" s="95" t="e">
        <f>'Nach Mannschaften sortiert'!#REF!</f>
        <v>#REF!</v>
      </c>
      <c r="F64" s="54" t="e">
        <f>'Nach Mannschaften sortiert'!#REF!</f>
        <v>#REF!</v>
      </c>
      <c r="G64" s="54" t="e">
        <f>'Nach Mannschaften sortiert'!#REF!</f>
        <v>#REF!</v>
      </c>
      <c r="H64" s="54" t="e">
        <f>'Nach Mannschaften sortiert'!#REF!</f>
        <v>#REF!</v>
      </c>
    </row>
    <row r="65" spans="1:8" x14ac:dyDescent="0.3">
      <c r="A65" s="48">
        <f>'Nach Mannschaften sortiert'!A97</f>
        <v>96</v>
      </c>
      <c r="B65" s="48">
        <f>'Nach Mannschaften sortiert'!B97</f>
        <v>9</v>
      </c>
      <c r="C65" s="48" t="str">
        <f>'Nach Mannschaften sortiert'!C97</f>
        <v>U11</v>
      </c>
      <c r="D65" s="49">
        <v>46164</v>
      </c>
      <c r="E65" s="97">
        <v>0.70833333333333337</v>
      </c>
      <c r="F65" s="48" t="str">
        <f>'Nach Mannschaften sortiert'!F97</f>
        <v>Wulkaprodersdorf</v>
      </c>
      <c r="G65" s="48" t="str">
        <f>'Nach Mannschaften sortiert'!G97</f>
        <v>Wulkaprodersdorf</v>
      </c>
      <c r="H65" s="48" t="str">
        <f>'Nach Mannschaften sortiert'!H97</f>
        <v>Auswärts</v>
      </c>
    </row>
    <row r="66" spans="1:8" hidden="1" x14ac:dyDescent="0.3">
      <c r="A66" s="54">
        <f>'Nach Mannschaften sortiert'!A104</f>
        <v>103</v>
      </c>
      <c r="B66" s="54">
        <f>'Nach Mannschaften sortiert'!B104</f>
        <v>2</v>
      </c>
      <c r="C66" s="54" t="str">
        <f>'Nach Mannschaften sortiert'!C104</f>
        <v>U9</v>
      </c>
      <c r="D66" s="55">
        <f>'Nach Mannschaften sortiert'!D104</f>
        <v>46278</v>
      </c>
      <c r="E66" s="95">
        <f>'Nach Mannschaften sortiert'!E104</f>
        <v>0.45833333333333331</v>
      </c>
      <c r="F66" s="54" t="str">
        <f>'Nach Mannschaften sortiert'!F104</f>
        <v>Neufeld</v>
      </c>
      <c r="G66" s="54" t="str">
        <f>'Nach Mannschaften sortiert'!G104</f>
        <v>Steinbrunn</v>
      </c>
      <c r="H66" s="54" t="str">
        <f>'Nach Mannschaften sortiert'!H104</f>
        <v>Heim</v>
      </c>
    </row>
    <row r="67" spans="1:8" hidden="1" x14ac:dyDescent="0.3">
      <c r="A67" s="54">
        <f>'Nach Mannschaften sortiert'!A105</f>
        <v>104</v>
      </c>
      <c r="B67" s="54">
        <f>'Nach Mannschaften sortiert'!B105</f>
        <v>3</v>
      </c>
      <c r="C67" s="54" t="str">
        <f>'Nach Mannschaften sortiert'!C105</f>
        <v>U9</v>
      </c>
      <c r="D67" s="55">
        <f>'Nach Mannschaften sortiert'!D105</f>
        <v>46283</v>
      </c>
      <c r="E67" s="95">
        <f>'Nach Mannschaften sortiert'!E105</f>
        <v>0</v>
      </c>
      <c r="F67" s="54">
        <f>'Nach Mannschaften sortiert'!F105</f>
        <v>0</v>
      </c>
      <c r="G67" s="54" t="str">
        <f>'Nach Mannschaften sortiert'!G105</f>
        <v>Spielfrei</v>
      </c>
      <c r="H67" s="54">
        <f>'Nach Mannschaften sortiert'!H105</f>
        <v>0</v>
      </c>
    </row>
    <row r="68" spans="1:8" hidden="1" x14ac:dyDescent="0.3">
      <c r="A68" s="54">
        <f>'Nach Mannschaften sortiert'!A106</f>
        <v>105</v>
      </c>
      <c r="B68" s="54">
        <f>'Nach Mannschaften sortiert'!B106</f>
        <v>4</v>
      </c>
      <c r="C68" s="54" t="str">
        <f>'Nach Mannschaften sortiert'!C106</f>
        <v>U9</v>
      </c>
      <c r="D68" s="55">
        <f>'Nach Mannschaften sortiert'!D106</f>
        <v>46291</v>
      </c>
      <c r="E68" s="95">
        <f>'Nach Mannschaften sortiert'!E106</f>
        <v>0.41666666666666669</v>
      </c>
      <c r="F68" s="54" t="str">
        <f>'Nach Mannschaften sortiert'!F106</f>
        <v>Eisenstadt</v>
      </c>
      <c r="G68" s="54" t="str">
        <f>'Nach Mannschaften sortiert'!G106</f>
        <v>Eisenstadt</v>
      </c>
      <c r="H68" s="54" t="str">
        <f>'Nach Mannschaften sortiert'!H106</f>
        <v>Auswärts</v>
      </c>
    </row>
    <row r="69" spans="1:8" hidden="1" x14ac:dyDescent="0.3">
      <c r="A69" s="54">
        <f>'Nach Mannschaften sortiert'!A112</f>
        <v>111</v>
      </c>
      <c r="B69" s="54">
        <f>'Nach Mannschaften sortiert'!B112</f>
        <v>10</v>
      </c>
      <c r="C69" s="54" t="str">
        <f>'Nach Mannschaften sortiert'!C112</f>
        <v>U9</v>
      </c>
      <c r="D69" s="55">
        <f>'Nach Mannschaften sortiert'!D112</f>
        <v>46333</v>
      </c>
      <c r="E69" s="95">
        <f>'Nach Mannschaften sortiert'!E112</f>
        <v>0.5</v>
      </c>
      <c r="F69" s="54" t="str">
        <f>'Nach Mannschaften sortiert'!F112</f>
        <v>Hornstein</v>
      </c>
      <c r="G69" s="54" t="str">
        <f>'Nach Mannschaften sortiert'!G112</f>
        <v>Hornstein</v>
      </c>
      <c r="H69" s="54" t="str">
        <f>'Nach Mannschaften sortiert'!H112</f>
        <v>Auswärts</v>
      </c>
    </row>
    <row r="70" spans="1:8" x14ac:dyDescent="0.3">
      <c r="A70" s="48">
        <f>'Nach Mannschaften sortiert'!A74</f>
        <v>73</v>
      </c>
      <c r="B70" s="48">
        <f>'Nach Mannschaften sortiert'!B74</f>
        <v>6</v>
      </c>
      <c r="C70" s="48" t="str">
        <f>'Nach Mannschaften sortiert'!C74</f>
        <v>U12_1</v>
      </c>
      <c r="D70" s="49">
        <f>'Nach Mannschaften sortiert'!D74</f>
        <v>46304</v>
      </c>
      <c r="E70" s="97">
        <f>'Nach Mannschaften sortiert'!E74</f>
        <v>0.66666666666666663</v>
      </c>
      <c r="F70" s="48" t="str">
        <f>'Nach Mannschaften sortiert'!F74</f>
        <v>Stotzing</v>
      </c>
      <c r="G70" s="48" t="str">
        <f>'Nach Mannschaften sortiert'!G74</f>
        <v>Stotzing</v>
      </c>
      <c r="H70" s="48" t="str">
        <f>'Nach Mannschaften sortiert'!H74</f>
        <v>Auswärts</v>
      </c>
    </row>
    <row r="71" spans="1:8" hidden="1" x14ac:dyDescent="0.3">
      <c r="A71" s="54">
        <f>'Nach Mannschaften sortiert'!A114</f>
        <v>113</v>
      </c>
      <c r="B71" s="54">
        <f>'Nach Mannschaften sortiert'!B114</f>
        <v>2</v>
      </c>
      <c r="C71" s="54" t="str">
        <f>'Nach Mannschaften sortiert'!C114</f>
        <v>U8</v>
      </c>
      <c r="D71" s="55">
        <f>'Nach Mannschaften sortiert'!D114</f>
        <v>46284</v>
      </c>
      <c r="E71" s="95">
        <f>'Nach Mannschaften sortiert'!E114</f>
        <v>0.39583333333333331</v>
      </c>
      <c r="F71" s="54" t="str">
        <f>'Nach Mannschaften sortiert'!F114</f>
        <v>Wimpassing</v>
      </c>
      <c r="G71" s="54" t="str">
        <f>'Nach Mannschaften sortiert'!G114</f>
        <v>Turnier</v>
      </c>
      <c r="H71" s="54" t="str">
        <f>'Nach Mannschaften sortiert'!H114</f>
        <v>Auswärts</v>
      </c>
    </row>
    <row r="72" spans="1:8" hidden="1" x14ac:dyDescent="0.3">
      <c r="A72" s="54">
        <f>'Nach Mannschaften sortiert'!A115</f>
        <v>114</v>
      </c>
      <c r="B72" s="54">
        <f>'Nach Mannschaften sortiert'!B115</f>
        <v>3</v>
      </c>
      <c r="C72" s="54" t="str">
        <f>'Nach Mannschaften sortiert'!C115</f>
        <v>U8</v>
      </c>
      <c r="D72" s="55">
        <f>'Nach Mannschaften sortiert'!D115</f>
        <v>46291</v>
      </c>
      <c r="E72" s="95">
        <f>'Nach Mannschaften sortiert'!E115</f>
        <v>0.39583333333333331</v>
      </c>
      <c r="F72" s="54" t="str">
        <f>'Nach Mannschaften sortiert'!F115</f>
        <v>Leithaprodersdorf</v>
      </c>
      <c r="G72" s="54" t="str">
        <f>'Nach Mannschaften sortiert'!G115</f>
        <v>Turnier</v>
      </c>
      <c r="H72" s="54" t="str">
        <f>'Nach Mannschaften sortiert'!H115</f>
        <v>Auswärts</v>
      </c>
    </row>
    <row r="73" spans="1:8" hidden="1" x14ac:dyDescent="0.3">
      <c r="A73" s="54">
        <f>'Nach Mannschaften sortiert'!A116</f>
        <v>115</v>
      </c>
      <c r="B73" s="54">
        <f>'Nach Mannschaften sortiert'!B116</f>
        <v>4</v>
      </c>
      <c r="C73" s="54" t="str">
        <f>'Nach Mannschaften sortiert'!C116</f>
        <v>U8</v>
      </c>
      <c r="D73" s="55">
        <f>'Nach Mannschaften sortiert'!D116</f>
        <v>46305</v>
      </c>
      <c r="E73" s="95">
        <f>'Nach Mannschaften sortiert'!E116</f>
        <v>0.39583333333333331</v>
      </c>
      <c r="F73" s="54" t="str">
        <f>'Nach Mannschaften sortiert'!F116</f>
        <v>Hornstein</v>
      </c>
      <c r="G73" s="54" t="str">
        <f>'Nach Mannschaften sortiert'!G116</f>
        <v>Turnier</v>
      </c>
      <c r="H73" s="54" t="str">
        <f>'Nach Mannschaften sortiert'!H116</f>
        <v>Auswärts</v>
      </c>
    </row>
    <row r="74" spans="1:8" hidden="1" x14ac:dyDescent="0.3">
      <c r="A74" s="54">
        <f>'Nach Mannschaften sortiert'!A117</f>
        <v>116</v>
      </c>
      <c r="B74" s="54">
        <f>'Nach Mannschaften sortiert'!B117</f>
        <v>5</v>
      </c>
      <c r="C74" s="54" t="str">
        <f>'Nach Mannschaften sortiert'!C117</f>
        <v>U8</v>
      </c>
      <c r="D74" s="55">
        <f>'Nach Mannschaften sortiert'!D117</f>
        <v>46278</v>
      </c>
      <c r="E74" s="95">
        <f>'Nach Mannschaften sortiert'!E117</f>
        <v>0.41666666666666669</v>
      </c>
      <c r="F74" s="54" t="str">
        <f>'Nach Mannschaften sortiert'!F117</f>
        <v>Steinbrunn</v>
      </c>
      <c r="G74" s="54" t="str">
        <f>'Nach Mannschaften sortiert'!G117</f>
        <v>Turnier</v>
      </c>
      <c r="H74" s="54" t="str">
        <f>'Nach Mannschaften sortiert'!H117</f>
        <v>Auswärts</v>
      </c>
    </row>
    <row r="75" spans="1:8" x14ac:dyDescent="0.3">
      <c r="A75" s="48">
        <f>'Nach Mannschaften sortiert'!A35</f>
        <v>34</v>
      </c>
      <c r="B75" s="48">
        <f>'Nach Mannschaften sortiert'!B35</f>
        <v>13</v>
      </c>
      <c r="C75" s="48" t="str">
        <f>'Nach Mannschaften sortiert'!C35</f>
        <v>KM</v>
      </c>
      <c r="D75" s="49">
        <f>'Nach Mannschaften sortiert'!D35</f>
        <v>46333</v>
      </c>
      <c r="E75" s="97">
        <f>'Nach Mannschaften sortiert'!E35</f>
        <v>0.6875</v>
      </c>
      <c r="F75" s="48" t="str">
        <f>'Nach Mannschaften sortiert'!F35</f>
        <v>Neufeld</v>
      </c>
      <c r="G75" s="48" t="str">
        <f>'Nach Mannschaften sortiert'!G35</f>
        <v>Andau</v>
      </c>
      <c r="H75" s="48" t="str">
        <f>'Nach Mannschaften sortiert'!H35</f>
        <v>Heim</v>
      </c>
    </row>
    <row r="76" spans="1:8" hidden="1" x14ac:dyDescent="0.3">
      <c r="A76" s="54">
        <f>'Nach Mannschaften sortiert'!A119</f>
        <v>118</v>
      </c>
      <c r="B76" s="54">
        <f>'Nach Mannschaften sortiert'!B119</f>
        <v>2</v>
      </c>
      <c r="C76" s="54" t="str">
        <f>'Nach Mannschaften sortiert'!C120</f>
        <v>U7</v>
      </c>
      <c r="D76" s="55">
        <f>'Nach Mannschaften sortiert'!D119</f>
        <v>0</v>
      </c>
      <c r="E76" s="95">
        <f>'Nach Mannschaften sortiert'!E119</f>
        <v>0</v>
      </c>
      <c r="F76" s="54">
        <f>'Nach Mannschaften sortiert'!F119</f>
        <v>0</v>
      </c>
      <c r="G76" s="54">
        <f>'Nach Mannschaften sortiert'!G119</f>
        <v>0</v>
      </c>
      <c r="H76" s="54">
        <f>'Nach Mannschaften sortiert'!H119</f>
        <v>0</v>
      </c>
    </row>
    <row r="77" spans="1:8" hidden="1" x14ac:dyDescent="0.3">
      <c r="A77" s="54">
        <f>'Nach Mannschaften sortiert'!A120</f>
        <v>119</v>
      </c>
      <c r="B77" s="54">
        <f>'Nach Mannschaften sortiert'!B120</f>
        <v>3</v>
      </c>
      <c r="C77" s="54" t="str">
        <f>'Nach Mannschaften sortiert'!C121</f>
        <v>U7</v>
      </c>
      <c r="D77" s="55">
        <f>'Nach Mannschaften sortiert'!D120</f>
        <v>0</v>
      </c>
      <c r="E77" s="95">
        <f>'Nach Mannschaften sortiert'!E120</f>
        <v>0</v>
      </c>
      <c r="F77" s="54">
        <f>'Nach Mannschaften sortiert'!F120</f>
        <v>0</v>
      </c>
      <c r="G77" s="54">
        <f>'Nach Mannschaften sortiert'!G120</f>
        <v>0</v>
      </c>
      <c r="H77" s="54">
        <f>'Nach Mannschaften sortiert'!H120</f>
        <v>0</v>
      </c>
    </row>
    <row r="78" spans="1:8" hidden="1" x14ac:dyDescent="0.3">
      <c r="A78" s="54">
        <f>'Nach Mannschaften sortiert'!A121</f>
        <v>120</v>
      </c>
      <c r="B78" s="54">
        <f>'Nach Mannschaften sortiert'!B121</f>
        <v>4</v>
      </c>
      <c r="C78" s="54" t="str">
        <f>'Nach Mannschaften sortiert'!C122</f>
        <v>U7</v>
      </c>
      <c r="D78" s="55">
        <f>'Nach Mannschaften sortiert'!D121</f>
        <v>0</v>
      </c>
      <c r="E78" s="95">
        <f>'Nach Mannschaften sortiert'!E121</f>
        <v>0</v>
      </c>
      <c r="F78" s="54">
        <f>'Nach Mannschaften sortiert'!F121</f>
        <v>0</v>
      </c>
      <c r="G78" s="54">
        <f>'Nach Mannschaften sortiert'!G121</f>
        <v>0</v>
      </c>
      <c r="H78" s="54">
        <f>'Nach Mannschaften sortiert'!H121</f>
        <v>0</v>
      </c>
    </row>
    <row r="79" spans="1:8" hidden="1" x14ac:dyDescent="0.3">
      <c r="A79" s="54">
        <f>'Nach Mannschaften sortiert'!A122</f>
        <v>121</v>
      </c>
      <c r="B79" s="54">
        <f>'Nach Mannschaften sortiert'!B122</f>
        <v>5</v>
      </c>
      <c r="C79" s="54" t="str">
        <f>'Nach Mannschaften sortiert'!C123</f>
        <v>U7</v>
      </c>
      <c r="D79" s="55">
        <f>'Nach Mannschaften sortiert'!D122</f>
        <v>0</v>
      </c>
      <c r="E79" s="95">
        <f>'Nach Mannschaften sortiert'!E122</f>
        <v>0</v>
      </c>
      <c r="F79" s="54">
        <f>'Nach Mannschaften sortiert'!F122</f>
        <v>0</v>
      </c>
      <c r="G79" s="54">
        <f>'Nach Mannschaften sortiert'!G122</f>
        <v>0</v>
      </c>
      <c r="H79" s="54">
        <f>'Nach Mannschaften sortiert'!H122</f>
        <v>0</v>
      </c>
    </row>
    <row r="80" spans="1:8" x14ac:dyDescent="0.3">
      <c r="A80" s="48">
        <f>'Nach Mannschaften sortiert'!A76</f>
        <v>75</v>
      </c>
      <c r="B80" s="48">
        <f>'Nach Mannschaften sortiert'!B76</f>
        <v>8</v>
      </c>
      <c r="C80" s="48" t="str">
        <f>'Nach Mannschaften sortiert'!C76</f>
        <v>U12_1</v>
      </c>
      <c r="D80" s="49">
        <f>'Nach Mannschaften sortiert'!D76</f>
        <v>46319</v>
      </c>
      <c r="E80" s="97">
        <f>'Nach Mannschaften sortiert'!E76</f>
        <v>0.625</v>
      </c>
      <c r="F80" s="48" t="str">
        <f>'Nach Mannschaften sortiert'!F76</f>
        <v>Leithaprodersdorf</v>
      </c>
      <c r="G80" s="48" t="str">
        <f>'Nach Mannschaften sortiert'!G76</f>
        <v>Leithaprodersdorf</v>
      </c>
      <c r="H80" s="48" t="str">
        <f>'Nach Mannschaften sortiert'!H76</f>
        <v>Auswärts</v>
      </c>
    </row>
    <row r="81" spans="1:8" x14ac:dyDescent="0.3">
      <c r="A81" s="48" t="e">
        <f>'Nach Mannschaften sortiert'!#REF!</f>
        <v>#REF!</v>
      </c>
      <c r="B81" s="48" t="e">
        <f>'Nach Mannschaften sortiert'!#REF!</f>
        <v>#REF!</v>
      </c>
      <c r="C81" s="48" t="e">
        <f>'Nach Mannschaften sortiert'!#REF!</f>
        <v>#REF!</v>
      </c>
      <c r="D81" s="49" t="e">
        <f>'Nach Mannschaften sortiert'!#REF!</f>
        <v>#REF!</v>
      </c>
      <c r="E81" s="97" t="e">
        <f>'Nach Mannschaften sortiert'!#REF!</f>
        <v>#REF!</v>
      </c>
      <c r="F81" s="48" t="e">
        <f>'Nach Mannschaften sortiert'!#REF!</f>
        <v>#REF!</v>
      </c>
      <c r="G81" s="48" t="e">
        <f>'Nach Mannschaften sortiert'!#REF!</f>
        <v>#REF!</v>
      </c>
      <c r="H81" s="48" t="e">
        <f>'Nach Mannschaften sortiert'!#REF!</f>
        <v>#REF!</v>
      </c>
    </row>
    <row r="82" spans="1:8" x14ac:dyDescent="0.3">
      <c r="A82" s="48" t="e">
        <f>'Nach Mannschaften sortiert'!#REF!</f>
        <v>#REF!</v>
      </c>
      <c r="B82" s="48" t="e">
        <f>'Nach Mannschaften sortiert'!#REF!</f>
        <v>#REF!</v>
      </c>
      <c r="C82" s="48" t="e">
        <f>'Nach Mannschaften sortiert'!#REF!</f>
        <v>#REF!</v>
      </c>
      <c r="D82" s="49" t="e">
        <f>'Nach Mannschaften sortiert'!#REF!</f>
        <v>#REF!</v>
      </c>
      <c r="E82" s="97" t="e">
        <f>'Nach Mannschaften sortiert'!#REF!</f>
        <v>#REF!</v>
      </c>
      <c r="F82" s="48" t="e">
        <f>'Nach Mannschaften sortiert'!#REF!</f>
        <v>#REF!</v>
      </c>
      <c r="G82" s="48" t="e">
        <f>'Nach Mannschaften sortiert'!#REF!</f>
        <v>#REF!</v>
      </c>
      <c r="H82" s="48" t="e">
        <f>'Nach Mannschaften sortiert'!#REF!</f>
        <v>#REF!</v>
      </c>
    </row>
    <row r="83" spans="1:8" x14ac:dyDescent="0.3">
      <c r="A83" s="54" t="e">
        <f>'Nach Mannschaften sortiert'!#REF!</f>
        <v>#REF!</v>
      </c>
      <c r="B83" s="54" t="e">
        <f>'Nach Mannschaften sortiert'!#REF!</f>
        <v>#REF!</v>
      </c>
      <c r="C83" s="54" t="e">
        <f>'Nach Mannschaften sortiert'!#REF!</f>
        <v>#REF!</v>
      </c>
      <c r="D83" s="55" t="e">
        <f>'Nach Mannschaften sortiert'!#REF!</f>
        <v>#REF!</v>
      </c>
      <c r="E83" s="95" t="e">
        <f>'Nach Mannschaften sortiert'!#REF!</f>
        <v>#REF!</v>
      </c>
      <c r="F83" s="54" t="e">
        <f>'Nach Mannschaften sortiert'!#REF!</f>
        <v>#REF!</v>
      </c>
      <c r="G83" s="54" t="e">
        <f>'Nach Mannschaften sortiert'!#REF!</f>
        <v>#REF!</v>
      </c>
      <c r="H83" s="54" t="e">
        <f>'Nach Mannschaften sortiert'!#REF!</f>
        <v>#REF!</v>
      </c>
    </row>
    <row r="84" spans="1:8" x14ac:dyDescent="0.3">
      <c r="A84" s="54">
        <f>'Nach Mannschaften sortiert'!A134</f>
        <v>133</v>
      </c>
      <c r="B84" s="54">
        <f>'Nach Mannschaften sortiert'!B134</f>
        <v>2</v>
      </c>
      <c r="C84" s="54" t="str">
        <f>'Nach Mannschaften sortiert'!C135</f>
        <v>Turnier</v>
      </c>
      <c r="D84" s="55">
        <f>'Nach Mannschaften sortiert'!D134</f>
        <v>46256</v>
      </c>
      <c r="E84" s="95">
        <f>'Nach Mannschaften sortiert'!E134</f>
        <v>0.375</v>
      </c>
      <c r="F84" s="54" t="str">
        <f>'Nach Mannschaften sortiert'!F134</f>
        <v>Neufeld</v>
      </c>
      <c r="G84" s="54" t="str">
        <f>'Nach Mannschaften sortiert'!G134</f>
        <v>viele Gegner</v>
      </c>
      <c r="H84" s="54" t="str">
        <f>'Nach Mannschaften sortiert'!H134</f>
        <v>Heim</v>
      </c>
    </row>
  </sheetData>
  <autoFilter ref="A1:H84" xr:uid="{00000000-0009-0000-0000-000004000000}">
    <filterColumn colId="5">
      <filters>
        <filter val="Neufeld"/>
      </filters>
    </filterColumn>
    <filterColumn colId="7">
      <filters>
        <filter val="Heim"/>
      </filters>
    </filterColumn>
    <sortState xmlns:xlrd2="http://schemas.microsoft.com/office/spreadsheetml/2017/richdata2" ref="A3:H84">
      <sortCondition ref="D1:D84"/>
    </sortState>
  </autoFilter>
  <pageMargins left="0.7" right="0.7" top="0.78740157499999996" bottom="0.78740157499999996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Nach Mannschaften sortiert</vt:lpstr>
      <vt:lpstr>ICS2</vt:lpstr>
      <vt:lpstr>Stefans Liste 2026</vt:lpstr>
      <vt:lpstr>Kalendernamen</vt:lpstr>
      <vt:lpstr>Trainingsplan</vt:lpstr>
      <vt:lpstr>Heimspiele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Berger Dieter</dc:creator>
  <cp:lastModifiedBy>dieter berger</cp:lastModifiedBy>
  <cp:lastPrinted>2026-03-11T14:46:58Z</cp:lastPrinted>
  <dcterms:created xsi:type="dcterms:W3CDTF">2017-08-10T11:50:27Z</dcterms:created>
  <dcterms:modified xsi:type="dcterms:W3CDTF">2026-10-17T12:00:36Z</dcterms:modified>
</cp:coreProperties>
</file>
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76FF009B-F925-4FA1-B464-4BCAEA131CF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<sst xmlns="http://schemas.openxmlformats.org/spreadsheetml/2006/main" count="1151" uniqueCount="246">
  <si>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</si>
  <si>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</si>
  <si>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</si>
  <si>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</si>
  <si>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</si>
  <si>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</si>
  <si>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</si>
  <si>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</si>
  <si>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</si>
  <si>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</si>
  <si>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</si>
  <si>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</si>
  <si>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</si>
  <si>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</si>
  <si>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</si>
  <si>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</si>
  <si>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</si>
  <si>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</si>
  <si>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</si>
  <si>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</si>
  <si>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</si>
  <si>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</si>
  <si>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</si>
  <si>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</si>
  <si>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</si>
  <si>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</si>
  <si>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</si>
  <si>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</si>
  <si>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</si>
  <si>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</si>
  <si>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</si>
  <si>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</si>
  <si>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</si>
  <si>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</si>
  <si>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</si>
  <si>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</si>
  <si>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</si>
  <si>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</si>
  <si>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</si>
  <si>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</si>
  <si>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</si>
  <si>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</si>
  <si>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</si>
  <si>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</si>
  <si>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</si>
  <si>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</si>
  <si>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</si>
  <si>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</si>
  <si>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</si>
  <si>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</si>
  <si>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</si>
  <si>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</si>
  <si>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</si>
  <si>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</si>
  <si>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</si>
  <si>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</si>
  <si>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</si>
  <si>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</si>
  <si>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</si>
  <si>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</si>
  <si>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</si>
  <si>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</si>
  <si>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</si>
  <si>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</si>
  <si>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</si>
  <si>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</si>
  <si>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</si>
  <si>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</si>
  <si>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</si>
  <si>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</si>
  <si>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</si>
  <si>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</si>
  <si>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</si>
  <si>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</si>
  <si>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</si>
  <si>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</si>
  <si>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</si>
  <si>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</si>
  <si>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</si>
  <si>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</si>
  <si>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</si>
  <si>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</si>
  <si>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</si>
  <si>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</si>
  <si>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</si>
  <si>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</si>
  <si>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</si>
  <si>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</si>
  <si>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</si>
  <si>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</si>
  <si>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</si>
  <si>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</si>
  <si>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</si>
  <si>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</si>
  <si>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</si>
  <si>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</si>
  <si>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</si>
  <si>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</si>
  <si>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</si>
  <si>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</si>
  <si>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</si>
  <si>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</si>
  <si>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</si>
  <si>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</si>
  <si>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</si>
  <si>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</si>
  <si>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</si>
  <si>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</si>
  <si>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</si>
  <si>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</si>
  <si>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</si>
  <si>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</si>
  <si>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</si>
  <si>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</si>
  <si>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</si>
  <si>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</si>
  <si>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</si>
  <si>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</si>
  <si>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</si>
  <si>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</si>
  <si>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</si>
  <si>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</si>
  <si>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</si>
  <si>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</si>
  <si>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</si>
  <si>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</si>
  <si>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</si>
  <si>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</si>
  <si>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</si>
  <si>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</si>
  <si>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</si>
  <si>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</si>
  <si>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</si>
  <si>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</si>
  <si>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</si>
  <si>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</si>
  <si>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</si>
  <si>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</si>
  <si>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</si>
  <si>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</si>
  <si>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</si>
  <si>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</si>
  <si>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</si>
  <si>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</si>
  <si>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</si>
  <si>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</si>
  <si>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</si>
  <si>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</si>
  <si>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</si>
  <si>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</si>
  <si>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</si>
  <si>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</si>
  <si>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</si>
  <si>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</si>
  <si>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</si>
  <si>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</si>
  <si>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</si>
  <si>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</si>
  <si>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</si>
  <si>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</si>
  <si>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</si>
  <si>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</si>
  <si>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</si>
  <si>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</si>
  <si>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</si>
  <si>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</si>
  <si>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</si>
  <si>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</si>
  <si>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</si>
  <si>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</si>
  <si>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</si>
  <si>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</si>
  <si>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</si>
  <si>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</si>
  <si>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</si>
  <si>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</si>
  <si>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</si>
  <si>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</si>
  <si>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</si>
  <si>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</si>
  <si>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</si>
  <si>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</si>
  <si>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</si>
  <si>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</si>
  <si>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</si>
  <si>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</si>
  <si>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</si>
  <si>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</si>
  <si>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</si>
  <si>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</si>
  <si>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</si>
  <si>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</si>
  <si>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</si>
  <si>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</si>
  <si>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</si>
  <si>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</si>
  <si>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</si>
  <si>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</si>
  <si>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</si>
  <si>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</si>
  <si>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</si>
  <si>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</si>
  <si>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</si>
  <si>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</si>
  <si>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</si>
  <si>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</si>
  <si>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</si>
  <si>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</si>
  <si>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</si>
  <si>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</si>
  <si>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</si>
  <si>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</si>
  <si>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2:0 für Neufeld</t>
  </si>
  <si>
    <t>6:1 für Neufeld</t>
  </si>
  <si>
    <t>3:0 für Neufeld</t>
  </si>
  <si>
    <t>2:5 für Parndorf</t>
  </si>
  <si>
    <t>8:2 für Wulkaprodersdorf</t>
  </si>
  <si>
    <t>0:0</t>
  </si>
  <si>
    <t>9:4 für Neufeld</t>
  </si>
  <si>
    <t>10:1 für Neufeld</t>
  </si>
  <si>
    <t>1:1</t>
  </si>
  <si>
    <t>1:0 für Neufeld</t>
  </si>
  <si>
    <t>1:3 für Seewinkel</t>
  </si>
  <si>
    <t>5:6 für Wulkaprodersdorf</t>
  </si>
  <si>
    <t>2:2</t>
  </si>
  <si>
    <t>2:0 für Siegendorf</t>
  </si>
  <si>
    <t>5:6 für Hornstein</t>
  </si>
  <si>
    <t>11:6 für Neufeld</t>
  </si>
  <si>
    <t>7:0 für Draßburg</t>
  </si>
  <si>
    <t>3:1 für Wimpassing</t>
  </si>
  <si>
    <t>16:2 für Leithaprodersdorf</t>
  </si>
  <si>
    <t>11:2 für Neufeld</t>
  </si>
  <si>
    <t>3:2 für SPG ASV</t>
  </si>
  <si>
    <t>6:2 für SPG ASV</t>
  </si>
  <si>
    <t>8:1 für SPG ASV</t>
  </si>
  <si>
    <t>2:1 für SPG ASV</t>
  </si>
  <si>
    <t>7:2 für SPG ASV</t>
  </si>
  <si>
    <t>5:2 für SPG ASV</t>
  </si>
  <si>
    <t>5:4 für SPG ASV</t>
  </si>
  <si>
    <t>4:0 für SPG ASV</t>
  </si>
  <si>
    <t>5:0 für Hornstein</t>
  </si>
  <si>
    <t>3:1 für Hornstein</t>
  </si>
  <si>
    <t>13:3  für St. Georgen</t>
  </si>
  <si>
    <t>12:9 für Steinbrunn</t>
  </si>
  <si>
    <t>5:1 für Leithaprodersdorf</t>
  </si>
  <si>
    <t>3:1 für SPG ASV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</si>
</sst>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zoomScaleNormal="100" workbookViewId="0">
      <pane ySplit="1" topLeftCell="A14" activePane="bottomLeft" state="frozen"/>
      <selection pane="bottomLeft" activeCell="F78" sqref="F78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0.625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46316</v>
      </c>
      <c r="E77" s="7">
        <v>0.75</v>
      </c>
      <c r="F77" s="6" t="s">
        <v>59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46311</v>
      </c>
      <c r="E85" s="90">
        <v>0.75</v>
      </c>
      <c r="F85" s="88" t="s">
        <v>59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69" workbookViewId="0">
      <selection activeCell="F76" sqref="F76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212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220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225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F31" s="82" t="s">
        <v>221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F32" s="82" t="s">
        <v>240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213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221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224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F44" s="82" t="s">
        <v>229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F45" s="82" t="s">
        <v>241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214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224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F53" s="82" t="s">
        <v>214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F54" s="82" t="s">
        <v>220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F55" s="82" t="s">
        <v>214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217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215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222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F64" s="82" t="s">
        <v>228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237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238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F73" s="82" t="s">
        <v>235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F74" s="82" t="s">
        <v>239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0.625</v>
      </c>
      <c r="D75" s="94">
        <f t="shared" si="2"/>
        <v>0.67361111111111116</v>
      </c>
      <c r="E75" s="94" t="str">
        <f>UPPER('Nach Mannschaften sortiert'!F75)</f>
        <v>NEUFELD</v>
      </c>
      <c r="F75" s="82" t="s">
        <v>245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46316</v>
      </c>
      <c r="C77" s="94">
        <f>'Nach Mannschaften sortiert'!E77</f>
        <v>0.75</v>
      </c>
      <c r="D77" s="94">
        <f t="shared" si="2"/>
        <v>0.79861111111111116</v>
      </c>
      <c r="E77" s="94" t="str">
        <f>UPPER('Nach Mannschaften sortiert'!F77)</f>
        <v>STEINBRUNN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232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233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234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235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F84" s="82" t="s">
        <v>236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46311</v>
      </c>
      <c r="C85" s="94">
        <f>'Nach Mannschaften sortiert'!E85</f>
        <v>0.75</v>
      </c>
      <c r="D85" s="94">
        <f t="shared" si="2"/>
        <v>0.79861111111111116</v>
      </c>
      <c r="E85" s="94" t="str">
        <f>UPPER('Nach Mannschaften sortiert'!F85)</f>
        <v>STEINBRUNN</v>
      </c>
      <c r="F85" s="82" t="s">
        <v>242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216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223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226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F94" s="82" t="s">
        <v>230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F95" s="82" t="s">
        <v>244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218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219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227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F108" s="82" t="s">
        <v>231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F109" s="82" t="s">
        <v>243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63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46311</v>
      </c>
      <c r="C99" s="122">
        <f>'ICS2'!C85</f>
        <v>0.75</v>
      </c>
      <c r="D99" s="120" t="str">
        <f>'ICS2'!E85</f>
        <v>STEINBRUNN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0.625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46316</v>
      </c>
      <c r="C119" s="122">
        <f>'ICS2'!C77</f>
        <v>0.75</v>
      </c>
      <c r="D119" s="120" t="str">
        <f>'ICS2'!E77</f>
        <v>STEINBRUNN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0.625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2026-10-17T14:33:30Z</dcterms:modified>
</cp:coreProperties>
</file>
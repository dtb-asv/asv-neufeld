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BFF3527A-779D-4256-878A-AE6CE9D9755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" l="1"/>
  <c r="C14" i="2"/>
  <c r="D14" i="2"/>
  <c r="E14" i="2"/>
  <c r="G14" i="2"/>
  <c r="H14" i="2"/>
  <c r="I14" i="2"/>
  <c r="A14" i="1"/>
  <c r="A15" i="1"/>
  <c r="C131" i="7"/>
  <c r="B59" i="2"/>
  <c r="B131" i="7" s="1"/>
  <c r="C59" i="2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D34" i="2" s="1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E72" i="2"/>
  <c r="D58" i="7" s="1"/>
  <c r="G72" i="2"/>
  <c r="H72" i="2"/>
  <c r="E58" i="7" s="1"/>
  <c r="I72" i="2"/>
  <c r="D72" i="2" s="1"/>
  <c r="B73" i="2"/>
  <c r="B79" i="7" s="1"/>
  <c r="C73" i="2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D82" i="2" s="1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142" i="2"/>
  <c r="B67" i="7" s="1"/>
  <c r="C142" i="2"/>
  <c r="C67" i="7" s="1"/>
  <c r="E142" i="2"/>
  <c r="D67" i="7" s="1"/>
  <c r="G142" i="2"/>
  <c r="H142" i="2"/>
  <c r="E67" i="7" s="1"/>
  <c r="I142" i="2"/>
  <c r="A67" i="7" s="1"/>
  <c r="D18" i="7"/>
  <c r="A35" i="7"/>
  <c r="F35" i="7" s="1"/>
  <c r="I35" i="7" s="1"/>
  <c r="A96" i="7"/>
  <c r="F96" i="7" s="1"/>
  <c r="C64" i="7"/>
  <c r="E70" i="7"/>
  <c r="A52" i="7"/>
  <c r="F52" i="7" s="1"/>
  <c r="B33" i="7"/>
  <c r="E4" i="7"/>
  <c r="C14" i="7"/>
  <c r="C2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55" i="7"/>
  <c r="F55" i="7" s="1"/>
  <c r="A90" i="7"/>
  <c r="F90" i="7" s="1"/>
  <c r="G90" i="7" s="1"/>
  <c r="A77" i="7"/>
  <c r="F77" i="7" s="1"/>
  <c r="B53" i="7"/>
  <c r="A98" i="7"/>
  <c r="F98" i="7" s="1"/>
  <c r="B51" i="7"/>
  <c r="A66" i="7"/>
  <c r="F66" i="7" s="1"/>
  <c r="A62" i="7"/>
  <c r="F62" i="7" s="1"/>
  <c r="A75" i="7"/>
  <c r="F75" i="7" s="1"/>
  <c r="C75" i="7"/>
  <c r="B59" i="7"/>
  <c r="A87" i="7"/>
  <c r="F87" i="7" s="1"/>
  <c r="A80" i="7"/>
  <c r="F80" i="7" s="1"/>
  <c r="B71" i="7"/>
  <c r="A97" i="7"/>
  <c r="F97" i="7" s="1"/>
  <c r="G97" i="7" s="1"/>
  <c r="B97" i="7"/>
  <c r="A118" i="7"/>
  <c r="F118" i="7" s="1"/>
  <c r="A103" i="7"/>
  <c r="F103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54" i="2" l="1"/>
  <c r="A74" i="7"/>
  <c r="F74" i="7" s="1"/>
  <c r="C40" i="7"/>
  <c r="A56" i="7"/>
  <c r="F56" i="7" s="1"/>
  <c r="I56" i="7" s="1"/>
  <c r="A21" i="7"/>
  <c r="F21" i="7" s="1"/>
  <c r="A82" i="7"/>
  <c r="F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4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K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J56" i="7" l="1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<sst xmlns="http://schemas.openxmlformats.org/spreadsheetml/2006/main" count="1098" uniqueCount="196">
  <si>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</si>
  <si>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</si>
  <si>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</si>
  <si>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</si>
  <si>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</si>
  <si>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</si>
  <si>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</si>
  <si>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</si>
  <si>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</si>
  <si>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</si>
  <si>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</si>
  <si>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</si>
  <si>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</si>
  <si>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</si>
  <si>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</si>
  <si>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</si>
  <si>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</si>
  <si>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</si>
  <si>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</si>
  <si>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</si>
  <si>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</si>
  <si>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</si>
  <si>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</si>
  <si>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</si>
  <si>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</si>
  <si>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</si>
  <si>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</si>
  <si>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</si>
  <si>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</si>
  <si>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</si>
  <si>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</si>
  <si>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</si>
  <si>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</si>
  <si>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</si>
  <si>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</si>
  <si>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</si>
  <si>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</si>
  <si>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</si>
  <si>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</si>
  <si>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</si>
  <si>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</si>
  <si>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</si>
  <si>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</si>
  <si>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</si>
  <si>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</si>
  <si>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</si>
  <si>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</si>
  <si>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</si>
  <si>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</si>
  <si>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</si>
  <si>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</si>
  <si>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</si>
  <si>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</si>
  <si>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</si>
  <si>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</si>
  <si>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</si>
  <si>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</si>
  <si>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</si>
  <si>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</si>
  <si>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</si>
  <si>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</si>
  <si>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</si>
  <si>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</si>
  <si>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</si>
  <si>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</si>
  <si>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</si>
  <si>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</si>
  <si>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</si>
  <si>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</si>
  <si>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</si>
  <si>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</si>
  <si>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</si>
  <si>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</si>
  <si>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</si>
  <si>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</si>
  <si>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</si>
  <si>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</si>
  <si>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</si>
  <si>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</si>
  <si>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</si>
  <si>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</si>
  <si>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</si>
  <si>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</si>
  <si>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</si>
  <si>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</si>
  <si>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</si>
  <si>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</si>
  <si>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</si>
  <si>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</si>
  <si>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</si>
  <si>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</si>
  <si>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</si>
  <si>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</si>
  <si>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</si>
  <si>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</si>
  <si>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</si>
  <si>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</si>
  <si>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</si>
  <si>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</si>
  <si>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</si>
  <si>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</si>
  <si>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</si>
  <si>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</si>
  <si>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</si>
  <si>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</si>
  <si>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</si>
  <si>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</si>
  <si>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</si>
  <si>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</si>
  <si>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</si>
  <si>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</si>
  <si>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</si>
  <si>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</si>
  <si>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</si>
  <si>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</si>
  <si>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</si>
  <si>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</si>
  <si>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</si>
  <si>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</si>
  <si>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</si>
  <si>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</si>
  <si>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</si>
  <si>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</si>
  <si>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</si>
  <si>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</si>
  <si>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</si>
  <si>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</si>
  <si>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</si>
  <si>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</si>
  <si>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</si>
  <si>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</si>
  <si>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</si>
  <si>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</si>
  <si>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</si>
  <si>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</si>
  <si>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</si>
  <si>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</si>
  <si>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</si>
  <si>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</si>
  <si>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</si>
  <si>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</si>
  <si>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</si>
  <si>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</si>
  <si>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</si>
  <si>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</si>
  <si>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</si>
  <si>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</si>
  <si>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</si>
  <si>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</si>
  <si>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</si>
  <si>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</si>
  <si>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</si>
  <si>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</si>
  <si>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</si>
  <si>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</si>
  <si>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</si>
  <si>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</si>
  <si>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</si>
  <si>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</si>
  <si>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</si>
  <si>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</si>
  <si>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</si>
  <si>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</si>
  <si>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</si>
  <si>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</si>
  <si>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</si>
  <si>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</si>
  <si>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</si>
  <si>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</si>
  <si>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</si>
  <si>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</si>
  <si>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</si>
  <si>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</si>
  <si>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</si>
  <si>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</si>
  <si>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</si>
  <si>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</si>
  <si>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</si>
  <si>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</si>
  <si>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</si>
  <si>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</si>
  <si>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</si>
  <si>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</si>
  <si>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</si>
  <si>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</si>
  <si>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</si>
  <si>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</si>
  <si>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</si>
  <si>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</si>
  <si>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</si>
  <si>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</si>
  <si>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</si>
  <si>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</si>
  <si>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</si>
  <si>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009:00</t>
  </si>
  <si>
    <t>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</si>
</sst>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tabSelected="1" zoomScaleNormal="100" workbookViewId="0">
      <pane ySplit="1" topLeftCell="A95" activePane="bottomLeft" state="frozen"/>
      <selection pane="bottomLeft" activeCell="D118" sqref="D118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46278</v>
      </c>
      <c r="E50" s="22"/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46334</v>
      </c>
      <c r="E58" s="22"/>
      <c r="F58" s="21" t="s">
        <v>179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23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0.60416666666666663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28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0.625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46327</v>
      </c>
      <c r="E68" s="15">
        <v>0.625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46276</v>
      </c>
      <c r="E70" s="7"/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46284</v>
      </c>
      <c r="E71" s="7">
        <v>0.4375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176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46298</v>
      </c>
      <c r="E73" s="7">
        <v>0.5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/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46318</v>
      </c>
      <c r="E76" s="7"/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46332</v>
      </c>
      <c r="E78" s="7">
        <v>0.72916666666666663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/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46304</v>
      </c>
      <c r="E84" s="90"/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46325</v>
      </c>
      <c r="E87" s="90"/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46304</v>
      </c>
      <c r="E94" s="20"/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/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 t="s">
        <v>194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46292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46275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/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 t="s">
        <v>195</v>
      </c>
      <c r="E116" s="27"/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 t="s">
        <v>195</v>
      </c>
      <c r="E117" s="27"/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topLeftCell="A8" workbookViewId="0">
      <selection activeCell="J14" sqref="J14:L14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77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46278</v>
      </c>
      <c r="C50" s="94">
        <f>'Nach Mannschaften sortiert'!E50</f>
        <v>0</v>
      </c>
      <c r="D50" s="94">
        <f t="shared" si="0"/>
        <v>7.2916666666666671E-2</v>
      </c>
      <c r="E50" s="94" t="str">
        <f>UPPER('Nach Mannschaften sortiert'!F50)</f>
        <v>GOLS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46334</v>
      </c>
      <c r="C58" s="94">
        <f>'Nach Mannschaften sortiert'!E58</f>
        <v>0</v>
      </c>
      <c r="D58" s="94">
        <f t="shared" si="0"/>
        <v>7.2916666666666671E-2</v>
      </c>
      <c r="E58" s="94" t="str">
        <f>UPPER('Nach Mannschaften sortiert'!F58)</f>
        <v>EISENSTADT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NEUFELD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0.60416666666666663</v>
      </c>
      <c r="D63" s="94">
        <f t="shared" si="0"/>
        <v>0.66666666666666663</v>
      </c>
      <c r="E63" s="94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GROßHÖFLEIN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0.625</v>
      </c>
      <c r="D66" s="94">
        <f t="shared" si="0"/>
        <v>0.6875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46327</v>
      </c>
      <c r="C68" s="94">
        <f>'Nach Mannschaften sortiert'!E68</f>
        <v>0.625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0.6875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46276</v>
      </c>
      <c r="C70" s="94">
        <f>'Nach Mannschaften sortiert'!E70</f>
        <v>0</v>
      </c>
      <c r="D70" s="94">
        <f t="shared" si="2"/>
        <v>4.8611111111111112E-2</v>
      </c>
      <c r="E70" s="94" t="str">
        <f>UPPER('Nach Mannschaften sortiert'!F70)</f>
        <v>KLINGENBACH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46284</v>
      </c>
      <c r="C71" s="94">
        <f>'Nach Mannschaften sortiert'!E71</f>
        <v>0.4375</v>
      </c>
      <c r="D71" s="94">
        <f t="shared" si="2"/>
        <v>0.4861111111111111</v>
      </c>
      <c r="E71" s="94" t="str">
        <f>UPPER('Nach Mannschaften sortiert'!F71)</f>
        <v>NEUFELD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RUST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46298</v>
      </c>
      <c r="C73" s="94">
        <f>'Nach Mannschaften sortiert'!E73</f>
        <v>0.5</v>
      </c>
      <c r="D73" s="94">
        <f t="shared" si="2"/>
        <v>0.54861111111111116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</v>
      </c>
      <c r="D74" s="94">
        <f t="shared" si="2"/>
        <v>4.8611111111111112E-2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46318</v>
      </c>
      <c r="C76" s="94">
        <f>'Nach Mannschaften sortiert'!E76</f>
        <v>0</v>
      </c>
      <c r="D76" s="94">
        <f t="shared" si="2"/>
        <v>4.8611111111111112E-2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46332</v>
      </c>
      <c r="C78" s="94">
        <f>'Nach Mannschaften sortiert'!E78</f>
        <v>0.72916666666666663</v>
      </c>
      <c r="D78" s="94">
        <f t="shared" si="2"/>
        <v>0.77777777777777779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</v>
      </c>
      <c r="D83" s="94">
        <f t="shared" si="2"/>
        <v>4.8611111111111112E-2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46304</v>
      </c>
      <c r="C84" s="94">
        <f>'Nach Mannschaften sortiert'!E84</f>
        <v>0</v>
      </c>
      <c r="D84" s="94">
        <f t="shared" si="2"/>
        <v>4.8611111111111112E-2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46325</v>
      </c>
      <c r="C87" s="94">
        <f>'Nach Mannschaften sortiert'!E87</f>
        <v>0</v>
      </c>
      <c r="D87" s="94">
        <f t="shared" si="2"/>
        <v>4.8611111111111112E-2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46304</v>
      </c>
      <c r="C94" s="94">
        <f>'Nach Mannschaften sortiert'!E94</f>
        <v>0</v>
      </c>
      <c r="D94" s="94">
        <f t="shared" si="2"/>
        <v>4.8611111111111112E-2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</v>
      </c>
      <c r="D99" s="94">
        <f t="shared" si="2"/>
        <v>4.3750000000000004E-2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 t="str">
        <f>'Nach Mannschaften sortiert'!E100</f>
        <v>009:00</v>
      </c>
      <c r="D100" s="94" t="e">
        <f t="shared" si="2"/>
        <v>#VALUE!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46292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46275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</v>
      </c>
      <c r="D114" s="94">
        <f t="shared" si="2"/>
        <v>0.125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 t="str">
        <f>'Nach Mannschaften sortiert'!D116</f>
        <v>XXXXX</v>
      </c>
      <c r="C116" s="94">
        <f>'Nach Mannschaften sortiert'!E116</f>
        <v>0</v>
      </c>
      <c r="D116" s="94">
        <f t="shared" si="2"/>
        <v>0.125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 t="str">
        <f>'Nach Mannschaften sortiert'!D117</f>
        <v>XXXXX</v>
      </c>
      <c r="C117" s="94">
        <f>'Nach Mannschaften sortiert'!E117</f>
        <v>0</v>
      </c>
      <c r="D117" s="94">
        <f t="shared" si="2"/>
        <v>0.125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2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  <row r="142" spans="2:12" x14ac:dyDescent="0.3">
      <c r="B142" s="93">
        <f>'Nach Mannschaften sortiert'!D142</f>
        <v>46291</v>
      </c>
      <c r="C142" s="94">
        <f>'Nach Mannschaften sortiert'!E142</f>
        <v>0.75</v>
      </c>
      <c r="D142" s="94">
        <f t="shared" si="3"/>
        <v>0.875</v>
      </c>
      <c r="E142" s="94" t="str">
        <f>UPPER('Nach Mannschaften sortiert'!F142)</f>
        <v>NEUFELD</v>
      </c>
      <c r="G142" t="str">
        <f>'Nach Mannschaften sortiert'!H142</f>
        <v>Heim</v>
      </c>
      <c r="H142" t="str">
        <f>'Nach Mannschaften sortiert'!G142</f>
        <v>Oktoberfest 2026</v>
      </c>
      <c r="I142" t="str">
        <f>'Nach Mannschaften sortiert'!C142</f>
        <v>Fest ASV Neufeld</v>
      </c>
      <c r="J142" s="82" t="s">
        <v>77</v>
      </c>
      <c r="K142" t="s">
        <v>80</v>
      </c>
      <c r="L142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 t="str">
        <f>'ICS2'!B117</f>
        <v>XXXXX</v>
      </c>
      <c r="C2" s="104">
        <f>'ICS2'!C117</f>
        <v>0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46275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 t="str">
        <f>'ICS2'!C100</f>
        <v>009:00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46292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46304</v>
      </c>
      <c r="C51" s="104">
        <f>'ICS2'!C94</f>
        <v>0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46276</v>
      </c>
      <c r="C56" s="104">
        <f>'ICS2'!C70</f>
        <v>0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46284</v>
      </c>
      <c r="C57" s="122">
        <f>'ICS2'!C71</f>
        <v>0.4375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RUST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NEUFELD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NEUFELD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46318</v>
      </c>
      <c r="C62" s="104">
        <f>'ICS2'!C76</f>
        <v>0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46332</v>
      </c>
      <c r="C64" s="104">
        <f>'ICS2'!C78</f>
        <v>0.72916666666666663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str">
        <f>'ICS2'!I142</f>
        <v>Fest ASV Neufeld</v>
      </c>
      <c r="B67" s="103">
        <f>'ICS2'!B142</f>
        <v>46291</v>
      </c>
      <c r="C67" s="104">
        <f>'ICS2'!C142</f>
        <v>0.75</v>
      </c>
      <c r="D67" s="57" t="str">
        <f>'ICS2'!E142</f>
        <v>NEUFELD</v>
      </c>
      <c r="E67" s="57" t="str">
        <f>'ICS2'!H142</f>
        <v>Oktoberfest 2026</v>
      </c>
      <c r="F67" s="57" t="str">
        <f t="shared" si="15"/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 t="shared" si="16"/>
        <v>FEHLER</v>
      </c>
      <c r="K67" s="57" t="str">
        <f t="shared" si="17"/>
        <v>FEHLER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46304</v>
      </c>
      <c r="C70" s="104">
        <f>'ICS2'!C84</f>
        <v>0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46325</v>
      </c>
      <c r="C73" s="104">
        <f>'ICS2'!C87</f>
        <v>0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0.60416666666666663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46298</v>
      </c>
      <c r="C79" s="119">
        <f>'ICS2'!C73</f>
        <v>0.5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0.625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46327</v>
      </c>
      <c r="C88" s="104">
        <f>'ICS2'!C68</f>
        <v>0.625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GROßHÖFLEIN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46278</v>
      </c>
      <c r="C97" s="104">
        <f>'ICS2'!C50</f>
        <v>0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 t="str">
        <f>'ICS2'!B116</f>
        <v>XXXXX</v>
      </c>
      <c r="C125" s="104">
        <f>'ICS2'!C116</f>
        <v>0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46334</v>
      </c>
      <c r="C143" s="126">
        <f>'Nach Mannschaften sortiert'!E58</f>
        <v>0</v>
      </c>
      <c r="D143" s="124" t="str">
        <f>'Nach Mannschaften sortiert'!F58</f>
        <v>Eisenstadt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46278</v>
      </c>
      <c r="E16" s="97">
        <f>'Nach Mannschaften sortiert'!E50</f>
        <v>0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46275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Neufeld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46304</v>
      </c>
      <c r="E42" s="95">
        <f>'Nach Mannschaften sortiert'!E94</f>
        <v>0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46284</v>
      </c>
      <c r="E44" s="99">
        <f>'Nach Mannschaften sortiert'!E71</f>
        <v>0.4375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0.60416666666666663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46276</v>
      </c>
      <c r="E47" s="95">
        <f>'Nach Mannschaften sortiert'!E70</f>
        <v>0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Rust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46298</v>
      </c>
      <c r="E50" s="95">
        <f>'Nach Mannschaften sortiert'!E73</f>
        <v>0.5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46327</v>
      </c>
      <c r="E62" s="98">
        <f>'Nach Mannschaften sortiert'!E68</f>
        <v>0.625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 t="str">
        <f>'Nach Mannschaften sortiert'!D116</f>
        <v>XXXXX</v>
      </c>
      <c r="E73" s="95">
        <f>'Nach Mannschaften sortiert'!E116</f>
        <v>0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 t="str">
        <f>'Nach Mannschaften sortiert'!D117</f>
        <v>XXXXX</v>
      </c>
      <c r="E74" s="95">
        <f>'Nach Mannschaften sortiert'!E117</f>
        <v>0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46318</v>
      </c>
      <c r="E80" s="97">
        <f>'Nach Mannschaften sortiert'!E76</f>
        <v>0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2026-08-15T06:06:32Z</dcterms:modified>
</cp:coreProperties>
</file>
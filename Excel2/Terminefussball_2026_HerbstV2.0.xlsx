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3857CC93-4392-4982-9845-69B3B94AA70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B51" i="7"/>
  <c r="A66" i="7"/>
  <c r="F66" i="7" s="1"/>
  <c r="A62" i="7"/>
  <c r="F62" i="7" s="1"/>
  <c r="A75" i="7"/>
  <c r="F75" i="7" s="1"/>
  <c r="C75" i="7"/>
  <c r="B59" i="7"/>
  <c r="A87" i="7"/>
  <c r="F87" i="7" s="1"/>
  <c r="A80" i="7"/>
  <c r="F80" i="7" s="1"/>
  <c r="B71" i="7"/>
  <c r="A97" i="7"/>
  <c r="F97" i="7" s="1"/>
  <c r="G97" i="7" s="1"/>
  <c r="B97" i="7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<sst xmlns="http://schemas.openxmlformats.org/spreadsheetml/2006/main" count="1097" uniqueCount="195">
  <si>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</si>
  <si>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</si>
  <si>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</si>
  <si>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</si>
  <si>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</si>
  <si>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</si>
  <si>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</si>
  <si>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</si>
  <si>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</si>
  <si>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</si>
  <si>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</si>
  <si>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</si>
  <si>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</si>
  <si>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</si>
  <si>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</si>
  <si>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</si>
  <si>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</si>
  <si>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</si>
  <si>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</si>
  <si>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</si>
  <si>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</si>
  <si>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</si>
  <si>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</si>
  <si>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</si>
  <si>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</si>
  <si>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</si>
  <si>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</si>
  <si>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</si>
  <si>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</si>
  <si>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</si>
  <si>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</si>
  <si>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</si>
  <si>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</si>
  <si>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</si>
  <si>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</si>
  <si>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</si>
  <si>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</si>
  <si>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</si>
  <si>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</si>
  <si>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</si>
  <si>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</si>
  <si>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</si>
  <si>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</si>
  <si>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</si>
  <si>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</si>
  <si>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</si>
  <si>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</si>
  <si>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</si>
  <si>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</si>
  <si>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</si>
  <si>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</si>
  <si>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</si>
  <si>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</si>
  <si>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</si>
  <si>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</si>
  <si>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</si>
  <si>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</si>
  <si>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</si>
  <si>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</si>
  <si>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</si>
  <si>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</si>
  <si>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</si>
  <si>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</si>
  <si>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</si>
  <si>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</si>
  <si>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</si>
  <si>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</si>
  <si>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</si>
  <si>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</si>
  <si>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</si>
  <si>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</si>
  <si>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</si>
  <si>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</si>
  <si>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</si>
  <si>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</si>
  <si>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</si>
  <si>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</si>
  <si>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</si>
  <si>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</si>
  <si>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</si>
  <si>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</si>
  <si>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</si>
  <si>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</si>
  <si>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</si>
  <si>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</si>
  <si>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</si>
  <si>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</si>
  <si>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</si>
  <si>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</si>
  <si>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</si>
  <si>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</si>
  <si>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</si>
  <si>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</si>
  <si>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</si>
  <si>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</si>
  <si>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</si>
  <si>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</si>
  <si>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</si>
  <si>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</si>
  <si>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</si>
  <si>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</si>
  <si>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</si>
  <si>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</si>
  <si>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</si>
  <si>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</si>
  <si>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</si>
  <si>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</si>
  <si>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</si>
  <si>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</si>
  <si>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</si>
  <si>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</si>
  <si>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</si>
  <si>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</si>
  <si>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</si>
  <si>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</si>
  <si>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</si>
  <si>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</si>
  <si>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</si>
  <si>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</si>
  <si>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</si>
  <si>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</si>
  <si>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</si>
  <si>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</si>
  <si>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</si>
  <si>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</si>
  <si>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</si>
  <si>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</si>
  <si>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</si>
  <si>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</si>
  <si>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</si>
  <si>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</si>
  <si>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</si>
  <si>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</si>
  <si>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</si>
  <si>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</si>
  <si>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</si>
  <si>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</si>
  <si>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</si>
  <si>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</si>
  <si>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</si>
  <si>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</si>
  <si>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</si>
  <si>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</si>
  <si>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</si>
  <si>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</si>
  <si>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</si>
  <si>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</si>
  <si>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</si>
  <si>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</si>
  <si>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</si>
  <si>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</si>
  <si>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</si>
  <si>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</si>
  <si>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</si>
  <si>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</si>
  <si>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</si>
  <si>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</si>
  <si>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</si>
  <si>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</si>
  <si>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</si>
  <si>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</si>
  <si>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</si>
  <si>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</si>
  <si>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</si>
  <si>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</si>
  <si>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</si>
  <si>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</si>
  <si>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</si>
  <si>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</si>
  <si>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</si>
  <si>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</si>
  <si>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</si>
  <si>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</si>
  <si>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</si>
  <si>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</si>
  <si>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</si>
  <si>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</si>
  <si>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</si>
  <si>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XXX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</si>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</sst>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tabSelected="1" zoomScaleNormal="100" workbookViewId="0">
      <pane ySplit="1" topLeftCell="A9" activePane="bottomLeft" state="frozen"/>
      <selection pane="bottomLeft" activeCell="E15" sqref="E15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194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179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46278</v>
      </c>
      <c r="E50" s="22"/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180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/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191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188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179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192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46334</v>
      </c>
      <c r="E58" s="22"/>
      <c r="F58" s="21" t="s">
        <v>180</v>
      </c>
      <c r="G58" s="21" t="s">
        <v>180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46271</v>
      </c>
      <c r="E60" s="15">
        <v>0.625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46278</v>
      </c>
      <c r="E61" s="15">
        <v>0.625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0.52083333333333337</v>
      </c>
      <c r="F62" s="13" t="s">
        <v>23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0.625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46299</v>
      </c>
      <c r="E64" s="15">
        <v>0.625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0.625</v>
      </c>
      <c r="F65" s="13" t="s">
        <v>28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0.625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46327</v>
      </c>
      <c r="E68" s="15">
        <v>0.625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182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46276</v>
      </c>
      <c r="E70" s="7"/>
      <c r="F70" s="6" t="s">
        <v>183</v>
      </c>
      <c r="G70" s="6" t="s">
        <v>184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46284</v>
      </c>
      <c r="E71" s="7">
        <v>0.4375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185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186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/>
      <c r="F74" s="6" t="s">
        <v>182</v>
      </c>
      <c r="G74" s="6" t="s">
        <v>182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184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46318</v>
      </c>
      <c r="E76" s="7"/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185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46332</v>
      </c>
      <c r="E78" s="7"/>
      <c r="F78" s="6" t="s">
        <v>42</v>
      </c>
      <c r="G78" s="6" t="s">
        <v>186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187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188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46283</v>
      </c>
      <c r="E81" s="90"/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189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/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46304</v>
      </c>
      <c r="E84" s="90"/>
      <c r="F84" s="88" t="s">
        <v>187</v>
      </c>
      <c r="G84" s="88" t="s">
        <v>187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46325</v>
      </c>
      <c r="E87" s="90"/>
      <c r="F87" s="88" t="s">
        <v>190</v>
      </c>
      <c r="G87" s="88" t="s">
        <v>189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/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46283</v>
      </c>
      <c r="E91" s="20"/>
      <c r="F91" s="19" t="s">
        <v>181</v>
      </c>
      <c r="G91" s="19" t="s">
        <v>181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181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46304</v>
      </c>
      <c r="E94" s="20"/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46318</v>
      </c>
      <c r="E96" s="20"/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46325</v>
      </c>
      <c r="E97" s="20"/>
      <c r="F97" s="19" t="s">
        <v>181</v>
      </c>
      <c r="G97" s="19" t="s">
        <v>181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/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/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 t="s">
        <v>178</v>
      </c>
      <c r="E101" s="87"/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 t="s">
        <v>178</v>
      </c>
      <c r="E102" s="87"/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46269</v>
      </c>
      <c r="E103" s="12"/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179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180</v>
      </c>
      <c r="G106" s="8" t="s">
        <v>180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46311</v>
      </c>
      <c r="E109" s="12"/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179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180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/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/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46091</v>
      </c>
      <c r="E116" s="27"/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46092</v>
      </c>
      <c r="E117" s="27"/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opLeftCell="A8" workbookViewId="0">
      <selection activeCell="J14" sqref="J14:L1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77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193</v>
      </c>
      <c r="K49" t="s">
        <v>80</v>
      </c>
      <c r="L49" t="s">
        <v>79</v>
      </c>
    </row>
    <row r="50" spans="2:12" x14ac:dyDescent="0.3">
      <c r="B50" s="93">
        <f>'Nach Mannschaften sortiert'!D50</f>
        <v>46278</v>
      </c>
      <c r="C50" s="94">
        <f>'Nach Mannschaften sortiert'!E50</f>
        <v>0</v>
      </c>
      <c r="D50" s="94">
        <f t="shared" si="0"/>
        <v>7.2916666666666671E-2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</v>
      </c>
      <c r="D52" s="94">
        <f t="shared" si="0"/>
        <v>7.2916666666666671E-2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193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46334</v>
      </c>
      <c r="C58" s="94">
        <f>'Nach Mannschaften sortiert'!E58</f>
        <v>0</v>
      </c>
      <c r="D58" s="94">
        <f t="shared" si="0"/>
        <v>7.2916666666666671E-2</v>
      </c>
      <c r="E58" s="94" t="str">
        <f>UPPER('Nach Mannschaften sortiert'!F58)</f>
        <v>EISENSTADT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46271</v>
      </c>
      <c r="C60" s="94">
        <f>'Nach Mannschaften sortiert'!E60</f>
        <v>0.625</v>
      </c>
      <c r="D60" s="94">
        <f t="shared" si="0"/>
        <v>0.6875</v>
      </c>
      <c r="E60" s="94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46278</v>
      </c>
      <c r="C61" s="94">
        <f>'Nach Mannschaften sortiert'!E61</f>
        <v>0.625</v>
      </c>
      <c r="D61" s="94">
        <f t="shared" si="0"/>
        <v>0.6875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0.52083333333333337</v>
      </c>
      <c r="D62" s="94">
        <f t="shared" si="0"/>
        <v>0.58333333333333337</v>
      </c>
      <c r="E62" s="94" t="str">
        <f>UPPER('Nach Mannschaften sortiert'!F62)</f>
        <v>NEUFELD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0.625</v>
      </c>
      <c r="D63" s="94">
        <f t="shared" si="0"/>
        <v>0.6875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46299</v>
      </c>
      <c r="C64" s="94">
        <f>'Nach Mannschaften sortiert'!E64</f>
        <v>0.625</v>
      </c>
      <c r="D64" s="94">
        <f t="shared" si="0"/>
        <v>0.6875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0.625</v>
      </c>
      <c r="D65" s="94">
        <f t="shared" si="0"/>
        <v>0.6875</v>
      </c>
      <c r="E65" s="94" t="str">
        <f>UPPER('Nach Mannschaften sortiert'!F65)</f>
        <v>GROßHÖFLEIN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0.625</v>
      </c>
      <c r="D66" s="94">
        <f t="shared" si="0"/>
        <v>0.6875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46327</v>
      </c>
      <c r="C68" s="94">
        <f>'Nach Mannschaften sortiert'!E68</f>
        <v>0.625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0.6875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46276</v>
      </c>
      <c r="C70" s="94">
        <f>'Nach Mannschaften sortiert'!E70</f>
        <v>0</v>
      </c>
      <c r="D70" s="94">
        <f t="shared" si="2"/>
        <v>4.8611111111111112E-2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46284</v>
      </c>
      <c r="C71" s="94">
        <f>'Nach Mannschaften sortiert'!E71</f>
        <v>0.4375</v>
      </c>
      <c r="D71" s="94">
        <f t="shared" si="2"/>
        <v>0.4861111111111111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</v>
      </c>
      <c r="D74" s="94">
        <f t="shared" si="2"/>
        <v>4.8611111111111112E-2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46318</v>
      </c>
      <c r="C76" s="94">
        <f>'Nach Mannschaften sortiert'!E76</f>
        <v>0</v>
      </c>
      <c r="D76" s="94">
        <f t="shared" si="2"/>
        <v>4.8611111111111112E-2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46332</v>
      </c>
      <c r="C78" s="94">
        <f>'Nach Mannschaften sortiert'!E78</f>
        <v>0</v>
      </c>
      <c r="D78" s="94">
        <f t="shared" si="2"/>
        <v>4.8611111111111112E-2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46283</v>
      </c>
      <c r="C81" s="94">
        <f>'Nach Mannschaften sortiert'!E81</f>
        <v>0</v>
      </c>
      <c r="D81" s="94">
        <f t="shared" si="2"/>
        <v>4.8611111111111112E-2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</v>
      </c>
      <c r="D83" s="94">
        <f t="shared" si="2"/>
        <v>4.8611111111111112E-2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46304</v>
      </c>
      <c r="C84" s="94">
        <f>'Nach Mannschaften sortiert'!E84</f>
        <v>0</v>
      </c>
      <c r="D84" s="94">
        <f t="shared" si="2"/>
        <v>4.8611111111111112E-2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46325</v>
      </c>
      <c r="C87" s="94">
        <f>'Nach Mannschaften sortiert'!E87</f>
        <v>0</v>
      </c>
      <c r="D87" s="94">
        <f t="shared" si="2"/>
        <v>4.8611111111111112E-2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</v>
      </c>
      <c r="D90" s="94">
        <f t="shared" si="2"/>
        <v>4.8611111111111112E-2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46283</v>
      </c>
      <c r="C91" s="94">
        <f>'Nach Mannschaften sortiert'!E91</f>
        <v>0</v>
      </c>
      <c r="D91" s="94">
        <f t="shared" si="2"/>
        <v>4.8611111111111112E-2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46304</v>
      </c>
      <c r="C94" s="94">
        <f>'Nach Mannschaften sortiert'!E94</f>
        <v>0</v>
      </c>
      <c r="D94" s="94">
        <f t="shared" si="2"/>
        <v>4.8611111111111112E-2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46318</v>
      </c>
      <c r="C96" s="94">
        <f>'Nach Mannschaften sortiert'!E96</f>
        <v>0</v>
      </c>
      <c r="D96" s="94">
        <f t="shared" si="2"/>
        <v>4.8611111111111112E-2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46325</v>
      </c>
      <c r="C97" s="94">
        <f>'Nach Mannschaften sortiert'!E97</f>
        <v>0</v>
      </c>
      <c r="D97" s="94">
        <f t="shared" si="2"/>
        <v>4.8611111111111112E-2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</v>
      </c>
      <c r="D99" s="94">
        <f t="shared" si="2"/>
        <v>4.3750000000000004E-2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</v>
      </c>
      <c r="D100" s="94">
        <f t="shared" si="2"/>
        <v>4.3750000000000004E-2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 t="str">
        <f>'Nach Mannschaften sortiert'!D101</f>
        <v>XXX</v>
      </c>
      <c r="C101" s="94">
        <f>'Nach Mannschaften sortiert'!E101</f>
        <v>0</v>
      </c>
      <c r="D101" s="94">
        <f t="shared" si="2"/>
        <v>4.3750000000000004E-2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 t="str">
        <f>'Nach Mannschaften sortiert'!D102</f>
        <v>XXX</v>
      </c>
      <c r="C102" s="94">
        <f>'Nach Mannschaften sortiert'!E102</f>
        <v>0</v>
      </c>
      <c r="D102" s="94">
        <f t="shared" si="2"/>
        <v>4.3750000000000004E-2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46269</v>
      </c>
      <c r="C103" s="94">
        <f>'Nach Mannschaften sortiert'!E103</f>
        <v>0</v>
      </c>
      <c r="D103" s="94">
        <f t="shared" si="2"/>
        <v>4.3750000000000004E-2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193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46311</v>
      </c>
      <c r="C109" s="94">
        <f>'Nach Mannschaften sortiert'!E109</f>
        <v>0</v>
      </c>
      <c r="D109" s="94">
        <f t="shared" si="2"/>
        <v>4.3750000000000004E-2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193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</v>
      </c>
      <c r="D114" s="94">
        <f t="shared" si="2"/>
        <v>0.125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</v>
      </c>
      <c r="D115" s="94">
        <f t="shared" si="2"/>
        <v>0.125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46091</v>
      </c>
      <c r="C116" s="94">
        <f>'Nach Mannschaften sortiert'!E116</f>
        <v>0</v>
      </c>
      <c r="D116" s="94">
        <f t="shared" si="2"/>
        <v>0.125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46092</v>
      </c>
      <c r="C117" s="94">
        <f>'Nach Mannschaften sortiert'!E117</f>
        <v>0</v>
      </c>
      <c r="D117" s="94">
        <f t="shared" si="2"/>
        <v>0.125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193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193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193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193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193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46092</v>
      </c>
      <c r="C2" s="104">
        <f>'ICS2'!C117</f>
        <v>0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46269</v>
      </c>
      <c r="C37" s="111">
        <f>'ICS2'!C103</f>
        <v>0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46271</v>
      </c>
      <c r="C40" s="119">
        <f>'ICS2'!C60</f>
        <v>0.625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46271</v>
      </c>
      <c r="C43" s="104">
        <f>'ICS2'!C60</f>
        <v>0.625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 t="str">
        <f>'ICS2'!B101</f>
        <v>XXX</v>
      </c>
      <c r="C44" s="104">
        <f>'ICS2'!C101</f>
        <v>0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 t="str">
        <f>'ICS2'!B102</f>
        <v>XXX</v>
      </c>
      <c r="C45" s="104">
        <f>'ICS2'!C102</f>
        <v>0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46283</v>
      </c>
      <c r="C48" s="104">
        <f>'ICS2'!C91</f>
        <v>0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46304</v>
      </c>
      <c r="C51" s="104">
        <f>'ICS2'!C94</f>
        <v>0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46283</v>
      </c>
      <c r="C52" s="119">
        <f>'ICS2'!C81</f>
        <v>0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46318</v>
      </c>
      <c r="C53" s="107">
        <f>'ICS2'!C96</f>
        <v>0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46325</v>
      </c>
      <c r="C54" s="115">
        <f>'ICS2'!C97</f>
        <v>0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46276</v>
      </c>
      <c r="C56" s="104">
        <f>'ICS2'!C70</f>
        <v>0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46284</v>
      </c>
      <c r="C57" s="122">
        <f>'ICS2'!C71</f>
        <v>0.4375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0.52083333333333337</v>
      </c>
      <c r="D59" s="120" t="str">
        <f>'ICS2'!E62</f>
        <v>NEUFELD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0.52083333333333337</v>
      </c>
      <c r="D61" s="57" t="str">
        <f>'ICS2'!E62</f>
        <v>NEUFELD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46318</v>
      </c>
      <c r="C62" s="104">
        <f>'ICS2'!C76</f>
        <v>0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46332</v>
      </c>
      <c r="C64" s="104">
        <f>'ICS2'!C78</f>
        <v>0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46304</v>
      </c>
      <c r="C70" s="104">
        <f>'ICS2'!C84</f>
        <v>0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46325</v>
      </c>
      <c r="C73" s="104">
        <f>'ICS2'!C87</f>
        <v>0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0.625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46278</v>
      </c>
      <c r="C81" s="104">
        <f>'ICS2'!C61</f>
        <v>0.625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46299</v>
      </c>
      <c r="C84" s="104">
        <f>'ICS2'!C64</f>
        <v>0.625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0.625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46327</v>
      </c>
      <c r="C88" s="104">
        <f>'ICS2'!C68</f>
        <v>0.625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0.625</v>
      </c>
      <c r="D89" s="117" t="str">
        <f>'ICS2'!E65</f>
        <v>GROßHÖFLEIN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46311</v>
      </c>
      <c r="C90" s="111">
        <f>'ICS2'!C109</f>
        <v>0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46278</v>
      </c>
      <c r="C97" s="104">
        <f>'ICS2'!C50</f>
        <v>0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46278</v>
      </c>
      <c r="C104" s="104">
        <f>'ICS2'!C61</f>
        <v>0.625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46091</v>
      </c>
      <c r="C125" s="104">
        <f>'ICS2'!C116</f>
        <v>0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46334</v>
      </c>
      <c r="C143" s="126">
        <f>'Nach Mannschaften sortiert'!E58</f>
        <v>0</v>
      </c>
      <c r="D143" s="124" t="str">
        <f>'Nach Mannschaften sortiert'!F58</f>
        <v>Eisenstadt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46271</v>
      </c>
      <c r="E5" s="95">
        <f>'Nach Mannschaften sortiert'!E60</f>
        <v>0.625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46278</v>
      </c>
      <c r="E16" s="97">
        <f>'Nach Mannschaften sortiert'!E50</f>
        <v>0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46269</v>
      </c>
      <c r="E24" s="99">
        <f>'Nach Mannschaften sortiert'!E103</f>
        <v>0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46278</v>
      </c>
      <c r="E36" s="95">
        <f>'Nach Mannschaften sortiert'!E61</f>
        <v>0.625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0.52083333333333337</v>
      </c>
      <c r="F37" s="54" t="str">
        <f>'Nach Mannschaften sortiert'!F62</f>
        <v>Neufeld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46299</v>
      </c>
      <c r="E40" s="95">
        <f>'Nach Mannschaften sortiert'!E64</f>
        <v>0.625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46304</v>
      </c>
      <c r="E42" s="95">
        <f>'Nach Mannschaften sortiert'!E94</f>
        <v>0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46284</v>
      </c>
      <c r="E44" s="99">
        <f>'Nach Mannschaften sortiert'!E71</f>
        <v>0.4375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0.625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46276</v>
      </c>
      <c r="E47" s="95">
        <f>'Nach Mannschaften sortiert'!E70</f>
        <v>0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46318</v>
      </c>
      <c r="E61" s="95">
        <f>'Nach Mannschaften sortiert'!E96</f>
        <v>0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46327</v>
      </c>
      <c r="E62" s="98">
        <f>'Nach Mannschaften sortiert'!E68</f>
        <v>0.625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46091</v>
      </c>
      <c r="E73" s="95">
        <f>'Nach Mannschaften sortiert'!E116</f>
        <v>0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46092</v>
      </c>
      <c r="E74" s="95">
        <f>'Nach Mannschaften sortiert'!E117</f>
        <v>0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46318</v>
      </c>
      <c r="E80" s="97">
        <f>'Nach Mannschaften sortiert'!E76</f>
        <v>0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2026-08-09T17:07:01Z</dcterms:modified>
</cp:coreProperties>
</file>
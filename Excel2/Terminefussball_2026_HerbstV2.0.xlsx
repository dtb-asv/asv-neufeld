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A318C5CC-D65B-454C-BBA4-2969CFCA2AB8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" l="1"/>
  <c r="C14" i="2"/>
  <c r="D14" i="2"/>
  <c r="E14" i="2"/>
  <c r="G14" i="2"/>
  <c r="H14" i="2"/>
  <c r="I14" i="2"/>
  <c r="A14" i="1"/>
  <c r="A15" i="1"/>
  <c r="C131" i="7"/>
  <c r="B59" i="2"/>
  <c r="B131" i="7" s="1"/>
  <c r="C59" i="2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D34" i="2" s="1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E72" i="2"/>
  <c r="D58" i="7" s="1"/>
  <c r="G72" i="2"/>
  <c r="H72" i="2"/>
  <c r="E58" i="7" s="1"/>
  <c r="I72" i="2"/>
  <c r="D72" i="2" s="1"/>
  <c r="B73" i="2"/>
  <c r="B79" i="7" s="1"/>
  <c r="C73" i="2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D82" i="2" s="1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142" i="2"/>
  <c r="B67" i="7" s="1"/>
  <c r="C142" i="2"/>
  <c r="C67" i="7" s="1"/>
  <c r="E142" i="2"/>
  <c r="D67" i="7" s="1"/>
  <c r="G142" i="2"/>
  <c r="H142" i="2"/>
  <c r="E67" i="7" s="1"/>
  <c r="I142" i="2"/>
  <c r="A67" i="7" s="1"/>
  <c r="D18" i="7"/>
  <c r="A35" i="7"/>
  <c r="F35" i="7" s="1"/>
  <c r="I35" i="7" s="1"/>
  <c r="A96" i="7"/>
  <c r="F96" i="7" s="1"/>
  <c r="C64" i="7"/>
  <c r="E70" i="7"/>
  <c r="A52" i="7"/>
  <c r="F52" i="7" s="1"/>
  <c r="B33" i="7"/>
  <c r="E4" i="7"/>
  <c r="C14" i="7"/>
  <c r="C2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55" i="7"/>
  <c r="F55" i="7" s="1"/>
  <c r="A90" i="7"/>
  <c r="F90" i="7" s="1"/>
  <c r="G90" i="7" s="1"/>
  <c r="A77" i="7"/>
  <c r="F77" i="7" s="1"/>
  <c r="B53" i="7"/>
  <c r="A98" i="7"/>
  <c r="F98" i="7" s="1"/>
  <c r="A66" i="7"/>
  <c r="F66" i="7" s="1"/>
  <c r="A62" i="7"/>
  <c r="F62" i="7" s="1"/>
  <c r="A75" i="7"/>
  <c r="F75" i="7" s="1"/>
  <c r="C75" i="7"/>
  <c r="B59" i="7"/>
  <c r="A87" i="7"/>
  <c r="F87" i="7" s="1"/>
  <c r="A80" i="7"/>
  <c r="F80" i="7" s="1"/>
  <c r="B71" i="7"/>
  <c r="A97" i="7"/>
  <c r="F97" i="7" s="1"/>
  <c r="G97" i="7" s="1"/>
  <c r="A118" i="7"/>
  <c r="F118" i="7" s="1"/>
  <c r="A103" i="7"/>
  <c r="F103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54" i="2" l="1"/>
  <c r="A74" i="7"/>
  <c r="F74" i="7" s="1"/>
  <c r="C40" i="7"/>
  <c r="A56" i="7"/>
  <c r="F56" i="7" s="1"/>
  <c r="I56" i="7" s="1"/>
  <c r="A21" i="7"/>
  <c r="F21" i="7" s="1"/>
  <c r="A82" i="7"/>
  <c r="F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4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G104" i="7"/>
  <c r="H104" i="7"/>
  <c r="K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I82" i="7"/>
  <c r="K82" i="7"/>
  <c r="H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J74" i="7"/>
  <c r="H74" i="7"/>
  <c r="I74" i="7"/>
  <c r="G74" i="7"/>
  <c r="K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J56" i="7" l="1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<sst xmlns="http://schemas.openxmlformats.org/spreadsheetml/2006/main" count="1098" uniqueCount="197">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</sst>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zoomScaleNormal="100" workbookViewId="0">
      <pane ySplit="1" topLeftCell="A100" activePane="bottomLeft" state="frozen"/>
      <selection pane="bottomLeft" activeCell="E117" sqref="E117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46319</v>
      </c>
      <c r="E33" s="3">
        <v>0.70833333333333337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46319</v>
      </c>
      <c r="E46" s="3">
        <v>0.625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0.60416666666666663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46327</v>
      </c>
      <c r="E68" s="15">
        <v>0.60416666666666663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46284</v>
      </c>
      <c r="E71" s="7">
        <v>0.4375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176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46298</v>
      </c>
      <c r="E73" s="7">
        <v>0.5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/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46332</v>
      </c>
      <c r="E78" s="7">
        <v>0.72916666666666663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/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46304</v>
      </c>
      <c r="E84" s="90"/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/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2"/>
  <sheetViews>
    <sheetView tabSelected="1" topLeftCell="A11" workbookViewId="0">
      <selection activeCell="F36" sqref="F36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46319</v>
      </c>
      <c r="C33" s="94">
        <f>'Nach Mannschaften sortiert'!E33</f>
        <v>0.70833333333333337</v>
      </c>
      <c r="D33" s="94">
        <f t="shared" si="0"/>
        <v>0.78125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46319</v>
      </c>
      <c r="C46" s="94">
        <f>'Nach Mannschaften sortiert'!E46</f>
        <v>0.625</v>
      </c>
      <c r="D46" s="94">
        <f t="shared" si="0"/>
        <v>0.69791666666666663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0.60416666666666663</v>
      </c>
      <c r="D63" s="94">
        <f t="shared" si="0"/>
        <v>0.66666666666666663</v>
      </c>
      <c r="E63" s="94" t="str">
        <f>UPPER('Nach Mannschaften sortiert'!F63)</f>
        <v>GROßHÖFLEIN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46327</v>
      </c>
      <c r="C68" s="94">
        <f>'Nach Mannschaften sortiert'!E68</f>
        <v>0.60416666666666663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0.66666666666666663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46284</v>
      </c>
      <c r="C71" s="94">
        <f>'Nach Mannschaften sortiert'!E71</f>
        <v>0.4375</v>
      </c>
      <c r="D71" s="94">
        <f t="shared" si="2"/>
        <v>0.4861111111111111</v>
      </c>
      <c r="E71" s="94" t="str">
        <f>UPPER('Nach Mannschaften sortiert'!F71)</f>
        <v>NEUFELD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RUST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46298</v>
      </c>
      <c r="C73" s="94">
        <f>'Nach Mannschaften sortiert'!E73</f>
        <v>0.5</v>
      </c>
      <c r="D73" s="94">
        <f t="shared" si="2"/>
        <v>0.54861111111111116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</v>
      </c>
      <c r="D74" s="94">
        <f t="shared" si="2"/>
        <v>4.8611111111111112E-2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46332</v>
      </c>
      <c r="C78" s="94">
        <f>'Nach Mannschaften sortiert'!E78</f>
        <v>0.72916666666666663</v>
      </c>
      <c r="D78" s="94">
        <f t="shared" si="2"/>
        <v>0.77777777777777779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</v>
      </c>
      <c r="D83" s="94">
        <f t="shared" si="2"/>
        <v>4.8611111111111112E-2</v>
      </c>
      <c r="E83" s="94" t="str">
        <f>UPPER('Nach Mannschaften sortiert'!F83)</f>
        <v>OGGAU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46304</v>
      </c>
      <c r="C84" s="94">
        <f>'Nach Mannschaften sortiert'!E84</f>
        <v>0</v>
      </c>
      <c r="D84" s="94">
        <f t="shared" si="2"/>
        <v>4.8611111111111112E-2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</v>
      </c>
      <c r="D117" s="94">
        <f t="shared" si="2"/>
        <v>0.125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2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  <row r="142" spans="2:12" x14ac:dyDescent="0.3">
      <c r="B142" s="93">
        <f>'Nach Mannschaften sortiert'!D142</f>
        <v>46291</v>
      </c>
      <c r="C142" s="94">
        <f>'Nach Mannschaften sortiert'!E142</f>
        <v>0.75</v>
      </c>
      <c r="D142" s="94">
        <f t="shared" si="3"/>
        <v>0.875</v>
      </c>
      <c r="E142" s="94" t="str">
        <f>UPPER('Nach Mannschaften sortiert'!F142)</f>
        <v>NEUFELD</v>
      </c>
      <c r="G142" t="str">
        <f>'Nach Mannschaften sortiert'!H142</f>
        <v>Heim</v>
      </c>
      <c r="H142" t="str">
        <f>'Nach Mannschaften sortiert'!G142</f>
        <v>Oktoberfest 2026</v>
      </c>
      <c r="I142" t="str">
        <f>'Nach Mannschaften sortiert'!C142</f>
        <v>Fest ASV Neufeld</v>
      </c>
      <c r="J142" s="82" t="s">
        <v>77</v>
      </c>
      <c r="K142" t="s">
        <v>80</v>
      </c>
      <c r="L142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46284</v>
      </c>
      <c r="C57" s="122">
        <f>'ICS2'!C71</f>
        <v>0.4375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RUST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46332</v>
      </c>
      <c r="C64" s="104">
        <f>'ICS2'!C78</f>
        <v>0.72916666666666663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str">
        <f>'ICS2'!I142</f>
        <v>Fest ASV Neufeld</v>
      </c>
      <c r="B67" s="103">
        <f>'ICS2'!B142</f>
        <v>46291</v>
      </c>
      <c r="C67" s="104">
        <f>'ICS2'!C142</f>
        <v>0.75</v>
      </c>
      <c r="D67" s="57" t="str">
        <f>'ICS2'!E142</f>
        <v>NEUFELD</v>
      </c>
      <c r="E67" s="57" t="str">
        <f>'ICS2'!H142</f>
        <v>Oktoberfest 2026</v>
      </c>
      <c r="F67" s="57" t="str">
        <f t="shared" si="15"/>
        <v>Fest ASV Neufeld</v>
      </c>
      <c r="G67" s="57"/>
      <c r="H67" s="57"/>
      <c r="I67" s="57" t="str">
        <f>IF(F67="Großfeld","5",IF(F67="U16","5",IF(F67="U15","5",IF(F67="U14","4",IF(F67="U13","4",IF(F67="U11/U12","4",IF(F67="U9/U10","4",IF(F67="U9","4","3"))))))))</f>
        <v>3</v>
      </c>
      <c r="J67" s="57" t="str">
        <f t="shared" si="16"/>
        <v>FEHLER</v>
      </c>
      <c r="K67" s="57" t="str">
        <f t="shared" si="17"/>
        <v>FEHLER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46304</v>
      </c>
      <c r="C70" s="104">
        <f>'ICS2'!C84</f>
        <v>0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0.60416666666666663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46298</v>
      </c>
      <c r="C79" s="119">
        <f>'ICS2'!C73</f>
        <v>0.5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46327</v>
      </c>
      <c r="C88" s="104">
        <f>'ICS2'!C68</f>
        <v>0.60416666666666663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46319</v>
      </c>
      <c r="C103" s="122">
        <f>'ICS2'!C46</f>
        <v>0.625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46319</v>
      </c>
      <c r="C105" s="122">
        <f>'ICS2'!C33</f>
        <v>0.70833333333333337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46319</v>
      </c>
      <c r="E12" s="95">
        <f>'Nach Mannschaften sortiert'!E33</f>
        <v>0.70833333333333337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46284</v>
      </c>
      <c r="E44" s="99">
        <f>'Nach Mannschaften sortiert'!E71</f>
        <v>0.4375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0.60416666666666663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Rust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46298</v>
      </c>
      <c r="E50" s="95">
        <f>'Nach Mannschaften sortiert'!E73</f>
        <v>0.5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46327</v>
      </c>
      <c r="E62" s="98">
        <f>'Nach Mannschaften sortiert'!E68</f>
        <v>0.60416666666666663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2026-08-20T04:55:48Z</dcterms:modified>
</cp:coreProperties>
</file>
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S:\10-09-02 Finanz- &amp; Kontrollanwendungen\Benutzer\Berger\ASVNeufeld\2026_27\"/>
    </mc:Choice>
  </mc:AlternateContent>
  <xr:revisionPtr revIDLastSave="0" documentId="13_ncr:1_{1F745304-E808-4A20-B134-76126E73E989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sortiert'!$A$1:$H$116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1" i="7" l="1"/>
  <c r="H131" i="7"/>
  <c r="I131" i="7"/>
  <c r="E131" i="7"/>
  <c r="D131" i="7"/>
  <c r="C131" i="7"/>
  <c r="B131" i="7"/>
  <c r="A131" i="7"/>
  <c r="F131" i="7" s="1"/>
  <c r="A126" i="7"/>
  <c r="B126" i="7"/>
  <c r="C126" i="7"/>
  <c r="E126" i="7"/>
  <c r="D126" i="7"/>
  <c r="B58" i="2"/>
  <c r="C58" i="2"/>
  <c r="E58" i="2"/>
  <c r="G58" i="2"/>
  <c r="H58" i="2"/>
  <c r="I58" i="2"/>
  <c r="D58" i="2" s="1"/>
  <c r="B55" i="2"/>
  <c r="C55" i="2"/>
  <c r="E55" i="2"/>
  <c r="G55" i="2"/>
  <c r="H55" i="2"/>
  <c r="I55" i="2"/>
  <c r="D55" i="2" s="1"/>
  <c r="B56" i="2"/>
  <c r="C56" i="2"/>
  <c r="D56" i="2"/>
  <c r="E56" i="2"/>
  <c r="G56" i="2"/>
  <c r="H56" i="2"/>
  <c r="I56" i="2"/>
  <c r="B57" i="2"/>
  <c r="C57" i="2"/>
  <c r="E57" i="2"/>
  <c r="G57" i="2"/>
  <c r="H57" i="2"/>
  <c r="I57" i="2"/>
  <c r="D57" i="2" s="1"/>
  <c r="F126" i="7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A59" i="1"/>
  <c r="A55" i="1"/>
  <c r="A56" i="1"/>
  <c r="A57" i="1"/>
  <c r="A58" i="1"/>
  <c r="B3" i="2"/>
  <c r="B4" i="7" s="1"/>
  <c r="C3" i="2"/>
  <c r="C4" i="7" s="1"/>
  <c r="E3" i="2"/>
  <c r="G3" i="2"/>
  <c r="H3" i="2"/>
  <c r="I3" i="2"/>
  <c r="B4" i="2"/>
  <c r="C4" i="2"/>
  <c r="E4" i="2"/>
  <c r="D14" i="7" s="1"/>
  <c r="G4" i="2"/>
  <c r="H4" i="2"/>
  <c r="E14" i="7" s="1"/>
  <c r="I4" i="2"/>
  <c r="B5" i="2"/>
  <c r="B15" i="7" s="1"/>
  <c r="C5" i="2"/>
  <c r="C15" i="7" s="1"/>
  <c r="E5" i="2"/>
  <c r="G5" i="2"/>
  <c r="H5" i="2"/>
  <c r="E15" i="7" s="1"/>
  <c r="I5" i="2"/>
  <c r="B6" i="2"/>
  <c r="C6" i="2"/>
  <c r="C16" i="7" s="1"/>
  <c r="E6" i="2"/>
  <c r="D16" i="7" s="1"/>
  <c r="G6" i="2"/>
  <c r="H6" i="2"/>
  <c r="E16" i="7" s="1"/>
  <c r="I6" i="2"/>
  <c r="B7" i="2"/>
  <c r="C7" i="2"/>
  <c r="C17" i="7" s="1"/>
  <c r="E7" i="2"/>
  <c r="D17" i="7" s="1"/>
  <c r="G7" i="2"/>
  <c r="H7" i="2"/>
  <c r="E17" i="7" s="1"/>
  <c r="I7" i="2"/>
  <c r="B8" i="2"/>
  <c r="B106" i="7" s="1"/>
  <c r="C8" i="2"/>
  <c r="C106" i="7" s="1"/>
  <c r="E8" i="2"/>
  <c r="D106" i="7" s="1"/>
  <c r="G8" i="2"/>
  <c r="H8" i="2"/>
  <c r="E106" i="7" s="1"/>
  <c r="I8" i="2"/>
  <c r="B9" i="2"/>
  <c r="B18" i="7" s="1"/>
  <c r="C9" i="2"/>
  <c r="C18" i="7" s="1"/>
  <c r="E9" i="2"/>
  <c r="G9" i="2"/>
  <c r="H9" i="2"/>
  <c r="E18" i="7" s="1"/>
  <c r="I9" i="2"/>
  <c r="B10" i="2"/>
  <c r="C10" i="2"/>
  <c r="C10" i="7" s="1"/>
  <c r="E10" i="2"/>
  <c r="D10" i="7" s="1"/>
  <c r="G10" i="2"/>
  <c r="H10" i="2"/>
  <c r="E10" i="7" s="1"/>
  <c r="I10" i="2"/>
  <c r="B11" i="2"/>
  <c r="B19" i="7" s="1"/>
  <c r="C11" i="2"/>
  <c r="C19" i="7" s="1"/>
  <c r="E11" i="2"/>
  <c r="D19" i="7" s="1"/>
  <c r="G11" i="2"/>
  <c r="H11" i="2"/>
  <c r="E19" i="7" s="1"/>
  <c r="I11" i="2"/>
  <c r="B12" i="2"/>
  <c r="C12" i="2"/>
  <c r="C92" i="7" s="1"/>
  <c r="E12" i="2"/>
  <c r="D92" i="7" s="1"/>
  <c r="G12" i="2"/>
  <c r="H12" i="2"/>
  <c r="E92" i="7" s="1"/>
  <c r="I12" i="2"/>
  <c r="B13" i="2"/>
  <c r="B22" i="7" s="1"/>
  <c r="C13" i="2"/>
  <c r="C22" i="7" s="1"/>
  <c r="E13" i="2"/>
  <c r="D22" i="7" s="1"/>
  <c r="G13" i="2"/>
  <c r="H13" i="2"/>
  <c r="E22" i="7" s="1"/>
  <c r="I13" i="2"/>
  <c r="B14" i="2"/>
  <c r="C14" i="2"/>
  <c r="C76" i="7" s="1"/>
  <c r="E14" i="2"/>
  <c r="D76" i="7" s="1"/>
  <c r="G14" i="2"/>
  <c r="H14" i="2"/>
  <c r="E76" i="7" s="1"/>
  <c r="I14" i="2"/>
  <c r="B15" i="2"/>
  <c r="C15" i="2"/>
  <c r="E15" i="2"/>
  <c r="G15" i="2"/>
  <c r="H15" i="2"/>
  <c r="E24" i="7" s="1"/>
  <c r="I15" i="2"/>
  <c r="B16" i="2"/>
  <c r="C16" i="2"/>
  <c r="E16" i="2"/>
  <c r="D93" i="7" s="1"/>
  <c r="G16" i="2"/>
  <c r="H16" i="2"/>
  <c r="E93" i="7" s="1"/>
  <c r="I16" i="2"/>
  <c r="B17" i="2"/>
  <c r="B28" i="7" s="1"/>
  <c r="C17" i="2"/>
  <c r="C28" i="7" s="1"/>
  <c r="E17" i="2"/>
  <c r="D28" i="7" s="1"/>
  <c r="G17" i="2"/>
  <c r="H17" i="2"/>
  <c r="E28" i="7" s="1"/>
  <c r="I17" i="2"/>
  <c r="B18" i="2"/>
  <c r="C18" i="2"/>
  <c r="C30" i="7" s="1"/>
  <c r="E18" i="2"/>
  <c r="D30" i="7" s="1"/>
  <c r="G18" i="2"/>
  <c r="H18" i="2"/>
  <c r="E30" i="7" s="1"/>
  <c r="I18" i="2"/>
  <c r="B19" i="2"/>
  <c r="B32" i="7" s="1"/>
  <c r="C19" i="2"/>
  <c r="C32" i="7" s="1"/>
  <c r="E19" i="2"/>
  <c r="G19" i="2"/>
  <c r="H19" i="2"/>
  <c r="E32" i="7" s="1"/>
  <c r="I19" i="2"/>
  <c r="B20" i="2"/>
  <c r="B95" i="7" s="1"/>
  <c r="C20" i="2"/>
  <c r="C95" i="7" s="1"/>
  <c r="E20" i="2"/>
  <c r="D95" i="7" s="1"/>
  <c r="G20" i="2"/>
  <c r="H20" i="2"/>
  <c r="E95" i="7" s="1"/>
  <c r="I20" i="2"/>
  <c r="B21" i="2"/>
  <c r="C21" i="2"/>
  <c r="C33" i="7" s="1"/>
  <c r="E21" i="2"/>
  <c r="D33" i="7" s="1"/>
  <c r="G21" i="2"/>
  <c r="H21" i="2"/>
  <c r="E33" i="7" s="1"/>
  <c r="I21" i="2"/>
  <c r="B22" i="2"/>
  <c r="C22" i="2"/>
  <c r="E22" i="2"/>
  <c r="D20" i="7" s="1"/>
  <c r="G22" i="2"/>
  <c r="H22" i="2"/>
  <c r="E20" i="7" s="1"/>
  <c r="I22" i="2"/>
  <c r="B23" i="2"/>
  <c r="B21" i="7" s="1"/>
  <c r="C23" i="2"/>
  <c r="C21" i="7" s="1"/>
  <c r="E23" i="2"/>
  <c r="D21" i="7" s="1"/>
  <c r="G23" i="2"/>
  <c r="H23" i="2"/>
  <c r="E21" i="7" s="1"/>
  <c r="I23" i="2"/>
  <c r="B24" i="2"/>
  <c r="C24" i="2"/>
  <c r="E24" i="2"/>
  <c r="D35" i="7" s="1"/>
  <c r="G24" i="2"/>
  <c r="H24" i="2"/>
  <c r="I24" i="2"/>
  <c r="B25" i="2"/>
  <c r="C25" i="2"/>
  <c r="E25" i="2"/>
  <c r="D23" i="7" s="1"/>
  <c r="G25" i="2"/>
  <c r="H25" i="2"/>
  <c r="E23" i="7" s="1"/>
  <c r="I25" i="2"/>
  <c r="A23" i="7" s="1"/>
  <c r="F23" i="7" s="1"/>
  <c r="B26" i="2"/>
  <c r="C26" i="2"/>
  <c r="E26" i="2"/>
  <c r="D49" i="7" s="1"/>
  <c r="G26" i="2"/>
  <c r="H26" i="2"/>
  <c r="E49" i="7" s="1"/>
  <c r="I26" i="2"/>
  <c r="B27" i="2"/>
  <c r="C27" i="2"/>
  <c r="E27" i="2"/>
  <c r="D25" i="7" s="1"/>
  <c r="G27" i="2"/>
  <c r="H27" i="2"/>
  <c r="E25" i="7" s="1"/>
  <c r="I27" i="2"/>
  <c r="A25" i="7" s="1"/>
  <c r="F25" i="7" s="1"/>
  <c r="B28" i="2"/>
  <c r="C28" i="2"/>
  <c r="E28" i="2"/>
  <c r="D68" i="7" s="1"/>
  <c r="G28" i="2"/>
  <c r="H28" i="2"/>
  <c r="I28" i="2"/>
  <c r="B29" i="2"/>
  <c r="B27" i="7" s="1"/>
  <c r="C29" i="2"/>
  <c r="C27" i="7" s="1"/>
  <c r="E29" i="2"/>
  <c r="G29" i="2"/>
  <c r="H29" i="2"/>
  <c r="E27" i="7" s="1"/>
  <c r="I29" i="2"/>
  <c r="A27" i="7" s="1"/>
  <c r="F27" i="7" s="1"/>
  <c r="B30" i="2"/>
  <c r="C30" i="2"/>
  <c r="E30" i="2"/>
  <c r="D83" i="7" s="1"/>
  <c r="G30" i="2"/>
  <c r="H30" i="2"/>
  <c r="E83" i="7" s="1"/>
  <c r="I30" i="2"/>
  <c r="B31" i="2"/>
  <c r="B29" i="7" s="1"/>
  <c r="C31" i="2"/>
  <c r="E31" i="2"/>
  <c r="D29" i="7" s="1"/>
  <c r="G31" i="2"/>
  <c r="H31" i="2"/>
  <c r="E29" i="7" s="1"/>
  <c r="I31" i="2"/>
  <c r="A29" i="7" s="1"/>
  <c r="F29" i="7" s="1"/>
  <c r="B32" i="2"/>
  <c r="B105" i="7" s="1"/>
  <c r="C32" i="2"/>
  <c r="C105" i="7" s="1"/>
  <c r="E32" i="2"/>
  <c r="D105" i="7" s="1"/>
  <c r="G32" i="2"/>
  <c r="H32" i="2"/>
  <c r="I32" i="2"/>
  <c r="B33" i="2"/>
  <c r="B31" i="7" s="1"/>
  <c r="C33" i="2"/>
  <c r="E33" i="2"/>
  <c r="D31" i="7" s="1"/>
  <c r="G33" i="2"/>
  <c r="H33" i="2"/>
  <c r="E31" i="7" s="1"/>
  <c r="I33" i="2"/>
  <c r="B34" i="2"/>
  <c r="C34" i="2"/>
  <c r="E34" i="2"/>
  <c r="D130" i="7" s="1"/>
  <c r="G34" i="2"/>
  <c r="H34" i="2"/>
  <c r="I34" i="2"/>
  <c r="B35" i="2"/>
  <c r="C35" i="2"/>
  <c r="E35" i="2"/>
  <c r="D107" i="7" s="1"/>
  <c r="G35" i="2"/>
  <c r="H35" i="2"/>
  <c r="I35" i="2"/>
  <c r="A107" i="7" s="1"/>
  <c r="F107" i="7" s="1"/>
  <c r="B36" i="2"/>
  <c r="C36" i="2"/>
  <c r="E36" i="2"/>
  <c r="D108" i="7" s="1"/>
  <c r="G36" i="2"/>
  <c r="H36" i="2"/>
  <c r="E108" i="7" s="1"/>
  <c r="I36" i="2"/>
  <c r="B37" i="2"/>
  <c r="B34" i="7" s="1"/>
  <c r="C37" i="2"/>
  <c r="E37" i="2"/>
  <c r="G37" i="2"/>
  <c r="H37" i="2"/>
  <c r="E34" i="7" s="1"/>
  <c r="I37" i="2"/>
  <c r="A34" i="7" s="1"/>
  <c r="F34" i="7" s="1"/>
  <c r="B38" i="2"/>
  <c r="C38" i="2"/>
  <c r="C110" i="7" s="1"/>
  <c r="E38" i="2"/>
  <c r="D110" i="7" s="1"/>
  <c r="G38" i="2"/>
  <c r="H38" i="2"/>
  <c r="E110" i="7" s="1"/>
  <c r="I38" i="2"/>
  <c r="A110" i="7" s="1"/>
  <c r="F110" i="7" s="1"/>
  <c r="B39" i="2"/>
  <c r="B46" i="7" s="1"/>
  <c r="C39" i="2"/>
  <c r="E39" i="2"/>
  <c r="G39" i="2"/>
  <c r="H39" i="2"/>
  <c r="E46" i="7" s="1"/>
  <c r="I39" i="2"/>
  <c r="A46" i="7" s="1"/>
  <c r="F46" i="7" s="1"/>
  <c r="B40" i="2"/>
  <c r="C40" i="2"/>
  <c r="E40" i="2"/>
  <c r="D112" i="7" s="1"/>
  <c r="G40" i="2"/>
  <c r="H40" i="2"/>
  <c r="E112" i="7" s="1"/>
  <c r="I40" i="2"/>
  <c r="B41" i="2"/>
  <c r="B65" i="7" s="1"/>
  <c r="C41" i="2"/>
  <c r="E41" i="2"/>
  <c r="G41" i="2"/>
  <c r="H41" i="2"/>
  <c r="E65" i="7" s="1"/>
  <c r="I41" i="2"/>
  <c r="B42" i="2"/>
  <c r="B114" i="7" s="1"/>
  <c r="C42" i="2"/>
  <c r="E42" i="2"/>
  <c r="D114" i="7" s="1"/>
  <c r="G42" i="2"/>
  <c r="H42" i="2"/>
  <c r="E114" i="7" s="1"/>
  <c r="I42" i="2"/>
  <c r="B43" i="2"/>
  <c r="B82" i="7" s="1"/>
  <c r="C43" i="2"/>
  <c r="C82" i="7" s="1"/>
  <c r="E43" i="2"/>
  <c r="D82" i="7" s="1"/>
  <c r="G43" i="2"/>
  <c r="H43" i="2"/>
  <c r="E82" i="7" s="1"/>
  <c r="I43" i="2"/>
  <c r="B44" i="2"/>
  <c r="B116" i="7" s="1"/>
  <c r="C44" i="2"/>
  <c r="E44" i="2"/>
  <c r="D116" i="7" s="1"/>
  <c r="G44" i="2"/>
  <c r="H44" i="2"/>
  <c r="E116" i="7" s="1"/>
  <c r="I44" i="2"/>
  <c r="B45" i="2"/>
  <c r="B103" i="7" s="1"/>
  <c r="C45" i="2"/>
  <c r="E45" i="2"/>
  <c r="D103" i="7" s="1"/>
  <c r="G45" i="2"/>
  <c r="H45" i="2"/>
  <c r="E103" i="7" s="1"/>
  <c r="I45" i="2"/>
  <c r="B46" i="2"/>
  <c r="B118" i="7" s="1"/>
  <c r="C46" i="2"/>
  <c r="C118" i="7" s="1"/>
  <c r="E46" i="2"/>
  <c r="D118" i="7" s="1"/>
  <c r="G46" i="2"/>
  <c r="H46" i="2"/>
  <c r="E118" i="7" s="1"/>
  <c r="I46" i="2"/>
  <c r="B47" i="2"/>
  <c r="B129" i="7" s="1"/>
  <c r="C47" i="2"/>
  <c r="E47" i="2"/>
  <c r="D129" i="7" s="1"/>
  <c r="G47" i="2"/>
  <c r="H47" i="2"/>
  <c r="E129" i="7" s="1"/>
  <c r="I47" i="2"/>
  <c r="B48" i="2"/>
  <c r="B96" i="7" s="1"/>
  <c r="C48" i="2"/>
  <c r="C96" i="7" s="1"/>
  <c r="E48" i="2"/>
  <c r="D96" i="7" s="1"/>
  <c r="G48" i="2"/>
  <c r="H48" i="2"/>
  <c r="E96" i="7" s="1"/>
  <c r="I48" i="2"/>
  <c r="B49" i="2"/>
  <c r="C49" i="2"/>
  <c r="E49" i="2"/>
  <c r="D97" i="7" s="1"/>
  <c r="G49" i="2"/>
  <c r="H49" i="2"/>
  <c r="E97" i="7" s="1"/>
  <c r="I49" i="2"/>
  <c r="B50" i="2"/>
  <c r="B63" i="7" s="1"/>
  <c r="C50" i="2"/>
  <c r="E50" i="2"/>
  <c r="D63" i="7" s="1"/>
  <c r="G50" i="2"/>
  <c r="H50" i="2"/>
  <c r="E63" i="7" s="1"/>
  <c r="I50" i="2"/>
  <c r="B51" i="2"/>
  <c r="C51" i="2"/>
  <c r="C71" i="7" s="1"/>
  <c r="E51" i="2"/>
  <c r="D71" i="7" s="1"/>
  <c r="G51" i="2"/>
  <c r="H51" i="2"/>
  <c r="E71" i="7" s="1"/>
  <c r="I51" i="2"/>
  <c r="B52" i="2"/>
  <c r="B80" i="7" s="1"/>
  <c r="C52" i="2"/>
  <c r="E52" i="2"/>
  <c r="D80" i="7" s="1"/>
  <c r="G52" i="2"/>
  <c r="H52" i="2"/>
  <c r="E80" i="7" s="1"/>
  <c r="I52" i="2"/>
  <c r="B53" i="2"/>
  <c r="B87" i="7" s="1"/>
  <c r="C53" i="2"/>
  <c r="C87" i="7" s="1"/>
  <c r="E53" i="2"/>
  <c r="G53" i="2"/>
  <c r="H53" i="2"/>
  <c r="E87" i="7" s="1"/>
  <c r="I53" i="2"/>
  <c r="B54" i="2"/>
  <c r="B102" i="7" s="1"/>
  <c r="C54" i="2"/>
  <c r="C102" i="7" s="1"/>
  <c r="E54" i="2"/>
  <c r="D102" i="7" s="1"/>
  <c r="G54" i="2"/>
  <c r="H54" i="2"/>
  <c r="E102" i="7" s="1"/>
  <c r="I54" i="2"/>
  <c r="A102" i="7" s="1"/>
  <c r="F102" i="7" s="1"/>
  <c r="B59" i="2"/>
  <c r="B43" i="7" s="1"/>
  <c r="C59" i="2"/>
  <c r="C43" i="7" s="1"/>
  <c r="E59" i="2"/>
  <c r="D43" i="7" s="1"/>
  <c r="G59" i="2"/>
  <c r="H59" i="2"/>
  <c r="E40" i="7" s="1"/>
  <c r="I59" i="2"/>
  <c r="A43" i="7" s="1"/>
  <c r="F43" i="7" s="1"/>
  <c r="G43" i="7" s="1"/>
  <c r="B60" i="2"/>
  <c r="B81" i="7" s="1"/>
  <c r="C60" i="2"/>
  <c r="C81" i="7" s="1"/>
  <c r="E60" i="2"/>
  <c r="D81" i="7" s="1"/>
  <c r="G60" i="2"/>
  <c r="H60" i="2"/>
  <c r="E81" i="7" s="1"/>
  <c r="I60" i="2"/>
  <c r="A81" i="7" s="1"/>
  <c r="F81" i="7" s="1"/>
  <c r="H81" i="7" s="1"/>
  <c r="B61" i="2"/>
  <c r="B61" i="7" s="1"/>
  <c r="C61" i="2"/>
  <c r="C61" i="7" s="1"/>
  <c r="E61" i="2"/>
  <c r="D59" i="7" s="1"/>
  <c r="G61" i="2"/>
  <c r="H61" i="2"/>
  <c r="E59" i="7" s="1"/>
  <c r="I61" i="2"/>
  <c r="A59" i="7" s="1"/>
  <c r="F59" i="7" s="1"/>
  <c r="B62" i="2"/>
  <c r="B75" i="7" s="1"/>
  <c r="C62" i="2"/>
  <c r="E62" i="2"/>
  <c r="D75" i="7" s="1"/>
  <c r="G62" i="2"/>
  <c r="H62" i="2"/>
  <c r="E75" i="7" s="1"/>
  <c r="I62" i="2"/>
  <c r="B63" i="2"/>
  <c r="B84" i="7" s="1"/>
  <c r="C63" i="2"/>
  <c r="E63" i="2"/>
  <c r="D84" i="7" s="1"/>
  <c r="G63" i="2"/>
  <c r="H63" i="2"/>
  <c r="E84" i="7" s="1"/>
  <c r="I63" i="2"/>
  <c r="A84" i="7" s="1"/>
  <c r="F84" i="7" s="1"/>
  <c r="B64" i="2"/>
  <c r="B89" i="7" s="1"/>
  <c r="C64" i="2"/>
  <c r="C89" i="7" s="1"/>
  <c r="E64" i="2"/>
  <c r="D89" i="7" s="1"/>
  <c r="G64" i="2"/>
  <c r="H64" i="2"/>
  <c r="E89" i="7" s="1"/>
  <c r="I64" i="2"/>
  <c r="A89" i="7" s="1"/>
  <c r="F89" i="7" s="1"/>
  <c r="B65" i="2"/>
  <c r="B86" i="7" s="1"/>
  <c r="C65" i="2"/>
  <c r="E65" i="2"/>
  <c r="D86" i="7" s="1"/>
  <c r="G65" i="2"/>
  <c r="H65" i="2"/>
  <c r="E86" i="7" s="1"/>
  <c r="I65" i="2"/>
  <c r="B66" i="2"/>
  <c r="B109" i="7" s="1"/>
  <c r="C66" i="2"/>
  <c r="C109" i="7" s="1"/>
  <c r="E66" i="2"/>
  <c r="D109" i="7" s="1"/>
  <c r="G66" i="2"/>
  <c r="H66" i="2"/>
  <c r="E109" i="7" s="1"/>
  <c r="I66" i="2"/>
  <c r="A109" i="7" s="1"/>
  <c r="F109" i="7" s="1"/>
  <c r="B67" i="2"/>
  <c r="B88" i="7" s="1"/>
  <c r="C67" i="2"/>
  <c r="E67" i="2"/>
  <c r="D88" i="7" s="1"/>
  <c r="G67" i="2"/>
  <c r="H67" i="2"/>
  <c r="E88" i="7" s="1"/>
  <c r="I67" i="2"/>
  <c r="B68" i="2"/>
  <c r="B36" i="7" s="1"/>
  <c r="C68" i="2"/>
  <c r="C36" i="7" s="1"/>
  <c r="E68" i="2"/>
  <c r="D36" i="7" s="1"/>
  <c r="G68" i="2"/>
  <c r="H68" i="2"/>
  <c r="E36" i="7" s="1"/>
  <c r="I68" i="2"/>
  <c r="A36" i="7" s="1"/>
  <c r="F36" i="7" s="1"/>
  <c r="I36" i="7" s="1"/>
  <c r="B69" i="2"/>
  <c r="B56" i="7" s="1"/>
  <c r="C69" i="2"/>
  <c r="E69" i="2"/>
  <c r="D56" i="7" s="1"/>
  <c r="G69" i="2"/>
  <c r="H69" i="2"/>
  <c r="E56" i="7" s="1"/>
  <c r="I69" i="2"/>
  <c r="B70" i="2"/>
  <c r="B57" i="7" s="1"/>
  <c r="C70" i="2"/>
  <c r="E70" i="2"/>
  <c r="D57" i="7" s="1"/>
  <c r="G70" i="2"/>
  <c r="H70" i="2"/>
  <c r="E57" i="7" s="1"/>
  <c r="I70" i="2"/>
  <c r="A57" i="7" s="1"/>
  <c r="F57" i="7" s="1"/>
  <c r="B71" i="2"/>
  <c r="B58" i="7" s="1"/>
  <c r="C71" i="2"/>
  <c r="E71" i="2"/>
  <c r="D58" i="7" s="1"/>
  <c r="G71" i="2"/>
  <c r="H71" i="2"/>
  <c r="E58" i="7" s="1"/>
  <c r="I71" i="2"/>
  <c r="B72" i="2"/>
  <c r="B79" i="7" s="1"/>
  <c r="C72" i="2"/>
  <c r="E72" i="2"/>
  <c r="D79" i="7" s="1"/>
  <c r="G72" i="2"/>
  <c r="H72" i="2"/>
  <c r="E79" i="7" s="1"/>
  <c r="I72" i="2"/>
  <c r="A79" i="7" s="1"/>
  <c r="F79" i="7" s="1"/>
  <c r="B73" i="2"/>
  <c r="B60" i="7" s="1"/>
  <c r="C73" i="2"/>
  <c r="E73" i="2"/>
  <c r="D60" i="7" s="1"/>
  <c r="G73" i="2"/>
  <c r="H73" i="2"/>
  <c r="E60" i="7" s="1"/>
  <c r="I73" i="2"/>
  <c r="B74" i="2"/>
  <c r="C74" i="2"/>
  <c r="C100" i="7" s="1"/>
  <c r="E74" i="2"/>
  <c r="D100" i="7" s="1"/>
  <c r="G74" i="2"/>
  <c r="H74" i="2"/>
  <c r="E100" i="7" s="1"/>
  <c r="I74" i="2"/>
  <c r="B75" i="2"/>
  <c r="B62" i="7" s="1"/>
  <c r="C75" i="2"/>
  <c r="E75" i="2"/>
  <c r="D62" i="7" s="1"/>
  <c r="G75" i="2"/>
  <c r="H75" i="2"/>
  <c r="E62" i="7" s="1"/>
  <c r="I75" i="2"/>
  <c r="B76" i="2"/>
  <c r="B119" i="7" s="1"/>
  <c r="C76" i="2"/>
  <c r="E76" i="2"/>
  <c r="D119" i="7" s="1"/>
  <c r="G76" i="2"/>
  <c r="H76" i="2"/>
  <c r="E119" i="7" s="1"/>
  <c r="I76" i="2"/>
  <c r="B77" i="2"/>
  <c r="B64" i="7" s="1"/>
  <c r="C77" i="2"/>
  <c r="E77" i="2"/>
  <c r="D64" i="7" s="1"/>
  <c r="G77" i="2"/>
  <c r="H77" i="2"/>
  <c r="E64" i="7" s="1"/>
  <c r="I77" i="2"/>
  <c r="B78" i="2"/>
  <c r="B39" i="7" s="1"/>
  <c r="C78" i="2"/>
  <c r="E78" i="2"/>
  <c r="D39" i="7" s="1"/>
  <c r="G78" i="2"/>
  <c r="H78" i="2"/>
  <c r="E39" i="7" s="1"/>
  <c r="I78" i="2"/>
  <c r="B79" i="2"/>
  <c r="B66" i="7" s="1"/>
  <c r="C79" i="2"/>
  <c r="E79" i="2"/>
  <c r="G79" i="2"/>
  <c r="H79" i="2"/>
  <c r="E66" i="7" s="1"/>
  <c r="I79" i="2"/>
  <c r="B80" i="2"/>
  <c r="B52" i="7" s="1"/>
  <c r="C80" i="2"/>
  <c r="E80" i="2"/>
  <c r="D52" i="7" s="1"/>
  <c r="G80" i="2"/>
  <c r="H80" i="2"/>
  <c r="E52" i="7" s="1"/>
  <c r="I80" i="2"/>
  <c r="B81" i="2"/>
  <c r="C81" i="2"/>
  <c r="C74" i="7" s="1"/>
  <c r="E81" i="2"/>
  <c r="D74" i="7" s="1"/>
  <c r="G81" i="2"/>
  <c r="H81" i="2"/>
  <c r="E74" i="7" s="1"/>
  <c r="I81" i="2"/>
  <c r="B82" i="2"/>
  <c r="B69" i="7" s="1"/>
  <c r="C82" i="2"/>
  <c r="E82" i="2"/>
  <c r="D69" i="7" s="1"/>
  <c r="G82" i="2"/>
  <c r="H82" i="2"/>
  <c r="E69" i="7" s="1"/>
  <c r="I82" i="2"/>
  <c r="D82" i="2" s="1"/>
  <c r="B83" i="2"/>
  <c r="B70" i="7" s="1"/>
  <c r="C83" i="2"/>
  <c r="C70" i="7" s="1"/>
  <c r="E83" i="2"/>
  <c r="G83" i="2"/>
  <c r="H83" i="2"/>
  <c r="I83" i="2"/>
  <c r="A70" i="7" s="1"/>
  <c r="F70" i="7" s="1"/>
  <c r="B84" i="2"/>
  <c r="B99" i="7" s="1"/>
  <c r="C84" i="2"/>
  <c r="E84" i="2"/>
  <c r="D99" i="7" s="1"/>
  <c r="G84" i="2"/>
  <c r="H84" i="2"/>
  <c r="I84" i="2"/>
  <c r="B85" i="2"/>
  <c r="B101" i="7" s="1"/>
  <c r="C85" i="2"/>
  <c r="E85" i="2"/>
  <c r="D101" i="7" s="1"/>
  <c r="G85" i="2"/>
  <c r="H85" i="2"/>
  <c r="E101" i="7" s="1"/>
  <c r="I85" i="2"/>
  <c r="A101" i="7" s="1"/>
  <c r="F101" i="7" s="1"/>
  <c r="B86" i="2"/>
  <c r="B73" i="7" s="1"/>
  <c r="C86" i="2"/>
  <c r="E86" i="2"/>
  <c r="D73" i="7" s="1"/>
  <c r="G86" i="2"/>
  <c r="H86" i="2"/>
  <c r="I86" i="2"/>
  <c r="B87" i="2"/>
  <c r="B127" i="7" s="1"/>
  <c r="C87" i="2"/>
  <c r="E87" i="2"/>
  <c r="D127" i="7" s="1"/>
  <c r="G87" i="2"/>
  <c r="H87" i="2"/>
  <c r="E127" i="7" s="1"/>
  <c r="I87" i="2"/>
  <c r="A127" i="7" s="1"/>
  <c r="F127" i="7" s="1"/>
  <c r="B88" i="2"/>
  <c r="B38" i="7" s="1"/>
  <c r="C88" i="2"/>
  <c r="E88" i="2"/>
  <c r="D38" i="7" s="1"/>
  <c r="G88" i="2"/>
  <c r="H88" i="2"/>
  <c r="I88" i="2"/>
  <c r="B89" i="2"/>
  <c r="B47" i="7" s="1"/>
  <c r="C89" i="2"/>
  <c r="E89" i="2"/>
  <c r="D47" i="7" s="1"/>
  <c r="G89" i="2"/>
  <c r="H89" i="2"/>
  <c r="E47" i="7" s="1"/>
  <c r="I89" i="2"/>
  <c r="A47" i="7" s="1"/>
  <c r="F47" i="7" s="1"/>
  <c r="B90" i="2"/>
  <c r="B48" i="7" s="1"/>
  <c r="C90" i="2"/>
  <c r="E90" i="2"/>
  <c r="D48" i="7" s="1"/>
  <c r="G90" i="2"/>
  <c r="H90" i="2"/>
  <c r="I90" i="2"/>
  <c r="B91" i="2"/>
  <c r="B72" i="7" s="1"/>
  <c r="C91" i="2"/>
  <c r="C72" i="7" s="1"/>
  <c r="E91" i="2"/>
  <c r="G91" i="2"/>
  <c r="H91" i="2"/>
  <c r="E72" i="7" s="1"/>
  <c r="I91" i="2"/>
  <c r="A72" i="7" s="1"/>
  <c r="F72" i="7" s="1"/>
  <c r="B92" i="2"/>
  <c r="B78" i="7" s="1"/>
  <c r="C92" i="2"/>
  <c r="E92" i="2"/>
  <c r="G92" i="2"/>
  <c r="H92" i="2"/>
  <c r="I92" i="2"/>
  <c r="A78" i="7" s="1"/>
  <c r="F78" i="7" s="1"/>
  <c r="B93" i="2"/>
  <c r="C93" i="2"/>
  <c r="E93" i="2"/>
  <c r="D51" i="7" s="1"/>
  <c r="G93" i="2"/>
  <c r="H93" i="2"/>
  <c r="E51" i="7" s="1"/>
  <c r="I93" i="2"/>
  <c r="A51" i="7" s="1"/>
  <c r="F51" i="7" s="1"/>
  <c r="B94" i="2"/>
  <c r="B98" i="7" s="1"/>
  <c r="C94" i="2"/>
  <c r="E94" i="2"/>
  <c r="D98" i="7" s="1"/>
  <c r="G94" i="2"/>
  <c r="H94" i="2"/>
  <c r="E98" i="7" s="1"/>
  <c r="I94" i="2"/>
  <c r="B95" i="2"/>
  <c r="C95" i="2"/>
  <c r="E95" i="2"/>
  <c r="D53" i="7" s="1"/>
  <c r="G95" i="2"/>
  <c r="H95" i="2"/>
  <c r="E53" i="7" s="1"/>
  <c r="I95" i="2"/>
  <c r="A53" i="7" s="1"/>
  <c r="F53" i="7" s="1"/>
  <c r="B96" i="2"/>
  <c r="B54" i="7" s="1"/>
  <c r="C96" i="2"/>
  <c r="E96" i="2"/>
  <c r="D54" i="7" s="1"/>
  <c r="G96" i="2"/>
  <c r="H96" i="2"/>
  <c r="I96" i="2"/>
  <c r="A54" i="7" s="1"/>
  <c r="F54" i="7" s="1"/>
  <c r="G54" i="7" s="1"/>
  <c r="B97" i="2"/>
  <c r="B91" i="7" s="1"/>
  <c r="C97" i="2"/>
  <c r="C91" i="7" s="1"/>
  <c r="E97" i="2"/>
  <c r="D91" i="7" s="1"/>
  <c r="G97" i="2"/>
  <c r="H97" i="2"/>
  <c r="E91" i="7" s="1"/>
  <c r="I97" i="2"/>
  <c r="B98" i="2"/>
  <c r="B41" i="7" s="1"/>
  <c r="C98" i="2"/>
  <c r="E98" i="2"/>
  <c r="D41" i="7" s="1"/>
  <c r="G98" i="2"/>
  <c r="H98" i="2"/>
  <c r="I98" i="2"/>
  <c r="A41" i="7" s="1"/>
  <c r="F41" i="7" s="1"/>
  <c r="B99" i="2"/>
  <c r="B42" i="7" s="1"/>
  <c r="C99" i="2"/>
  <c r="C42" i="7" s="1"/>
  <c r="E99" i="2"/>
  <c r="D42" i="7" s="1"/>
  <c r="G99" i="2"/>
  <c r="H99" i="2"/>
  <c r="E42" i="7" s="1"/>
  <c r="I99" i="2"/>
  <c r="A42" i="7" s="1"/>
  <c r="F42" i="7" s="1"/>
  <c r="B100" i="2"/>
  <c r="B44" i="7" s="1"/>
  <c r="C100" i="2"/>
  <c r="E100" i="2"/>
  <c r="D44" i="7" s="1"/>
  <c r="G100" i="2"/>
  <c r="H100" i="2"/>
  <c r="E44" i="7" s="1"/>
  <c r="I100" i="2"/>
  <c r="A44" i="7" s="1"/>
  <c r="F44" i="7" s="1"/>
  <c r="B101" i="2"/>
  <c r="B45" i="7" s="1"/>
  <c r="C101" i="2"/>
  <c r="C45" i="7" s="1"/>
  <c r="E101" i="2"/>
  <c r="D45" i="7" s="1"/>
  <c r="G101" i="2"/>
  <c r="H101" i="2"/>
  <c r="E45" i="7" s="1"/>
  <c r="I101" i="2"/>
  <c r="A45" i="7" s="1"/>
  <c r="F45" i="7" s="1"/>
  <c r="B102" i="2"/>
  <c r="B37" i="7" s="1"/>
  <c r="C102" i="2"/>
  <c r="C37" i="7" s="1"/>
  <c r="E102" i="2"/>
  <c r="D37" i="7" s="1"/>
  <c r="G102" i="2"/>
  <c r="H102" i="2"/>
  <c r="E37" i="7" s="1"/>
  <c r="I102" i="2"/>
  <c r="B103" i="2"/>
  <c r="B50" i="7" s="1"/>
  <c r="C103" i="2"/>
  <c r="C50" i="7" s="1"/>
  <c r="E103" i="2"/>
  <c r="D50" i="7" s="1"/>
  <c r="G103" i="2"/>
  <c r="H103" i="2"/>
  <c r="E50" i="7" s="1"/>
  <c r="I103" i="2"/>
  <c r="B104" i="2"/>
  <c r="B132" i="7" s="1"/>
  <c r="C104" i="2"/>
  <c r="E104" i="2"/>
  <c r="D132" i="7" s="1"/>
  <c r="G104" i="2"/>
  <c r="H104" i="2"/>
  <c r="I104" i="2"/>
  <c r="A132" i="7" s="1"/>
  <c r="F132" i="7" s="1"/>
  <c r="B105" i="2"/>
  <c r="B133" i="7" s="1"/>
  <c r="C105" i="2"/>
  <c r="C133" i="7" s="1"/>
  <c r="E105" i="2"/>
  <c r="D133" i="7" s="1"/>
  <c r="G105" i="2"/>
  <c r="H105" i="2"/>
  <c r="E133" i="7" s="1"/>
  <c r="I105" i="2"/>
  <c r="B106" i="2"/>
  <c r="B77" i="7" s="1"/>
  <c r="C106" i="2"/>
  <c r="E106" i="2"/>
  <c r="D77" i="7" s="1"/>
  <c r="G106" i="2"/>
  <c r="H106" i="2"/>
  <c r="E77" i="7" s="1"/>
  <c r="I106" i="2"/>
  <c r="B107" i="2"/>
  <c r="B85" i="7" s="1"/>
  <c r="C107" i="2"/>
  <c r="C85" i="7" s="1"/>
  <c r="E107" i="2"/>
  <c r="D85" i="7" s="1"/>
  <c r="G107" i="2"/>
  <c r="H107" i="2"/>
  <c r="E85" i="7" s="1"/>
  <c r="I107" i="2"/>
  <c r="B108" i="2"/>
  <c r="B90" i="7" s="1"/>
  <c r="C108" i="2"/>
  <c r="E108" i="2"/>
  <c r="D90" i="7" s="1"/>
  <c r="G108" i="2"/>
  <c r="H108" i="2"/>
  <c r="E90" i="7" s="1"/>
  <c r="I108" i="2"/>
  <c r="B109" i="2"/>
  <c r="B137" i="7" s="1"/>
  <c r="C109" i="2"/>
  <c r="C137" i="7" s="1"/>
  <c r="E109" i="2"/>
  <c r="D137" i="7" s="1"/>
  <c r="G109" i="2"/>
  <c r="H109" i="2"/>
  <c r="E137" i="7" s="1"/>
  <c r="I109" i="2"/>
  <c r="A137" i="7" s="1"/>
  <c r="F137" i="7" s="1"/>
  <c r="B110" i="2"/>
  <c r="B117" i="7" s="1"/>
  <c r="C110" i="2"/>
  <c r="E110" i="2"/>
  <c r="D117" i="7" s="1"/>
  <c r="G110" i="2"/>
  <c r="H110" i="2"/>
  <c r="E117" i="7" s="1"/>
  <c r="I110" i="2"/>
  <c r="B111" i="2"/>
  <c r="B139" i="7" s="1"/>
  <c r="C111" i="2"/>
  <c r="C139" i="7" s="1"/>
  <c r="E111" i="2"/>
  <c r="D139" i="7" s="1"/>
  <c r="G111" i="2"/>
  <c r="H111" i="2"/>
  <c r="E139" i="7" s="1"/>
  <c r="I111" i="2"/>
  <c r="A139" i="7" s="1"/>
  <c r="F139" i="7" s="1"/>
  <c r="B112" i="2"/>
  <c r="B94" i="7" s="1"/>
  <c r="C112" i="2"/>
  <c r="E112" i="2"/>
  <c r="D94" i="7" s="1"/>
  <c r="G112" i="2"/>
  <c r="H112" i="2"/>
  <c r="E94" i="7" s="1"/>
  <c r="I112" i="2"/>
  <c r="A94" i="7" s="1"/>
  <c r="F94" i="7" s="1"/>
  <c r="B113" i="2"/>
  <c r="B55" i="7" s="1"/>
  <c r="C113" i="2"/>
  <c r="E113" i="2"/>
  <c r="D55" i="7" s="1"/>
  <c r="G113" i="2"/>
  <c r="H113" i="2"/>
  <c r="E55" i="7" s="1"/>
  <c r="I113" i="2"/>
  <c r="B114" i="2"/>
  <c r="B128" i="7" s="1"/>
  <c r="C114" i="2"/>
  <c r="E114" i="2"/>
  <c r="D128" i="7" s="1"/>
  <c r="G114" i="2"/>
  <c r="H114" i="2"/>
  <c r="E128" i="7" s="1"/>
  <c r="I114" i="2"/>
  <c r="A128" i="7" s="1"/>
  <c r="F128" i="7" s="1"/>
  <c r="B115" i="2"/>
  <c r="B125" i="7" s="1"/>
  <c r="C115" i="2"/>
  <c r="E115" i="2"/>
  <c r="D125" i="7" s="1"/>
  <c r="G115" i="2"/>
  <c r="H115" i="2"/>
  <c r="E125" i="7" s="1"/>
  <c r="I115" i="2"/>
  <c r="A125" i="7" s="1"/>
  <c r="F125" i="7" s="1"/>
  <c r="B116" i="2"/>
  <c r="B2" i="7" s="1"/>
  <c r="C116" i="2"/>
  <c r="C2" i="7" s="1"/>
  <c r="E116" i="2"/>
  <c r="D2" i="7" s="1"/>
  <c r="G116" i="2"/>
  <c r="H116" i="2"/>
  <c r="I116" i="2"/>
  <c r="A2" i="7" s="1"/>
  <c r="F2" i="7" s="1"/>
  <c r="B117" i="2"/>
  <c r="B120" i="7" s="1"/>
  <c r="C117" i="2"/>
  <c r="C120" i="7" s="1"/>
  <c r="E117" i="2"/>
  <c r="D120" i="7" s="1"/>
  <c r="G117" i="2"/>
  <c r="H117" i="2"/>
  <c r="E120" i="7" s="1"/>
  <c r="I117" i="2"/>
  <c r="B118" i="2"/>
  <c r="C118" i="2"/>
  <c r="C121" i="7" s="1"/>
  <c r="E118" i="2"/>
  <c r="D121" i="7" s="1"/>
  <c r="G118" i="2"/>
  <c r="H118" i="2"/>
  <c r="E121" i="7" s="1"/>
  <c r="I118" i="2"/>
  <c r="B119" i="2"/>
  <c r="B122" i="7" s="1"/>
  <c r="C119" i="2"/>
  <c r="E119" i="2"/>
  <c r="D122" i="7" s="1"/>
  <c r="G119" i="2"/>
  <c r="H119" i="2"/>
  <c r="E122" i="7" s="1"/>
  <c r="I119" i="2"/>
  <c r="B120" i="2"/>
  <c r="B123" i="7" s="1"/>
  <c r="C120" i="2"/>
  <c r="E120" i="2"/>
  <c r="D123" i="7" s="1"/>
  <c r="G120" i="2"/>
  <c r="H120" i="2"/>
  <c r="E123" i="7" s="1"/>
  <c r="I120" i="2"/>
  <c r="A123" i="7" s="1"/>
  <c r="F123" i="7" s="1"/>
  <c r="B121" i="2"/>
  <c r="B124" i="7" s="1"/>
  <c r="C121" i="2"/>
  <c r="E121" i="2"/>
  <c r="D124" i="7" s="1"/>
  <c r="G121" i="2"/>
  <c r="H121" i="2"/>
  <c r="E124" i="7" s="1"/>
  <c r="I121" i="2"/>
  <c r="A124" i="7" s="1"/>
  <c r="F124" i="7" s="1"/>
  <c r="B122" i="2"/>
  <c r="B5" i="7" s="1"/>
  <c r="C122" i="2"/>
  <c r="E122" i="2"/>
  <c r="D5" i="7" s="1"/>
  <c r="G122" i="2"/>
  <c r="H122" i="2"/>
  <c r="E5" i="7" s="1"/>
  <c r="I122" i="2"/>
  <c r="B123" i="2"/>
  <c r="B6" i="7" s="1"/>
  <c r="C123" i="2"/>
  <c r="E123" i="2"/>
  <c r="D6" i="7" s="1"/>
  <c r="G123" i="2"/>
  <c r="H123" i="2"/>
  <c r="E6" i="7" s="1"/>
  <c r="I123" i="2"/>
  <c r="A6" i="7" s="1"/>
  <c r="F6" i="7" s="1"/>
  <c r="B124" i="2"/>
  <c r="B7" i="7" s="1"/>
  <c r="C124" i="2"/>
  <c r="E124" i="2"/>
  <c r="D7" i="7" s="1"/>
  <c r="G124" i="2"/>
  <c r="H124" i="2"/>
  <c r="E7" i="7" s="1"/>
  <c r="I124" i="2"/>
  <c r="B125" i="2"/>
  <c r="B8" i="7" s="1"/>
  <c r="C125" i="2"/>
  <c r="C8" i="7" s="1"/>
  <c r="E125" i="2"/>
  <c r="D8" i="7" s="1"/>
  <c r="G125" i="2"/>
  <c r="H125" i="2"/>
  <c r="E8" i="7" s="1"/>
  <c r="I125" i="2"/>
  <c r="A8" i="7" s="1"/>
  <c r="F8" i="7" s="1"/>
  <c r="B126" i="2"/>
  <c r="B9" i="7" s="1"/>
  <c r="C126" i="2"/>
  <c r="E126" i="2"/>
  <c r="D9" i="7" s="1"/>
  <c r="G126" i="2"/>
  <c r="H126" i="2"/>
  <c r="E9" i="7" s="1"/>
  <c r="I126" i="2"/>
  <c r="A9" i="7" s="1"/>
  <c r="F9" i="7" s="1"/>
  <c r="B127" i="2"/>
  <c r="B11" i="7" s="1"/>
  <c r="C127" i="2"/>
  <c r="E127" i="2"/>
  <c r="D11" i="7" s="1"/>
  <c r="G127" i="2"/>
  <c r="H127" i="2"/>
  <c r="E11" i="7" s="1"/>
  <c r="I127" i="2"/>
  <c r="A11" i="7" s="1"/>
  <c r="F11" i="7" s="1"/>
  <c r="B128" i="2"/>
  <c r="B12" i="7" s="1"/>
  <c r="C128" i="2"/>
  <c r="C12" i="7" s="1"/>
  <c r="E128" i="2"/>
  <c r="D12" i="7" s="1"/>
  <c r="G128" i="2"/>
  <c r="H128" i="2"/>
  <c r="E12" i="7" s="1"/>
  <c r="I128" i="2"/>
  <c r="A12" i="7" s="1"/>
  <c r="F12" i="7" s="1"/>
  <c r="B129" i="2"/>
  <c r="B13" i="7" s="1"/>
  <c r="C129" i="2"/>
  <c r="C13" i="7" s="1"/>
  <c r="E129" i="2"/>
  <c r="D13" i="7" s="1"/>
  <c r="G129" i="2"/>
  <c r="H129" i="2"/>
  <c r="E13" i="7" s="1"/>
  <c r="I129" i="2"/>
  <c r="B130" i="2"/>
  <c r="B111" i="7" s="1"/>
  <c r="C130" i="2"/>
  <c r="E130" i="2"/>
  <c r="D111" i="7" s="1"/>
  <c r="G130" i="2"/>
  <c r="H130" i="2"/>
  <c r="E111" i="7" s="1"/>
  <c r="I130" i="2"/>
  <c r="A111" i="7" s="1"/>
  <c r="F111" i="7" s="1"/>
  <c r="B131" i="2"/>
  <c r="B113" i="7" s="1"/>
  <c r="C131" i="2"/>
  <c r="C113" i="7" s="1"/>
  <c r="E131" i="2"/>
  <c r="D113" i="7" s="1"/>
  <c r="G131" i="2"/>
  <c r="H131" i="2"/>
  <c r="E113" i="7" s="1"/>
  <c r="I131" i="2"/>
  <c r="B132" i="2"/>
  <c r="B115" i="7" s="1"/>
  <c r="C132" i="2"/>
  <c r="E132" i="2"/>
  <c r="D115" i="7" s="1"/>
  <c r="G132" i="2"/>
  <c r="H132" i="2"/>
  <c r="E115" i="7" s="1"/>
  <c r="I132" i="2"/>
  <c r="A115" i="7" s="1"/>
  <c r="F115" i="7" s="1"/>
  <c r="B133" i="2"/>
  <c r="B26" i="7" s="1"/>
  <c r="C133" i="2"/>
  <c r="E133" i="2"/>
  <c r="D26" i="7" s="1"/>
  <c r="G133" i="2"/>
  <c r="H133" i="2"/>
  <c r="E26" i="7" s="1"/>
  <c r="I133" i="2"/>
  <c r="A26" i="7" s="1"/>
  <c r="F26" i="7" s="1"/>
  <c r="B134" i="2"/>
  <c r="B135" i="7" s="1"/>
  <c r="C134" i="2"/>
  <c r="E134" i="2"/>
  <c r="D135" i="7" s="1"/>
  <c r="G134" i="2"/>
  <c r="H134" i="2"/>
  <c r="E135" i="7" s="1"/>
  <c r="I134" i="2"/>
  <c r="A135" i="7" s="1"/>
  <c r="F135" i="7" s="1"/>
  <c r="K135" i="7" s="1"/>
  <c r="B135" i="2"/>
  <c r="B136" i="7" s="1"/>
  <c r="C135" i="2"/>
  <c r="E135" i="2"/>
  <c r="D136" i="7" s="1"/>
  <c r="G135" i="2"/>
  <c r="H135" i="2"/>
  <c r="E136" i="7" s="1"/>
  <c r="I135" i="2"/>
  <c r="A136" i="7" s="1"/>
  <c r="F136" i="7" s="1"/>
  <c r="B136" i="2"/>
  <c r="B138" i="7" s="1"/>
  <c r="C136" i="2"/>
  <c r="E136" i="2"/>
  <c r="D138" i="7" s="1"/>
  <c r="G136" i="2"/>
  <c r="H136" i="2"/>
  <c r="E138" i="7" s="1"/>
  <c r="I136" i="2"/>
  <c r="B137" i="2"/>
  <c r="B134" i="7" s="1"/>
  <c r="C137" i="2"/>
  <c r="C134" i="7" s="1"/>
  <c r="E137" i="2"/>
  <c r="D134" i="7" s="1"/>
  <c r="G137" i="2"/>
  <c r="H137" i="2"/>
  <c r="E134" i="7" s="1"/>
  <c r="I137" i="2"/>
  <c r="A134" i="7" s="1"/>
  <c r="F134" i="7" s="1"/>
  <c r="B138" i="2"/>
  <c r="B140" i="7" s="1"/>
  <c r="C138" i="2"/>
  <c r="E138" i="2"/>
  <c r="D140" i="7" s="1"/>
  <c r="G138" i="2"/>
  <c r="H138" i="2"/>
  <c r="E140" i="7" s="1"/>
  <c r="I138" i="2"/>
  <c r="B139" i="2"/>
  <c r="B142" i="7" s="1"/>
  <c r="C139" i="2"/>
  <c r="C142" i="7" s="1"/>
  <c r="E139" i="2"/>
  <c r="D142" i="7" s="1"/>
  <c r="G139" i="2"/>
  <c r="H139" i="2"/>
  <c r="E142" i="7" s="1"/>
  <c r="I139" i="2"/>
  <c r="A142" i="7" s="1"/>
  <c r="B140" i="2"/>
  <c r="B144" i="7" s="1"/>
  <c r="C140" i="2"/>
  <c r="E140" i="2"/>
  <c r="D144" i="7" s="1"/>
  <c r="G140" i="2"/>
  <c r="H140" i="2"/>
  <c r="E144" i="7" s="1"/>
  <c r="I140" i="2"/>
  <c r="A144" i="7" s="1"/>
  <c r="B141" i="2"/>
  <c r="B67" i="7" s="1"/>
  <c r="C141" i="2"/>
  <c r="C67" i="7" s="1"/>
  <c r="E141" i="2"/>
  <c r="D67" i="7" s="1"/>
  <c r="G141" i="2"/>
  <c r="H141" i="2"/>
  <c r="E67" i="7" s="1"/>
  <c r="I141" i="2"/>
  <c r="A67" i="7" s="1"/>
  <c r="D18" i="7"/>
  <c r="B30" i="7"/>
  <c r="A35" i="7"/>
  <c r="F35" i="7" s="1"/>
  <c r="I35" i="7" s="1"/>
  <c r="B83" i="7"/>
  <c r="A96" i="7"/>
  <c r="F96" i="7" s="1"/>
  <c r="C64" i="7"/>
  <c r="E70" i="7"/>
  <c r="B121" i="7"/>
  <c r="A52" i="7"/>
  <c r="F52" i="7" s="1"/>
  <c r="E73" i="7"/>
  <c r="E48" i="7"/>
  <c r="D78" i="7"/>
  <c r="B33" i="7"/>
  <c r="D4" i="7"/>
  <c r="E4" i="7"/>
  <c r="B14" i="7"/>
  <c r="C14" i="7"/>
  <c r="D15" i="7"/>
  <c r="B16" i="7"/>
  <c r="B17" i="7"/>
  <c r="B10" i="7"/>
  <c r="B92" i="7"/>
  <c r="B76" i="7"/>
  <c r="B24" i="7"/>
  <c r="C24" i="7"/>
  <c r="D24" i="7"/>
  <c r="B93" i="7"/>
  <c r="D32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E2" i="7"/>
  <c r="A55" i="7"/>
  <c r="F55" i="7" s="1"/>
  <c r="A90" i="7"/>
  <c r="F90" i="7" s="1"/>
  <c r="G90" i="7" s="1"/>
  <c r="A77" i="7"/>
  <c r="F77" i="7" s="1"/>
  <c r="E132" i="7"/>
  <c r="E41" i="7"/>
  <c r="E54" i="7"/>
  <c r="B53" i="7"/>
  <c r="A98" i="7"/>
  <c r="F98" i="7" s="1"/>
  <c r="B51" i="7"/>
  <c r="E78" i="7"/>
  <c r="D72" i="7"/>
  <c r="E38" i="7"/>
  <c r="E99" i="7"/>
  <c r="D70" i="7"/>
  <c r="A74" i="7"/>
  <c r="F74" i="7" s="1"/>
  <c r="B74" i="7"/>
  <c r="A66" i="7"/>
  <c r="F66" i="7" s="1"/>
  <c r="D66" i="7"/>
  <c r="A62" i="7"/>
  <c r="F62" i="7" s="1"/>
  <c r="B100" i="7"/>
  <c r="A60" i="7"/>
  <c r="F60" i="7" s="1"/>
  <c r="A56" i="7"/>
  <c r="F56" i="7" s="1"/>
  <c r="I56" i="7" s="1"/>
  <c r="A75" i="7"/>
  <c r="F75" i="7" s="1"/>
  <c r="C75" i="7"/>
  <c r="B59" i="7"/>
  <c r="C40" i="7"/>
  <c r="A87" i="7"/>
  <c r="F87" i="7" s="1"/>
  <c r="D87" i="7"/>
  <c r="A80" i="7"/>
  <c r="F80" i="7" s="1"/>
  <c r="A71" i="7"/>
  <c r="F71" i="7" s="1"/>
  <c r="G71" i="7" s="1"/>
  <c r="B71" i="7"/>
  <c r="A97" i="7"/>
  <c r="F97" i="7" s="1"/>
  <c r="G97" i="7" s="1"/>
  <c r="B97" i="7"/>
  <c r="A129" i="7"/>
  <c r="F129" i="7" s="1"/>
  <c r="A118" i="7"/>
  <c r="F118" i="7" s="1"/>
  <c r="A103" i="7"/>
  <c r="F103" i="7" s="1"/>
  <c r="A116" i="7"/>
  <c r="F116" i="7" s="1"/>
  <c r="J116" i="7" s="1"/>
  <c r="A82" i="7"/>
  <c r="F82" i="7" s="1"/>
  <c r="A114" i="7"/>
  <c r="F114" i="7" s="1"/>
  <c r="A65" i="7"/>
  <c r="F65" i="7" s="1"/>
  <c r="D65" i="7"/>
  <c r="C65" i="7"/>
  <c r="A112" i="7"/>
  <c r="F112" i="7" s="1"/>
  <c r="G112" i="7" s="1"/>
  <c r="B112" i="7"/>
  <c r="D46" i="7"/>
  <c r="B110" i="7"/>
  <c r="D34" i="7"/>
  <c r="B108" i="7"/>
  <c r="E107" i="7"/>
  <c r="B107" i="7"/>
  <c r="E130" i="7"/>
  <c r="B130" i="7"/>
  <c r="A105" i="7"/>
  <c r="F105" i="7" s="1"/>
  <c r="E105" i="7"/>
  <c r="A83" i="7"/>
  <c r="F83" i="7" s="1"/>
  <c r="D27" i="7"/>
  <c r="A68" i="7"/>
  <c r="F68" i="7" s="1"/>
  <c r="G68" i="7" s="1"/>
  <c r="E68" i="7"/>
  <c r="B68" i="7"/>
  <c r="B25" i="7"/>
  <c r="B49" i="7"/>
  <c r="B23" i="7"/>
  <c r="E35" i="7"/>
  <c r="B35" i="7"/>
  <c r="A21" i="7"/>
  <c r="F21" i="7" s="1"/>
  <c r="A20" i="7"/>
  <c r="F20" i="7" s="1"/>
  <c r="B20" i="7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D108" i="2" l="1"/>
  <c r="D106" i="2"/>
  <c r="D40" i="2"/>
  <c r="D16" i="2"/>
  <c r="D79" i="2"/>
  <c r="D77" i="2"/>
  <c r="D73" i="2"/>
  <c r="D33" i="2"/>
  <c r="B40" i="7"/>
  <c r="A104" i="7"/>
  <c r="F104" i="7" s="1"/>
  <c r="D4" i="2"/>
  <c r="B104" i="7"/>
  <c r="D40" i="7"/>
  <c r="I126" i="7"/>
  <c r="J126" i="7"/>
  <c r="K126" i="7"/>
  <c r="D104" i="7"/>
  <c r="C104" i="7"/>
  <c r="D97" i="2"/>
  <c r="E43" i="7"/>
  <c r="D21" i="2"/>
  <c r="D19" i="2"/>
  <c r="D15" i="2"/>
  <c r="D13" i="2"/>
  <c r="D9" i="2"/>
  <c r="D7" i="2"/>
  <c r="E61" i="7"/>
  <c r="D3" i="2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I104" i="7"/>
  <c r="J104" i="7"/>
  <c r="K104" i="7"/>
  <c r="C112" i="7"/>
  <c r="C93" i="7"/>
  <c r="D131" i="2"/>
  <c r="A91" i="7"/>
  <c r="F91" i="7" s="1"/>
  <c r="I91" i="7" s="1"/>
  <c r="D132" i="2"/>
  <c r="D87" i="2"/>
  <c r="D85" i="2"/>
  <c r="D96" i="2"/>
  <c r="D94" i="2"/>
  <c r="D92" i="2"/>
  <c r="D90" i="2"/>
  <c r="D80" i="2"/>
  <c r="D78" i="2"/>
  <c r="D76" i="2"/>
  <c r="D74" i="2"/>
  <c r="D52" i="2"/>
  <c r="D121" i="2"/>
  <c r="D115" i="2"/>
  <c r="D113" i="2"/>
  <c r="D109" i="2"/>
  <c r="D107" i="2"/>
  <c r="D105" i="2"/>
  <c r="D135" i="2"/>
  <c r="D133" i="2"/>
  <c r="D72" i="2"/>
  <c r="D70" i="2"/>
  <c r="D68" i="2"/>
  <c r="D130" i="2"/>
  <c r="D128" i="2"/>
  <c r="D120" i="2"/>
  <c r="D118" i="2"/>
  <c r="D110" i="2"/>
  <c r="A31" i="7"/>
  <c r="F31" i="7" s="1"/>
  <c r="I31" i="7" s="1"/>
  <c r="D140" i="2"/>
  <c r="D88" i="2"/>
  <c r="D86" i="2"/>
  <c r="D84" i="2"/>
  <c r="A119" i="7"/>
  <c r="F119" i="7" s="1"/>
  <c r="G119" i="7" s="1"/>
  <c r="D104" i="2"/>
  <c r="D116" i="2"/>
  <c r="D67" i="2"/>
  <c r="D65" i="2"/>
  <c r="D59" i="2"/>
  <c r="D53" i="2"/>
  <c r="D51" i="2"/>
  <c r="D49" i="2"/>
  <c r="D45" i="2"/>
  <c r="D43" i="2"/>
  <c r="D2" i="2"/>
  <c r="D5" i="2"/>
  <c r="D35" i="2"/>
  <c r="D44" i="2"/>
  <c r="D42" i="2"/>
  <c r="D23" i="2"/>
  <c r="D123" i="2"/>
  <c r="D36" i="2"/>
  <c r="D34" i="2"/>
  <c r="D95" i="2"/>
  <c r="D32" i="2"/>
  <c r="D30" i="2"/>
  <c r="D28" i="2"/>
  <c r="D26" i="2"/>
  <c r="D24" i="2"/>
  <c r="D22" i="2"/>
  <c r="D124" i="2"/>
  <c r="D122" i="2"/>
  <c r="D20" i="2"/>
  <c r="D18" i="2"/>
  <c r="A88" i="7"/>
  <c r="F88" i="7" s="1"/>
  <c r="J88" i="7" s="1"/>
  <c r="A73" i="7"/>
  <c r="F73" i="7" s="1"/>
  <c r="I73" i="7" s="1"/>
  <c r="D71" i="2"/>
  <c r="D69" i="2"/>
  <c r="D54" i="2"/>
  <c r="D17" i="2"/>
  <c r="D6" i="2"/>
  <c r="D139" i="2"/>
  <c r="D137" i="2"/>
  <c r="D103" i="2"/>
  <c r="D101" i="2"/>
  <c r="D75" i="2"/>
  <c r="A130" i="7"/>
  <c r="F130" i="7" s="1"/>
  <c r="K130" i="7" s="1"/>
  <c r="A108" i="7"/>
  <c r="F108" i="7" s="1"/>
  <c r="H108" i="7" s="1"/>
  <c r="D63" i="2"/>
  <c r="D61" i="2"/>
  <c r="D11" i="2"/>
  <c r="D129" i="2"/>
  <c r="D93" i="2"/>
  <c r="D41" i="2"/>
  <c r="D127" i="2"/>
  <c r="D125" i="2"/>
  <c r="D89" i="2"/>
  <c r="D62" i="2"/>
  <c r="D39" i="2"/>
  <c r="D37" i="2"/>
  <c r="D14" i="2"/>
  <c r="D12" i="2"/>
  <c r="D10" i="2"/>
  <c r="A86" i="7"/>
  <c r="F86" i="7" s="1"/>
  <c r="I86" i="7" s="1"/>
  <c r="D60" i="2"/>
  <c r="D47" i="2"/>
  <c r="D31" i="2"/>
  <c r="D8" i="2"/>
  <c r="D138" i="2"/>
  <c r="D136" i="2"/>
  <c r="D134" i="2"/>
  <c r="D119" i="2"/>
  <c r="D102" i="2"/>
  <c r="D98" i="2"/>
  <c r="D83" i="2"/>
  <c r="D29" i="2"/>
  <c r="A5" i="7"/>
  <c r="F5" i="7" s="1"/>
  <c r="K5" i="7" s="1"/>
  <c r="D117" i="2"/>
  <c r="D48" i="2"/>
  <c r="D46" i="2"/>
  <c r="D27" i="2"/>
  <c r="D25" i="2"/>
  <c r="D81" i="2"/>
  <c r="D91" i="2"/>
  <c r="D50" i="2"/>
  <c r="D111" i="2"/>
  <c r="D99" i="2"/>
  <c r="A63" i="7"/>
  <c r="F63" i="7" s="1"/>
  <c r="H63" i="7" s="1"/>
  <c r="A122" i="7"/>
  <c r="F122" i="7" s="1"/>
  <c r="H122" i="7" s="1"/>
  <c r="A113" i="7"/>
  <c r="F113" i="7" s="1"/>
  <c r="J113" i="7" s="1"/>
  <c r="D126" i="2"/>
  <c r="D114" i="2"/>
  <c r="D66" i="2"/>
  <c r="D38" i="2"/>
  <c r="A38" i="7"/>
  <c r="F38" i="7" s="1"/>
  <c r="J38" i="7" s="1"/>
  <c r="D112" i="2"/>
  <c r="D100" i="2"/>
  <c r="D64" i="2"/>
  <c r="D141" i="2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G129" i="7"/>
  <c r="K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I71" i="7"/>
  <c r="K71" i="7"/>
  <c r="H71" i="7"/>
  <c r="C59" i="7"/>
  <c r="J84" i="7"/>
  <c r="I84" i="7"/>
  <c r="K84" i="7"/>
  <c r="H84" i="7"/>
  <c r="G84" i="7"/>
  <c r="J56" i="7"/>
  <c r="H56" i="7"/>
  <c r="G56" i="7"/>
  <c r="K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2" i="1"/>
  <c r="H58" i="7" l="1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3" i="1"/>
  <c r="A3" i="5" s="1"/>
  <c r="A2" i="5"/>
  <c r="A24" i="1" l="1"/>
  <c r="A4" i="5" s="1"/>
  <c r="A25" i="1" l="1"/>
  <c r="A18" i="5"/>
  <c r="A26" i="1"/>
  <c r="A6" i="5" l="1"/>
  <c r="A27" i="1"/>
  <c r="A41" i="5" l="1"/>
  <c r="A28" i="1"/>
  <c r="A8" i="5" l="1"/>
  <c r="A29" i="1"/>
  <c r="A52" i="5" l="1"/>
  <c r="A30" i="1"/>
  <c r="A10" i="5" l="1"/>
  <c r="A31" i="1"/>
  <c r="A58" i="5" l="1"/>
  <c r="A32" i="1"/>
  <c r="A12" i="5" l="1"/>
  <c r="A33" i="1"/>
  <c r="A13" i="5" l="1"/>
  <c r="A34" i="1"/>
  <c r="A75" i="5" l="1"/>
  <c r="A35" i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15" i="5" l="1"/>
  <c r="A49" i="1"/>
  <c r="A16" i="5" l="1"/>
  <c r="A50" i="1"/>
  <c r="A17" i="5" l="1"/>
  <c r="A51" i="1"/>
  <c r="A48" i="5" l="1"/>
  <c r="A52" i="1"/>
  <c r="A19" i="5" l="1"/>
  <c r="A53" i="1"/>
  <c r="A20" i="5" l="1"/>
  <c r="A54" i="1"/>
  <c r="A21" i="5" l="1"/>
  <c r="A22" i="5" l="1"/>
  <c r="A23" i="5" l="1"/>
  <c r="A82" i="5" l="1"/>
  <c r="A5" i="5" l="1"/>
  <c r="A60" i="1"/>
  <c r="A36" i="5" l="1"/>
  <c r="A61" i="1"/>
  <c r="A37" i="5" l="1"/>
  <c r="A62" i="1"/>
  <c r="A45" i="5" l="1"/>
  <c r="A63" i="1"/>
  <c r="A40" i="5" l="1"/>
  <c r="A64" i="1"/>
  <c r="A65" i="1" s="1"/>
  <c r="A66" i="1" s="1"/>
  <c r="A60" i="5" l="1"/>
  <c r="A67" i="1"/>
  <c r="A68" i="1" s="1"/>
  <c r="A62" i="5" l="1"/>
  <c r="A43" i="5" l="1"/>
  <c r="A7" i="5" l="1"/>
  <c r="A69" i="1"/>
  <c r="A47" i="5" l="1"/>
  <c r="A70" i="1"/>
  <c r="A44" i="5" l="1"/>
  <c r="A71" i="1"/>
  <c r="A49" i="5" l="1"/>
  <c r="A72" i="1"/>
  <c r="A50" i="5" l="1"/>
  <c r="A73" i="1"/>
  <c r="A70" i="5" l="1"/>
  <c r="A74" i="1"/>
  <c r="A53" i="5" l="1"/>
  <c r="A75" i="1"/>
  <c r="A80" i="5" l="1"/>
  <c r="A76" i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55" i="5" l="1"/>
  <c r="A89" i="1"/>
  <c r="A35" i="5" l="1"/>
  <c r="A90" i="1"/>
  <c r="A91" i="1" s="1"/>
  <c r="A57" i="5" l="1"/>
  <c r="A92" i="1"/>
  <c r="A93" i="1" s="1"/>
  <c r="A42" i="5" l="1"/>
  <c r="A94" i="1"/>
  <c r="A56" i="5" l="1"/>
  <c r="A95" i="1"/>
  <c r="A61" i="5" l="1"/>
  <c r="A96" i="1"/>
  <c r="A97" i="1" s="1"/>
  <c r="A65" i="5" l="1"/>
  <c r="A63" i="5" l="1"/>
  <c r="A98" i="1"/>
  <c r="A99" i="1" s="1"/>
  <c r="A100" i="1" s="1"/>
  <c r="A101" i="1" s="1"/>
  <c r="A102" i="1" s="1"/>
  <c r="A24" i="5" l="1"/>
  <c r="A103" i="1"/>
  <c r="A104" i="1" l="1"/>
  <c r="A66" i="5"/>
  <c r="A67" i="5" l="1"/>
  <c r="A105" i="1"/>
  <c r="A68" i="5" l="1"/>
  <c r="A106" i="1"/>
  <c r="A107" i="1" s="1"/>
  <c r="A108" i="1" s="1"/>
  <c r="A109" i="1" s="1"/>
  <c r="A110" i="1" s="1"/>
  <c r="A111" i="1" s="1"/>
  <c r="A112" i="1" l="1"/>
  <c r="A69" i="5"/>
  <c r="A26" i="5" l="1"/>
  <c r="A113" i="1"/>
  <c r="A71" i="5" l="1"/>
  <c r="A114" i="1"/>
  <c r="A72" i="5" l="1"/>
  <c r="A115" i="1"/>
  <c r="A73" i="5" l="1"/>
  <c r="A116" i="1"/>
  <c r="A74" i="5" l="1"/>
  <c r="A117" i="1"/>
  <c r="A29" i="5" l="1"/>
  <c r="A118" i="1"/>
  <c r="A76" i="5" l="1"/>
  <c r="A119" i="1"/>
  <c r="A77" i="5" l="1"/>
  <c r="A120" i="1"/>
  <c r="A78" i="5" l="1"/>
  <c r="A121" i="1"/>
  <c r="A79" i="5" l="1"/>
  <c r="A122" i="1"/>
  <c r="A9" i="5" l="1"/>
  <c r="A123" i="1"/>
  <c r="A11" i="5" l="1"/>
  <c r="A124" i="1"/>
  <c r="A14" i="5" l="1"/>
  <c r="A125" i="1"/>
  <c r="A126" i="1" s="1"/>
  <c r="A127" i="1" s="1"/>
  <c r="A128" i="1" s="1"/>
  <c r="A129" i="1" s="1"/>
  <c r="A130" i="1" s="1"/>
  <c r="A131" i="1" s="1"/>
  <c r="A132" i="1" s="1"/>
  <c r="A133" i="1" s="1"/>
  <c r="A84" i="5" l="1"/>
  <c r="A134" i="1"/>
  <c r="A135" i="1" s="1"/>
  <c r="A136" i="1" s="1"/>
  <c r="A137" i="1" s="1"/>
  <c r="A138" i="1" s="1"/>
  <c r="A139" i="1" s="1"/>
  <c r="A140" i="1" s="1"/>
  <c r="A141" i="1" s="1"/>
</calcChain>
</file>

<file path=xl/sharedStrings.xml><?xml version="1.0" encoding="utf-8"?>
<sst xmlns="http://schemas.openxmlformats.org/spreadsheetml/2006/main" count="1090" uniqueCount="194">
  <si>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</si>
  <si>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</si>
  <si>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</si>
  <si>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</si>
  <si>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</si>
  <si>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</si>
  <si>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</si>
  <si>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</si>
  <si>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</si>
  <si>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</si>
  <si>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</si>
  <si>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</si>
  <si>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</si>
  <si>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</si>
  <si>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</si>
  <si>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</si>
  <si>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</si>
  <si>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</si>
  <si>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</si>
  <si>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</si>
  <si>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</si>
  <si>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</si>
  <si>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</si>
  <si>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</si>
  <si>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</si>
  <si>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</si>
  <si>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</si>
  <si>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</si>
  <si>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</si>
  <si>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</si>
  <si>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</si>
  <si>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</si>
  <si>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</si>
  <si>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</si>
  <si>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</si>
  <si>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</si>
  <si>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</si>
  <si>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</si>
  <si>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</si>
  <si>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</si>
  <si>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</si>
  <si>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</si>
  <si>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</si>
  <si>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</si>
  <si>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</si>
  <si>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</si>
  <si>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</si>
  <si>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</si>
  <si>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</si>
  <si>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</si>
  <si>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</si>
  <si>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</si>
  <si>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</si>
  <si>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</si>
  <si>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</si>
  <si>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</si>
  <si>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</si>
  <si>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</si>
  <si>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</si>
  <si>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</si>
  <si>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</si>
  <si>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</si>
  <si>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</si>
  <si>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</si>
  <si>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</si>
  <si>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</si>
  <si>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</si>
  <si>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</si>
  <si>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</si>
  <si>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</si>
  <si>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</si>
  <si>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</si>
  <si>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</si>
  <si>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</si>
  <si>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</si>
  <si>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</si>
  <si>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</si>
  <si>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</si>
  <si>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</si>
  <si>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</si>
  <si>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</si>
  <si>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</si>
  <si>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</si>
  <si>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</si>
  <si>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</si>
  <si>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</si>
  <si>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</si>
  <si>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</si>
  <si>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</si>
  <si>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</si>
  <si>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</si>
  <si>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</si>
  <si>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</si>
  <si>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</si>
  <si>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</si>
  <si>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</si>
  <si>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</si>
  <si>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</si>
  <si>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</si>
  <si>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</si>
  <si>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</si>
  <si>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</si>
  <si>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</si>
  <si>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</si>
  <si>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</si>
  <si>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</si>
  <si>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</si>
  <si>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</si>
  <si>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</si>
  <si>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</si>
  <si>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</si>
  <si>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</si>
  <si>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</si>
  <si>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</si>
  <si>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</si>
  <si>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</si>
  <si>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</si>
  <si>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</si>
  <si>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</si>
  <si>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</si>
  <si>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</si>
  <si>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</si>
  <si>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</si>
  <si>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</si>
  <si>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</si>
  <si>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</si>
  <si>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</si>
  <si>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</si>
  <si>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</si>
  <si>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</si>
  <si>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</si>
  <si>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</si>
  <si>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</si>
  <si>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</si>
  <si>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</si>
  <si>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</si>
  <si>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</si>
  <si>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</si>
  <si>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</si>
  <si>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</si>
  <si>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</si>
  <si>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</si>
  <si>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</si>
  <si>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</si>
  <si>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</si>
  <si>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</si>
  <si>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</si>
  <si>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</si>
  <si>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</si>
  <si>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</si>
  <si>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</si>
  <si>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</si>
  <si>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</si>
  <si>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</si>
  <si>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</si>
  <si>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</si>
  <si>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</si>
  <si>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</si>
  <si>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</si>
  <si>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</si>
  <si>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</si>
  <si>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</si>
  <si>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</si>
  <si>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</si>
  <si>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</si>
  <si>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</si>
  <si>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</si>
  <si>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</si>
  <si>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</si>
  <si>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</si>
  <si>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</si>
  <si>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</si>
  <si>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</si>
  <si>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</si>
  <si>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</si>
  <si>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</si>
  <si>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</si>
  <si>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</si>
  <si>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XXX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</si>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</sst>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8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1"/>
  <sheetViews>
    <sheetView zoomScaleNormal="100" workbookViewId="0">
      <pane ySplit="1" topLeftCell="A47" activePane="bottomLeft" state="frozen"/>
      <selection pane="bottomLeft" activeCell="F58" sqref="F58"/>
    </sheetView>
  </sheetViews>
  <sheetFormatPr baseColWidth="10" defaultColWidth="10.7109375" defaultRowHeight="15" x14ac:dyDescent="0.25"/>
  <cols>
    <col min="1" max="1" width="21.140625" style="54" bestFit="1" customWidth="1"/>
    <col min="2" max="2" width="8.28515625" style="54" bestFit="1" customWidth="1"/>
    <col min="3" max="3" width="15.85546875" style="54" bestFit="1" customWidth="1"/>
    <col min="4" max="4" width="29.85546875" style="55" bestFit="1" customWidth="1"/>
    <col min="5" max="5" width="17.5703125" style="1" bestFit="1" customWidth="1"/>
    <col min="6" max="6" width="21.85546875" style="54" bestFit="1" customWidth="1"/>
    <col min="7" max="7" width="33" style="54" bestFit="1" customWidth="1"/>
    <col min="8" max="8" width="17.140625" style="54" bestFit="1" customWidth="1"/>
  </cols>
  <sheetData>
    <row r="1" spans="1:8" x14ac:dyDescent="0.25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25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25">
      <c r="A3" s="54">
        <f t="shared" ref="A3:A38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25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25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25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25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25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25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25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25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25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25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x14ac:dyDescent="0.25">
      <c r="A14" s="54">
        <f t="shared" si="0"/>
        <v>13</v>
      </c>
      <c r="B14" s="5">
        <v>0</v>
      </c>
      <c r="C14" s="5" t="s">
        <v>27</v>
      </c>
      <c r="D14" s="9">
        <v>46247</v>
      </c>
      <c r="E14" s="91">
        <v>0.79166666666666663</v>
      </c>
      <c r="F14" s="5" t="s">
        <v>163</v>
      </c>
      <c r="G14" s="5" t="s">
        <v>163</v>
      </c>
      <c r="H14" s="5" t="s">
        <v>15</v>
      </c>
    </row>
    <row r="15" spans="1:8" x14ac:dyDescent="0.25">
      <c r="A15" s="54">
        <f t="shared" si="0"/>
        <v>14</v>
      </c>
      <c r="B15" s="5">
        <v>0</v>
      </c>
      <c r="C15" s="5" t="s">
        <v>27</v>
      </c>
      <c r="D15" s="9">
        <v>46255</v>
      </c>
      <c r="E15" s="91">
        <v>0.75</v>
      </c>
      <c r="F15" s="5" t="s">
        <v>28</v>
      </c>
      <c r="G15" s="5" t="s">
        <v>34</v>
      </c>
      <c r="H15" s="5" t="s">
        <v>11</v>
      </c>
    </row>
    <row r="16" spans="1:8" x14ac:dyDescent="0.25">
      <c r="A16" s="54">
        <f t="shared" si="0"/>
        <v>15</v>
      </c>
      <c r="B16" s="5">
        <v>0</v>
      </c>
      <c r="C16" s="5" t="s">
        <v>12</v>
      </c>
      <c r="D16" s="9">
        <v>46256</v>
      </c>
      <c r="E16" s="91">
        <v>0.70833333333333337</v>
      </c>
      <c r="F16" s="5" t="s">
        <v>31</v>
      </c>
      <c r="G16" s="5" t="s">
        <v>31</v>
      </c>
      <c r="H16" s="5" t="s">
        <v>15</v>
      </c>
    </row>
    <row r="17" spans="1:8" x14ac:dyDescent="0.25">
      <c r="A17" s="54">
        <f t="shared" si="0"/>
        <v>16</v>
      </c>
      <c r="B17" s="5">
        <v>0</v>
      </c>
      <c r="C17" s="5" t="s">
        <v>12</v>
      </c>
      <c r="D17" s="9">
        <v>46260</v>
      </c>
      <c r="E17" s="91">
        <v>0.41666666666666669</v>
      </c>
      <c r="F17" s="5" t="s">
        <v>23</v>
      </c>
      <c r="G17" s="5" t="s">
        <v>32</v>
      </c>
      <c r="H17" s="5" t="s">
        <v>11</v>
      </c>
    </row>
    <row r="18" spans="1:8" x14ac:dyDescent="0.25">
      <c r="A18" s="54">
        <f t="shared" si="0"/>
        <v>17</v>
      </c>
      <c r="B18" s="5">
        <v>0</v>
      </c>
      <c r="C18" s="5" t="s">
        <v>27</v>
      </c>
      <c r="D18" s="9">
        <v>46260</v>
      </c>
      <c r="E18" s="91">
        <v>0.79166666666666663</v>
      </c>
      <c r="F18" s="5" t="s">
        <v>28</v>
      </c>
      <c r="G18" s="5" t="s">
        <v>164</v>
      </c>
      <c r="H18" s="5" t="s">
        <v>11</v>
      </c>
    </row>
    <row r="19" spans="1:8" x14ac:dyDescent="0.25">
      <c r="A19" s="54">
        <f t="shared" si="0"/>
        <v>18</v>
      </c>
      <c r="B19" s="5">
        <v>0</v>
      </c>
      <c r="C19" s="5" t="s">
        <v>27</v>
      </c>
      <c r="D19" s="9">
        <v>46263</v>
      </c>
      <c r="E19" s="91">
        <v>0.4375</v>
      </c>
      <c r="F19" s="5" t="s">
        <v>28</v>
      </c>
      <c r="G19" s="5" t="s">
        <v>163</v>
      </c>
      <c r="H19" s="5" t="s">
        <v>11</v>
      </c>
    </row>
    <row r="20" spans="1:8" x14ac:dyDescent="0.25">
      <c r="A20" s="54">
        <f t="shared" si="0"/>
        <v>19</v>
      </c>
      <c r="B20" s="5">
        <v>0</v>
      </c>
      <c r="C20" s="5" t="s">
        <v>12</v>
      </c>
      <c r="D20" s="9">
        <v>46264</v>
      </c>
      <c r="E20" s="91">
        <v>0.4375</v>
      </c>
      <c r="F20" s="5" t="s">
        <v>24</v>
      </c>
      <c r="G20" s="5" t="s">
        <v>33</v>
      </c>
      <c r="H20" s="5" t="s">
        <v>15</v>
      </c>
    </row>
    <row r="21" spans="1:8" x14ac:dyDescent="0.25">
      <c r="A21" s="54">
        <f t="shared" si="0"/>
        <v>20</v>
      </c>
      <c r="B21" s="5">
        <v>0</v>
      </c>
      <c r="C21" s="5" t="s">
        <v>13</v>
      </c>
      <c r="D21" s="9">
        <v>46445</v>
      </c>
      <c r="E21" s="91">
        <v>0.5</v>
      </c>
      <c r="F21" s="5" t="s">
        <v>34</v>
      </c>
      <c r="G21" s="5" t="s">
        <v>34</v>
      </c>
      <c r="H21" s="5" t="s">
        <v>15</v>
      </c>
    </row>
    <row r="22" spans="1:8" x14ac:dyDescent="0.25">
      <c r="A22" s="4">
        <f t="shared" si="0"/>
        <v>21</v>
      </c>
      <c r="B22" s="4">
        <v>1</v>
      </c>
      <c r="C22" s="4" t="s">
        <v>13</v>
      </c>
      <c r="D22" s="10">
        <v>46250</v>
      </c>
      <c r="E22" s="3">
        <v>0.72916666666666663</v>
      </c>
      <c r="F22" s="4" t="s">
        <v>22</v>
      </c>
      <c r="G22" s="4" t="s">
        <v>22</v>
      </c>
      <c r="H22" s="4" t="s">
        <v>15</v>
      </c>
    </row>
    <row r="23" spans="1:8" x14ac:dyDescent="0.25">
      <c r="A23" s="4">
        <f t="shared" si="0"/>
        <v>22</v>
      </c>
      <c r="B23" s="4">
        <v>2</v>
      </c>
      <c r="C23" s="4" t="s">
        <v>13</v>
      </c>
      <c r="D23" s="10">
        <v>46255</v>
      </c>
      <c r="E23" s="3">
        <v>0.83333333333333337</v>
      </c>
      <c r="F23" s="4" t="s">
        <v>35</v>
      </c>
      <c r="G23" s="4" t="s">
        <v>35</v>
      </c>
      <c r="H23" s="4" t="s">
        <v>15</v>
      </c>
    </row>
    <row r="24" spans="1:8" x14ac:dyDescent="0.25">
      <c r="A24" s="4">
        <f t="shared" si="0"/>
        <v>23</v>
      </c>
      <c r="B24" s="4">
        <v>3</v>
      </c>
      <c r="C24" s="4" t="s">
        <v>13</v>
      </c>
      <c r="D24" s="10">
        <v>46263</v>
      </c>
      <c r="E24" s="3">
        <v>0.75</v>
      </c>
      <c r="F24" s="4" t="s">
        <v>23</v>
      </c>
      <c r="G24" s="4" t="s">
        <v>36</v>
      </c>
      <c r="H24" s="4" t="s">
        <v>11</v>
      </c>
    </row>
    <row r="25" spans="1:8" x14ac:dyDescent="0.25">
      <c r="A25" s="4">
        <f t="shared" si="0"/>
        <v>24</v>
      </c>
      <c r="B25" s="4">
        <v>4</v>
      </c>
      <c r="C25" s="4" t="s">
        <v>13</v>
      </c>
      <c r="D25" s="10">
        <v>46270</v>
      </c>
      <c r="E25" s="3">
        <v>0.6875</v>
      </c>
      <c r="F25" s="4" t="s">
        <v>37</v>
      </c>
      <c r="G25" s="4" t="s">
        <v>37</v>
      </c>
      <c r="H25" s="4" t="s">
        <v>15</v>
      </c>
    </row>
    <row r="26" spans="1:8" x14ac:dyDescent="0.25">
      <c r="A26" s="4">
        <f t="shared" si="0"/>
        <v>25</v>
      </c>
      <c r="B26" s="4">
        <v>5</v>
      </c>
      <c r="C26" s="4" t="s">
        <v>13</v>
      </c>
      <c r="D26" s="10">
        <v>46276</v>
      </c>
      <c r="E26" s="3">
        <v>0.8125</v>
      </c>
      <c r="F26" s="4" t="s">
        <v>23</v>
      </c>
      <c r="G26" s="4" t="s">
        <v>38</v>
      </c>
      <c r="H26" s="4" t="s">
        <v>11</v>
      </c>
    </row>
    <row r="27" spans="1:8" x14ac:dyDescent="0.25">
      <c r="A27" s="4">
        <f t="shared" si="0"/>
        <v>26</v>
      </c>
      <c r="B27" s="4">
        <v>6</v>
      </c>
      <c r="C27" s="4" t="s">
        <v>13</v>
      </c>
      <c r="D27" s="10">
        <v>46284</v>
      </c>
      <c r="E27" s="3">
        <v>0.66666666666666663</v>
      </c>
      <c r="F27" s="4" t="s">
        <v>39</v>
      </c>
      <c r="G27" s="4" t="s">
        <v>39</v>
      </c>
      <c r="H27" s="4" t="s">
        <v>15</v>
      </c>
    </row>
    <row r="28" spans="1:8" x14ac:dyDescent="0.25">
      <c r="A28" s="4">
        <f t="shared" si="0"/>
        <v>27</v>
      </c>
      <c r="B28" s="4">
        <v>7</v>
      </c>
      <c r="C28" s="4" t="s">
        <v>13</v>
      </c>
      <c r="D28" s="10">
        <v>46291</v>
      </c>
      <c r="E28" s="3">
        <v>0.75</v>
      </c>
      <c r="F28" s="4" t="s">
        <v>23</v>
      </c>
      <c r="G28" s="4" t="s">
        <v>40</v>
      </c>
      <c r="H28" s="4" t="s">
        <v>11</v>
      </c>
    </row>
    <row r="29" spans="1:8" x14ac:dyDescent="0.25">
      <c r="A29" s="4">
        <f t="shared" si="0"/>
        <v>28</v>
      </c>
      <c r="B29" s="4">
        <v>8</v>
      </c>
      <c r="C29" s="4" t="s">
        <v>13</v>
      </c>
      <c r="D29" s="10">
        <v>46297</v>
      </c>
      <c r="E29" s="3">
        <v>0.79166666666666663</v>
      </c>
      <c r="F29" s="4" t="s">
        <v>41</v>
      </c>
      <c r="G29" s="4" t="s">
        <v>41</v>
      </c>
      <c r="H29" s="4" t="s">
        <v>15</v>
      </c>
    </row>
    <row r="30" spans="1:8" x14ac:dyDescent="0.25">
      <c r="A30" s="4">
        <f t="shared" si="0"/>
        <v>29</v>
      </c>
      <c r="B30" s="4">
        <v>9</v>
      </c>
      <c r="C30" s="4" t="s">
        <v>13</v>
      </c>
      <c r="D30" s="10">
        <v>46304</v>
      </c>
      <c r="E30" s="3">
        <v>0.8125</v>
      </c>
      <c r="F30" s="4" t="s">
        <v>23</v>
      </c>
      <c r="G30" s="4" t="s">
        <v>9</v>
      </c>
      <c r="H30" s="4" t="s">
        <v>11</v>
      </c>
    </row>
    <row r="31" spans="1:8" x14ac:dyDescent="0.25">
      <c r="A31" s="4">
        <f t="shared" si="0"/>
        <v>30</v>
      </c>
      <c r="B31" s="4">
        <v>10</v>
      </c>
      <c r="C31" s="4" t="s">
        <v>13</v>
      </c>
      <c r="D31" s="10">
        <v>46311</v>
      </c>
      <c r="E31" s="3">
        <v>0.8125</v>
      </c>
      <c r="F31" s="4" t="s">
        <v>42</v>
      </c>
      <c r="G31" s="4" t="s">
        <v>42</v>
      </c>
      <c r="H31" s="4" t="s">
        <v>15</v>
      </c>
    </row>
    <row r="32" spans="1:8" x14ac:dyDescent="0.25">
      <c r="A32" s="4">
        <f t="shared" si="0"/>
        <v>31</v>
      </c>
      <c r="B32" s="4">
        <v>11</v>
      </c>
      <c r="C32" s="4" t="s">
        <v>13</v>
      </c>
      <c r="D32" s="10">
        <v>46319</v>
      </c>
      <c r="E32" s="3">
        <v>0.70833333333333337</v>
      </c>
      <c r="F32" s="4" t="s">
        <v>23</v>
      </c>
      <c r="G32" s="4" t="s">
        <v>43</v>
      </c>
      <c r="H32" s="4" t="s">
        <v>11</v>
      </c>
    </row>
    <row r="33" spans="1:8" x14ac:dyDescent="0.25">
      <c r="A33" s="4">
        <f t="shared" si="0"/>
        <v>32</v>
      </c>
      <c r="B33" s="4">
        <v>12</v>
      </c>
      <c r="C33" s="4" t="s">
        <v>13</v>
      </c>
      <c r="D33" s="10">
        <v>46326</v>
      </c>
      <c r="E33" s="3">
        <v>0.75</v>
      </c>
      <c r="F33" s="4" t="s">
        <v>44</v>
      </c>
      <c r="G33" s="4" t="s">
        <v>44</v>
      </c>
      <c r="H33" s="4" t="s">
        <v>15</v>
      </c>
    </row>
    <row r="34" spans="1:8" x14ac:dyDescent="0.25">
      <c r="A34" s="4">
        <f t="shared" si="0"/>
        <v>33</v>
      </c>
      <c r="B34" s="4">
        <v>13</v>
      </c>
      <c r="C34" s="4" t="s">
        <v>13</v>
      </c>
      <c r="D34" s="10">
        <v>46333</v>
      </c>
      <c r="E34" s="3">
        <v>0.6875</v>
      </c>
      <c r="F34" s="4" t="s">
        <v>23</v>
      </c>
      <c r="G34" s="4" t="s">
        <v>45</v>
      </c>
      <c r="H34" s="4" t="s">
        <v>11</v>
      </c>
    </row>
    <row r="35" spans="1:8" x14ac:dyDescent="0.25">
      <c r="A35" s="4">
        <f t="shared" si="0"/>
        <v>34</v>
      </c>
      <c r="B35" s="4">
        <v>1</v>
      </c>
      <c r="C35" s="4" t="s">
        <v>19</v>
      </c>
      <c r="D35" s="10">
        <v>46250</v>
      </c>
      <c r="E35" s="3">
        <v>0.64583333333333337</v>
      </c>
      <c r="F35" s="4" t="s">
        <v>22</v>
      </c>
      <c r="G35" s="4" t="s">
        <v>22</v>
      </c>
      <c r="H35" s="4" t="s">
        <v>15</v>
      </c>
    </row>
    <row r="36" spans="1:8" x14ac:dyDescent="0.25">
      <c r="A36" s="4">
        <f t="shared" si="0"/>
        <v>35</v>
      </c>
      <c r="B36" s="4">
        <v>2</v>
      </c>
      <c r="C36" s="4" t="s">
        <v>19</v>
      </c>
      <c r="D36" s="10">
        <v>46255</v>
      </c>
      <c r="E36" s="3">
        <v>0.75</v>
      </c>
      <c r="F36" s="4" t="s">
        <v>35</v>
      </c>
      <c r="G36" s="4" t="s">
        <v>35</v>
      </c>
      <c r="H36" s="4" t="s">
        <v>15</v>
      </c>
    </row>
    <row r="37" spans="1:8" x14ac:dyDescent="0.25">
      <c r="A37" s="4">
        <f t="shared" si="0"/>
        <v>36</v>
      </c>
      <c r="B37" s="4">
        <v>3</v>
      </c>
      <c r="C37" s="4" t="s">
        <v>19</v>
      </c>
      <c r="D37" s="10">
        <v>46263</v>
      </c>
      <c r="E37" s="3">
        <v>0.66666666666666663</v>
      </c>
      <c r="F37" s="4" t="s">
        <v>23</v>
      </c>
      <c r="G37" s="4" t="s">
        <v>36</v>
      </c>
      <c r="H37" s="4" t="s">
        <v>11</v>
      </c>
    </row>
    <row r="38" spans="1:8" x14ac:dyDescent="0.25">
      <c r="A38" s="4">
        <f t="shared" si="0"/>
        <v>37</v>
      </c>
      <c r="B38" s="4">
        <v>4</v>
      </c>
      <c r="C38" s="4" t="s">
        <v>19</v>
      </c>
      <c r="D38" s="10">
        <v>46270</v>
      </c>
      <c r="E38" s="3">
        <v>0.60416666666666663</v>
      </c>
      <c r="F38" s="4" t="s">
        <v>37</v>
      </c>
      <c r="G38" s="4" t="s">
        <v>37</v>
      </c>
      <c r="H38" s="4" t="s">
        <v>15</v>
      </c>
    </row>
    <row r="39" spans="1:8" x14ac:dyDescent="0.25">
      <c r="A39" s="4">
        <f t="shared" ref="A39:A70" si="1">A38+1</f>
        <v>38</v>
      </c>
      <c r="B39" s="4">
        <v>5</v>
      </c>
      <c r="C39" s="4" t="s">
        <v>19</v>
      </c>
      <c r="D39" s="10">
        <v>46276</v>
      </c>
      <c r="E39" s="3">
        <v>0.72916666666666663</v>
      </c>
      <c r="F39" s="4" t="s">
        <v>23</v>
      </c>
      <c r="G39" s="4" t="s">
        <v>38</v>
      </c>
      <c r="H39" s="4" t="s">
        <v>11</v>
      </c>
    </row>
    <row r="40" spans="1:8" x14ac:dyDescent="0.25">
      <c r="A40" s="4">
        <f t="shared" si="1"/>
        <v>39</v>
      </c>
      <c r="B40" s="4">
        <v>6</v>
      </c>
      <c r="C40" s="4" t="s">
        <v>19</v>
      </c>
      <c r="D40" s="10">
        <v>46284</v>
      </c>
      <c r="E40" s="3">
        <v>0.58333333333333337</v>
      </c>
      <c r="F40" s="4" t="s">
        <v>39</v>
      </c>
      <c r="G40" s="4" t="s">
        <v>39</v>
      </c>
      <c r="H40" s="4" t="s">
        <v>15</v>
      </c>
    </row>
    <row r="41" spans="1:8" x14ac:dyDescent="0.25">
      <c r="A41" s="4">
        <f t="shared" si="1"/>
        <v>40</v>
      </c>
      <c r="B41" s="4">
        <v>7</v>
      </c>
      <c r="C41" s="4" t="s">
        <v>19</v>
      </c>
      <c r="D41" s="10">
        <v>46291</v>
      </c>
      <c r="E41" s="3">
        <v>0.66666666666666663</v>
      </c>
      <c r="F41" s="4" t="s">
        <v>23</v>
      </c>
      <c r="G41" s="4" t="s">
        <v>40</v>
      </c>
      <c r="H41" s="4" t="s">
        <v>11</v>
      </c>
    </row>
    <row r="42" spans="1:8" x14ac:dyDescent="0.25">
      <c r="A42" s="4">
        <f t="shared" si="1"/>
        <v>41</v>
      </c>
      <c r="B42" s="4">
        <v>8</v>
      </c>
      <c r="C42" s="4" t="s">
        <v>19</v>
      </c>
      <c r="D42" s="10">
        <v>46298</v>
      </c>
      <c r="E42" s="3">
        <v>0.70833333333333337</v>
      </c>
      <c r="F42" s="4" t="s">
        <v>41</v>
      </c>
      <c r="G42" s="4" t="s">
        <v>41</v>
      </c>
      <c r="H42" s="4" t="s">
        <v>15</v>
      </c>
    </row>
    <row r="43" spans="1:8" x14ac:dyDescent="0.25">
      <c r="A43" s="4">
        <f t="shared" si="1"/>
        <v>42</v>
      </c>
      <c r="B43" s="4">
        <v>9</v>
      </c>
      <c r="C43" s="4" t="s">
        <v>19</v>
      </c>
      <c r="D43" s="10">
        <v>46304</v>
      </c>
      <c r="E43" s="3">
        <v>0.72916666666666663</v>
      </c>
      <c r="F43" s="4" t="s">
        <v>23</v>
      </c>
      <c r="G43" s="4" t="s">
        <v>9</v>
      </c>
      <c r="H43" s="4" t="s">
        <v>11</v>
      </c>
    </row>
    <row r="44" spans="1:8" x14ac:dyDescent="0.25">
      <c r="A44" s="4">
        <f t="shared" si="1"/>
        <v>43</v>
      </c>
      <c r="B44" s="4">
        <v>10</v>
      </c>
      <c r="C44" s="4" t="s">
        <v>19</v>
      </c>
      <c r="D44" s="10">
        <v>46311</v>
      </c>
      <c r="E44" s="3">
        <v>0.72916666666666663</v>
      </c>
      <c r="F44" s="4" t="s">
        <v>42</v>
      </c>
      <c r="G44" s="4" t="s">
        <v>42</v>
      </c>
      <c r="H44" s="4" t="s">
        <v>15</v>
      </c>
    </row>
    <row r="45" spans="1:8" x14ac:dyDescent="0.25">
      <c r="A45" s="4">
        <f t="shared" si="1"/>
        <v>44</v>
      </c>
      <c r="B45" s="4">
        <v>11</v>
      </c>
      <c r="C45" s="4" t="s">
        <v>19</v>
      </c>
      <c r="D45" s="10">
        <v>46319</v>
      </c>
      <c r="E45" s="3">
        <v>0.625</v>
      </c>
      <c r="F45" s="4" t="s">
        <v>23</v>
      </c>
      <c r="G45" s="4" t="s">
        <v>43</v>
      </c>
      <c r="H45" s="4" t="s">
        <v>11</v>
      </c>
    </row>
    <row r="46" spans="1:8" x14ac:dyDescent="0.25">
      <c r="A46" s="4">
        <f t="shared" si="1"/>
        <v>45</v>
      </c>
      <c r="B46" s="4">
        <v>12</v>
      </c>
      <c r="C46" s="4" t="s">
        <v>19</v>
      </c>
      <c r="D46" s="10">
        <v>46326</v>
      </c>
      <c r="E46" s="3">
        <v>0.66666666666666663</v>
      </c>
      <c r="F46" s="4" t="s">
        <v>44</v>
      </c>
      <c r="G46" s="4" t="s">
        <v>44</v>
      </c>
      <c r="H46" s="4" t="s">
        <v>15</v>
      </c>
    </row>
    <row r="47" spans="1:8" x14ac:dyDescent="0.25">
      <c r="A47" s="4">
        <f t="shared" si="1"/>
        <v>46</v>
      </c>
      <c r="B47" s="4">
        <v>13</v>
      </c>
      <c r="C47" s="4" t="s">
        <v>19</v>
      </c>
      <c r="D47" s="10">
        <v>46333</v>
      </c>
      <c r="E47" s="3">
        <v>0.60416666666666663</v>
      </c>
      <c r="F47" s="4" t="s">
        <v>23</v>
      </c>
      <c r="G47" s="4" t="s">
        <v>45</v>
      </c>
      <c r="H47" s="4" t="s">
        <v>11</v>
      </c>
    </row>
    <row r="48" spans="1:8" x14ac:dyDescent="0.25">
      <c r="A48" s="21">
        <f t="shared" si="1"/>
        <v>47</v>
      </c>
      <c r="B48" s="21">
        <v>1</v>
      </c>
      <c r="C48" s="21" t="s">
        <v>12</v>
      </c>
      <c r="D48" s="28">
        <v>46271</v>
      </c>
      <c r="E48" s="22"/>
      <c r="F48" s="21"/>
      <c r="G48" s="21" t="s">
        <v>179</v>
      </c>
      <c r="H48" s="21"/>
    </row>
    <row r="49" spans="1:9" x14ac:dyDescent="0.25">
      <c r="A49" s="21">
        <f t="shared" si="1"/>
        <v>48</v>
      </c>
      <c r="B49" s="21">
        <v>2</v>
      </c>
      <c r="C49" s="21" t="s">
        <v>12</v>
      </c>
      <c r="D49" s="28">
        <v>46278</v>
      </c>
      <c r="E49" s="22"/>
      <c r="F49" s="21" t="s">
        <v>43</v>
      </c>
      <c r="G49" s="21" t="s">
        <v>173</v>
      </c>
      <c r="H49" s="21" t="s">
        <v>15</v>
      </c>
    </row>
    <row r="50" spans="1:9" x14ac:dyDescent="0.25">
      <c r="A50" s="21">
        <f t="shared" si="1"/>
        <v>49</v>
      </c>
      <c r="B50" s="21">
        <v>3</v>
      </c>
      <c r="C50" s="21" t="s">
        <v>12</v>
      </c>
      <c r="D50" s="28">
        <v>46284</v>
      </c>
      <c r="E50" s="22">
        <v>0.70833333333333337</v>
      </c>
      <c r="F50" s="21" t="s">
        <v>9</v>
      </c>
      <c r="G50" s="21" t="s">
        <v>180</v>
      </c>
      <c r="H50" s="21" t="s">
        <v>11</v>
      </c>
    </row>
    <row r="51" spans="1:9" x14ac:dyDescent="0.25">
      <c r="A51" s="21">
        <f t="shared" si="1"/>
        <v>50</v>
      </c>
      <c r="B51" s="21">
        <v>4</v>
      </c>
      <c r="C51" s="21" t="s">
        <v>12</v>
      </c>
      <c r="D51" s="28">
        <v>46292</v>
      </c>
      <c r="E51" s="22"/>
      <c r="F51" s="21" t="s">
        <v>28</v>
      </c>
      <c r="G51" s="21" t="s">
        <v>28</v>
      </c>
      <c r="H51" s="21" t="s">
        <v>15</v>
      </c>
    </row>
    <row r="52" spans="1:9" x14ac:dyDescent="0.25">
      <c r="A52" s="21">
        <f t="shared" si="1"/>
        <v>51</v>
      </c>
      <c r="B52" s="21">
        <v>5</v>
      </c>
      <c r="C52" s="21" t="s">
        <v>12</v>
      </c>
      <c r="D52" s="28">
        <v>46298</v>
      </c>
      <c r="E52" s="22">
        <v>0.58333333333333337</v>
      </c>
      <c r="F52" s="21" t="s">
        <v>23</v>
      </c>
      <c r="G52" s="21" t="s">
        <v>191</v>
      </c>
      <c r="H52" s="21" t="s">
        <v>11</v>
      </c>
    </row>
    <row r="53" spans="1:9" x14ac:dyDescent="0.25">
      <c r="A53" s="21">
        <f t="shared" si="1"/>
        <v>52</v>
      </c>
      <c r="B53" s="21">
        <v>6</v>
      </c>
      <c r="C53" s="21" t="s">
        <v>12</v>
      </c>
      <c r="D53" s="28">
        <v>46305</v>
      </c>
      <c r="E53" s="22">
        <v>0.66666666666666663</v>
      </c>
      <c r="F53" s="21" t="s">
        <v>23</v>
      </c>
      <c r="G53" s="21" t="s">
        <v>166</v>
      </c>
      <c r="H53" s="21" t="s">
        <v>11</v>
      </c>
    </row>
    <row r="54" spans="1:9" x14ac:dyDescent="0.25">
      <c r="A54" s="21">
        <f t="shared" si="1"/>
        <v>53</v>
      </c>
      <c r="B54" s="21">
        <v>7</v>
      </c>
      <c r="C54" s="21" t="s">
        <v>12</v>
      </c>
      <c r="D54" s="28">
        <v>46313</v>
      </c>
      <c r="E54" s="22"/>
      <c r="F54" s="21" t="s">
        <v>188</v>
      </c>
      <c r="G54" s="21" t="s">
        <v>165</v>
      </c>
      <c r="H54" s="21" t="s">
        <v>15</v>
      </c>
    </row>
    <row r="55" spans="1:9" x14ac:dyDescent="0.25">
      <c r="A55" s="21">
        <f t="shared" si="1"/>
        <v>54</v>
      </c>
      <c r="B55" s="21">
        <v>8</v>
      </c>
      <c r="C55" s="21" t="s">
        <v>12</v>
      </c>
      <c r="D55" s="28">
        <v>46320</v>
      </c>
      <c r="E55" s="22"/>
      <c r="F55" s="21"/>
      <c r="G55" s="21" t="s">
        <v>179</v>
      </c>
      <c r="H55" s="21"/>
    </row>
    <row r="56" spans="1:9" x14ac:dyDescent="0.25">
      <c r="A56" s="21">
        <f t="shared" si="1"/>
        <v>55</v>
      </c>
      <c r="B56" s="21">
        <v>9</v>
      </c>
      <c r="C56" s="21" t="s">
        <v>12</v>
      </c>
      <c r="D56" s="28">
        <v>46326</v>
      </c>
      <c r="E56" s="22">
        <v>0.60416666666666663</v>
      </c>
      <c r="F56" s="21" t="s">
        <v>23</v>
      </c>
      <c r="G56" s="21" t="s">
        <v>192</v>
      </c>
      <c r="H56" s="21" t="s">
        <v>11</v>
      </c>
    </row>
    <row r="57" spans="1:9" x14ac:dyDescent="0.25">
      <c r="A57" s="21">
        <f t="shared" si="1"/>
        <v>56</v>
      </c>
      <c r="B57" s="21">
        <v>10</v>
      </c>
      <c r="C57" s="21" t="s">
        <v>12</v>
      </c>
      <c r="D57" s="28">
        <v>46334</v>
      </c>
      <c r="E57" s="22"/>
      <c r="F57" s="21" t="s">
        <v>180</v>
      </c>
      <c r="G57" s="21" t="s">
        <v>180</v>
      </c>
      <c r="H57" s="21" t="s">
        <v>15</v>
      </c>
    </row>
    <row r="58" spans="1:9" x14ac:dyDescent="0.25">
      <c r="A58" s="21">
        <f t="shared" si="1"/>
        <v>57</v>
      </c>
      <c r="B58" s="21">
        <v>11</v>
      </c>
      <c r="C58" s="21" t="s">
        <v>12</v>
      </c>
      <c r="D58" s="28">
        <v>46340</v>
      </c>
      <c r="E58" s="22">
        <v>0.45833333333333331</v>
      </c>
      <c r="F58" s="21" t="s">
        <v>23</v>
      </c>
      <c r="G58" s="21" t="s">
        <v>28</v>
      </c>
      <c r="H58" s="21" t="s">
        <v>11</v>
      </c>
    </row>
    <row r="59" spans="1:9" s="11" customFormat="1" ht="14.25" customHeight="1" x14ac:dyDescent="0.25">
      <c r="A59" s="18">
        <f t="shared" si="1"/>
        <v>58</v>
      </c>
      <c r="B59" s="13">
        <v>1</v>
      </c>
      <c r="C59" s="13" t="s">
        <v>27</v>
      </c>
      <c r="D59" s="14">
        <v>46271</v>
      </c>
      <c r="E59" s="15">
        <v>0.625</v>
      </c>
      <c r="F59" s="13" t="s">
        <v>28</v>
      </c>
      <c r="G59" s="13" t="s">
        <v>165</v>
      </c>
      <c r="H59" s="13" t="s">
        <v>11</v>
      </c>
      <c r="I59" s="17"/>
    </row>
    <row r="60" spans="1:9" x14ac:dyDescent="0.25">
      <c r="A60" s="18">
        <f t="shared" si="1"/>
        <v>59</v>
      </c>
      <c r="B60" s="13">
        <v>2</v>
      </c>
      <c r="C60" s="13" t="s">
        <v>27</v>
      </c>
      <c r="D60" s="14">
        <v>46278</v>
      </c>
      <c r="E60" s="15">
        <v>0.625</v>
      </c>
      <c r="F60" s="13" t="s">
        <v>14</v>
      </c>
      <c r="G60" s="13" t="s">
        <v>14</v>
      </c>
      <c r="H60" s="13" t="s">
        <v>15</v>
      </c>
      <c r="I60" s="16"/>
    </row>
    <row r="61" spans="1:9" x14ac:dyDescent="0.25">
      <c r="A61" s="18">
        <f t="shared" si="1"/>
        <v>60</v>
      </c>
      <c r="B61" s="13">
        <v>3</v>
      </c>
      <c r="C61" s="13" t="s">
        <v>27</v>
      </c>
      <c r="D61" s="14">
        <v>46284</v>
      </c>
      <c r="E61" s="15">
        <v>0.52083333333333337</v>
      </c>
      <c r="F61" s="13" t="s">
        <v>23</v>
      </c>
      <c r="G61" s="13" t="s">
        <v>166</v>
      </c>
      <c r="H61" s="13" t="s">
        <v>11</v>
      </c>
      <c r="I61" s="16"/>
    </row>
    <row r="62" spans="1:9" x14ac:dyDescent="0.25">
      <c r="A62" s="18">
        <f t="shared" si="1"/>
        <v>61</v>
      </c>
      <c r="B62" s="13">
        <v>4</v>
      </c>
      <c r="C62" s="13" t="s">
        <v>27</v>
      </c>
      <c r="D62" s="14">
        <v>46292</v>
      </c>
      <c r="E62" s="15">
        <v>0.625</v>
      </c>
      <c r="F62" s="13" t="s">
        <v>28</v>
      </c>
      <c r="G62" s="13" t="s">
        <v>169</v>
      </c>
      <c r="H62" s="13" t="s">
        <v>11</v>
      </c>
      <c r="I62" s="16"/>
    </row>
    <row r="63" spans="1:9" x14ac:dyDescent="0.25">
      <c r="A63" s="18">
        <f t="shared" si="1"/>
        <v>62</v>
      </c>
      <c r="B63" s="13">
        <v>5</v>
      </c>
      <c r="C63" s="13" t="s">
        <v>27</v>
      </c>
      <c r="D63" s="14">
        <v>46299</v>
      </c>
      <c r="E63" s="15">
        <v>0.625</v>
      </c>
      <c r="F63" s="13" t="s">
        <v>167</v>
      </c>
      <c r="G63" s="13" t="s">
        <v>168</v>
      </c>
      <c r="H63" s="13" t="s">
        <v>15</v>
      </c>
      <c r="I63" s="16"/>
    </row>
    <row r="64" spans="1:9" x14ac:dyDescent="0.25">
      <c r="A64" s="18">
        <f t="shared" si="1"/>
        <v>63</v>
      </c>
      <c r="B64" s="13">
        <v>6</v>
      </c>
      <c r="C64" s="13" t="s">
        <v>27</v>
      </c>
      <c r="D64" s="14">
        <v>46306</v>
      </c>
      <c r="E64" s="15">
        <v>0.625</v>
      </c>
      <c r="F64" s="13" t="s">
        <v>28</v>
      </c>
      <c r="G64" s="13" t="s">
        <v>170</v>
      </c>
      <c r="H64" s="13" t="s">
        <v>11</v>
      </c>
      <c r="I64" s="16"/>
    </row>
    <row r="65" spans="1:9" x14ac:dyDescent="0.25">
      <c r="A65" s="18">
        <f t="shared" si="1"/>
        <v>64</v>
      </c>
      <c r="B65" s="13">
        <v>7</v>
      </c>
      <c r="C65" s="13" t="s">
        <v>27</v>
      </c>
      <c r="D65" s="14">
        <v>46313</v>
      </c>
      <c r="E65" s="15">
        <v>0.625</v>
      </c>
      <c r="F65" s="13" t="s">
        <v>171</v>
      </c>
      <c r="G65" s="13" t="s">
        <v>171</v>
      </c>
      <c r="H65" s="13" t="s">
        <v>15</v>
      </c>
      <c r="I65" s="16"/>
    </row>
    <row r="66" spans="1:9" x14ac:dyDescent="0.25">
      <c r="A66" s="18">
        <f t="shared" si="1"/>
        <v>65</v>
      </c>
      <c r="B66" s="13">
        <v>8</v>
      </c>
      <c r="C66" s="13" t="s">
        <v>27</v>
      </c>
      <c r="D66" s="14">
        <v>46320</v>
      </c>
      <c r="E66" s="15">
        <v>0.58333333333333337</v>
      </c>
      <c r="F66" s="13" t="s">
        <v>23</v>
      </c>
      <c r="G66" s="13" t="s">
        <v>172</v>
      </c>
      <c r="H66" s="13" t="s">
        <v>11</v>
      </c>
      <c r="I66" s="16"/>
    </row>
    <row r="67" spans="1:9" x14ac:dyDescent="0.25">
      <c r="A67" s="18">
        <f t="shared" si="1"/>
        <v>66</v>
      </c>
      <c r="B67" s="13">
        <v>9</v>
      </c>
      <c r="C67" s="13" t="s">
        <v>27</v>
      </c>
      <c r="D67" s="14">
        <v>46327</v>
      </c>
      <c r="E67" s="15">
        <v>0.625</v>
      </c>
      <c r="F67" s="13" t="s">
        <v>43</v>
      </c>
      <c r="G67" s="13" t="s">
        <v>173</v>
      </c>
      <c r="H67" s="13" t="s">
        <v>15</v>
      </c>
      <c r="I67" s="16"/>
    </row>
    <row r="68" spans="1:9" x14ac:dyDescent="0.25">
      <c r="A68" s="6">
        <f t="shared" si="1"/>
        <v>67</v>
      </c>
      <c r="B68" s="6">
        <v>1</v>
      </c>
      <c r="C68" s="6" t="s">
        <v>46</v>
      </c>
      <c r="D68" s="23">
        <v>46269</v>
      </c>
      <c r="E68" s="7"/>
      <c r="F68" s="6" t="s">
        <v>59</v>
      </c>
      <c r="G68" s="6" t="s">
        <v>182</v>
      </c>
      <c r="H68" s="6" t="s">
        <v>11</v>
      </c>
    </row>
    <row r="69" spans="1:9" x14ac:dyDescent="0.25">
      <c r="A69" s="6">
        <f t="shared" si="1"/>
        <v>68</v>
      </c>
      <c r="B69" s="6">
        <v>2</v>
      </c>
      <c r="C69" s="6" t="s">
        <v>46</v>
      </c>
      <c r="D69" s="23">
        <v>46276</v>
      </c>
      <c r="E69" s="7"/>
      <c r="F69" s="6" t="s">
        <v>183</v>
      </c>
      <c r="G69" s="6" t="s">
        <v>184</v>
      </c>
      <c r="H69" s="6" t="s">
        <v>15</v>
      </c>
    </row>
    <row r="70" spans="1:9" x14ac:dyDescent="0.25">
      <c r="A70" s="6">
        <f t="shared" si="1"/>
        <v>69</v>
      </c>
      <c r="B70" s="6">
        <v>3</v>
      </c>
      <c r="C70" s="6" t="s">
        <v>46</v>
      </c>
      <c r="D70" s="23">
        <v>46284</v>
      </c>
      <c r="E70" s="7">
        <v>0.4375</v>
      </c>
      <c r="F70" s="6" t="s">
        <v>23</v>
      </c>
      <c r="G70" s="6" t="s">
        <v>174</v>
      </c>
      <c r="H70" s="6" t="s">
        <v>11</v>
      </c>
    </row>
    <row r="71" spans="1:9" x14ac:dyDescent="0.25">
      <c r="A71" s="6">
        <f t="shared" ref="A71:A101" si="2">A70+1</f>
        <v>70</v>
      </c>
      <c r="B71" s="6">
        <v>4</v>
      </c>
      <c r="C71" s="6" t="s">
        <v>46</v>
      </c>
      <c r="D71" s="23">
        <v>46290</v>
      </c>
      <c r="E71" s="7"/>
      <c r="F71" s="6" t="s">
        <v>176</v>
      </c>
      <c r="G71" s="6" t="s">
        <v>185</v>
      </c>
      <c r="H71" s="6" t="s">
        <v>15</v>
      </c>
    </row>
    <row r="72" spans="1:9" x14ac:dyDescent="0.25">
      <c r="A72" s="6">
        <f t="shared" si="2"/>
        <v>71</v>
      </c>
      <c r="B72" s="6">
        <v>5</v>
      </c>
      <c r="C72" s="6" t="s">
        <v>46</v>
      </c>
      <c r="D72" s="23">
        <v>46298</v>
      </c>
      <c r="E72" s="7">
        <v>0.5</v>
      </c>
      <c r="F72" s="6" t="s">
        <v>59</v>
      </c>
      <c r="G72" s="6" t="s">
        <v>186</v>
      </c>
      <c r="H72" s="6" t="s">
        <v>11</v>
      </c>
    </row>
    <row r="73" spans="1:9" x14ac:dyDescent="0.25">
      <c r="A73" s="6">
        <f t="shared" si="2"/>
        <v>72</v>
      </c>
      <c r="B73" s="6">
        <v>6</v>
      </c>
      <c r="C73" s="6" t="s">
        <v>46</v>
      </c>
      <c r="D73" s="23">
        <v>46304</v>
      </c>
      <c r="E73" s="7"/>
      <c r="F73" s="6" t="s">
        <v>182</v>
      </c>
      <c r="G73" s="6" t="s">
        <v>182</v>
      </c>
      <c r="H73" s="6" t="s">
        <v>15</v>
      </c>
    </row>
    <row r="74" spans="1:9" x14ac:dyDescent="0.25">
      <c r="A74" s="6">
        <f t="shared" si="2"/>
        <v>73</v>
      </c>
      <c r="B74" s="6">
        <v>7</v>
      </c>
      <c r="C74" s="6" t="s">
        <v>46</v>
      </c>
      <c r="D74" s="23">
        <v>46312</v>
      </c>
      <c r="E74" s="7">
        <v>0.70833333333333337</v>
      </c>
      <c r="F74" s="6" t="s">
        <v>23</v>
      </c>
      <c r="G74" s="6" t="s">
        <v>184</v>
      </c>
      <c r="H74" s="6" t="s">
        <v>11</v>
      </c>
    </row>
    <row r="75" spans="1:9" x14ac:dyDescent="0.25">
      <c r="A75" s="6">
        <f t="shared" si="2"/>
        <v>74</v>
      </c>
      <c r="B75" s="6">
        <v>8</v>
      </c>
      <c r="C75" s="6" t="s">
        <v>46</v>
      </c>
      <c r="D75" s="23">
        <v>46318</v>
      </c>
      <c r="E75" s="7"/>
      <c r="F75" s="6" t="s">
        <v>174</v>
      </c>
      <c r="G75" s="6" t="s">
        <v>174</v>
      </c>
      <c r="H75" s="6" t="s">
        <v>15</v>
      </c>
    </row>
    <row r="76" spans="1:9" x14ac:dyDescent="0.25">
      <c r="A76" s="6">
        <f t="shared" si="2"/>
        <v>75</v>
      </c>
      <c r="B76" s="6">
        <v>9</v>
      </c>
      <c r="C76" s="6" t="s">
        <v>46</v>
      </c>
      <c r="D76" s="23">
        <v>46326</v>
      </c>
      <c r="E76" s="7">
        <v>0.52083333333333337</v>
      </c>
      <c r="F76" s="6" t="s">
        <v>23</v>
      </c>
      <c r="G76" s="6" t="s">
        <v>185</v>
      </c>
      <c r="H76" s="6" t="s">
        <v>11</v>
      </c>
    </row>
    <row r="77" spans="1:9" x14ac:dyDescent="0.25">
      <c r="A77" s="6">
        <f t="shared" si="2"/>
        <v>76</v>
      </c>
      <c r="B77" s="6">
        <v>10</v>
      </c>
      <c r="C77" s="6" t="s">
        <v>46</v>
      </c>
      <c r="D77" s="23">
        <v>46332</v>
      </c>
      <c r="E77" s="7"/>
      <c r="F77" s="6" t="s">
        <v>42</v>
      </c>
      <c r="G77" s="6" t="s">
        <v>186</v>
      </c>
      <c r="H77" s="6" t="s">
        <v>15</v>
      </c>
    </row>
    <row r="78" spans="1:9" x14ac:dyDescent="0.25">
      <c r="A78" s="88">
        <f t="shared" si="2"/>
        <v>77</v>
      </c>
      <c r="B78" s="88">
        <v>1</v>
      </c>
      <c r="C78" s="88" t="s">
        <v>47</v>
      </c>
      <c r="D78" s="89">
        <v>46270</v>
      </c>
      <c r="E78" s="90">
        <v>0.5</v>
      </c>
      <c r="F78" s="88" t="s">
        <v>59</v>
      </c>
      <c r="G78" s="88" t="s">
        <v>187</v>
      </c>
      <c r="H78" s="88" t="s">
        <v>11</v>
      </c>
    </row>
    <row r="79" spans="1:9" x14ac:dyDescent="0.25">
      <c r="A79" s="88">
        <f t="shared" si="2"/>
        <v>78</v>
      </c>
      <c r="B79" s="88">
        <v>2</v>
      </c>
      <c r="C79" s="88" t="s">
        <v>47</v>
      </c>
      <c r="D79" s="89">
        <v>46276</v>
      </c>
      <c r="E79" s="90"/>
      <c r="F79" s="88" t="s">
        <v>188</v>
      </c>
      <c r="G79" s="88" t="s">
        <v>165</v>
      </c>
      <c r="H79" s="88" t="s">
        <v>15</v>
      </c>
    </row>
    <row r="80" spans="1:9" x14ac:dyDescent="0.25">
      <c r="A80" s="88">
        <f t="shared" si="2"/>
        <v>79</v>
      </c>
      <c r="B80" s="88">
        <v>3</v>
      </c>
      <c r="C80" s="88" t="s">
        <v>47</v>
      </c>
      <c r="D80" s="89">
        <v>46283</v>
      </c>
      <c r="E80" s="90"/>
      <c r="F80" s="88" t="s">
        <v>28</v>
      </c>
      <c r="G80" s="88" t="s">
        <v>28</v>
      </c>
      <c r="H80" s="88" t="s">
        <v>15</v>
      </c>
    </row>
    <row r="81" spans="1:8" x14ac:dyDescent="0.25">
      <c r="A81" s="88">
        <f t="shared" si="2"/>
        <v>80</v>
      </c>
      <c r="B81" s="88">
        <v>4</v>
      </c>
      <c r="C81" s="88" t="s">
        <v>47</v>
      </c>
      <c r="D81" s="89">
        <v>46292</v>
      </c>
      <c r="E81" s="90">
        <v>0.625</v>
      </c>
      <c r="F81" s="88" t="s">
        <v>23</v>
      </c>
      <c r="G81" s="88" t="s">
        <v>189</v>
      </c>
      <c r="H81" s="88" t="s">
        <v>11</v>
      </c>
    </row>
    <row r="82" spans="1:8" x14ac:dyDescent="0.25">
      <c r="A82" s="88">
        <f t="shared" si="2"/>
        <v>81</v>
      </c>
      <c r="B82" s="88">
        <v>5</v>
      </c>
      <c r="C82" s="88" t="s">
        <v>47</v>
      </c>
      <c r="D82" s="89">
        <v>46297</v>
      </c>
      <c r="E82" s="90"/>
      <c r="F82" s="88" t="s">
        <v>163</v>
      </c>
      <c r="G82" s="88" t="s">
        <v>163</v>
      </c>
      <c r="H82" s="88" t="s">
        <v>15</v>
      </c>
    </row>
    <row r="83" spans="1:8" x14ac:dyDescent="0.25">
      <c r="A83" s="88">
        <f t="shared" si="2"/>
        <v>82</v>
      </c>
      <c r="B83" s="88">
        <v>6</v>
      </c>
      <c r="C83" s="88" t="s">
        <v>47</v>
      </c>
      <c r="D83" s="89">
        <v>46304</v>
      </c>
      <c r="E83" s="90"/>
      <c r="F83" s="88" t="s">
        <v>187</v>
      </c>
      <c r="G83" s="88" t="s">
        <v>187</v>
      </c>
      <c r="H83" s="88" t="s">
        <v>15</v>
      </c>
    </row>
    <row r="84" spans="1:8" x14ac:dyDescent="0.25">
      <c r="A84" s="88">
        <f t="shared" si="2"/>
        <v>83</v>
      </c>
      <c r="B84" s="88">
        <v>7</v>
      </c>
      <c r="C84" s="88" t="s">
        <v>47</v>
      </c>
      <c r="D84" s="89">
        <v>46312</v>
      </c>
      <c r="E84" s="90">
        <v>0.625</v>
      </c>
      <c r="F84" s="88" t="s">
        <v>23</v>
      </c>
      <c r="G84" s="88" t="s">
        <v>165</v>
      </c>
      <c r="H84" s="88" t="s">
        <v>11</v>
      </c>
    </row>
    <row r="85" spans="1:8" x14ac:dyDescent="0.25">
      <c r="A85" s="88">
        <f t="shared" si="2"/>
        <v>84</v>
      </c>
      <c r="B85" s="88">
        <v>8</v>
      </c>
      <c r="C85" s="88" t="s">
        <v>47</v>
      </c>
      <c r="D85" s="89">
        <v>46318</v>
      </c>
      <c r="E85" s="90">
        <v>0.70833333333333337</v>
      </c>
      <c r="F85" s="88" t="s">
        <v>59</v>
      </c>
      <c r="G85" s="88" t="s">
        <v>28</v>
      </c>
      <c r="H85" s="88" t="s">
        <v>11</v>
      </c>
    </row>
    <row r="86" spans="1:8" x14ac:dyDescent="0.25">
      <c r="A86" s="88">
        <f t="shared" si="2"/>
        <v>85</v>
      </c>
      <c r="B86" s="88">
        <v>9</v>
      </c>
      <c r="C86" s="88" t="s">
        <v>47</v>
      </c>
      <c r="D86" s="89">
        <v>46325</v>
      </c>
      <c r="E86" s="90"/>
      <c r="F86" s="88" t="s">
        <v>190</v>
      </c>
      <c r="G86" s="88" t="s">
        <v>189</v>
      </c>
      <c r="H86" s="88" t="s">
        <v>15</v>
      </c>
    </row>
    <row r="87" spans="1:8" x14ac:dyDescent="0.25">
      <c r="A87" s="88">
        <f t="shared" si="2"/>
        <v>86</v>
      </c>
      <c r="B87" s="88">
        <v>10</v>
      </c>
      <c r="C87" s="88" t="s">
        <v>47</v>
      </c>
      <c r="D87" s="89">
        <v>46332</v>
      </c>
      <c r="E87" s="90">
        <v>0.70833333333333337</v>
      </c>
      <c r="F87" s="88" t="s">
        <v>59</v>
      </c>
      <c r="G87" s="88" t="s">
        <v>163</v>
      </c>
      <c r="H87" s="88" t="s">
        <v>11</v>
      </c>
    </row>
    <row r="88" spans="1:8" x14ac:dyDescent="0.25">
      <c r="A88" s="19">
        <f t="shared" si="2"/>
        <v>87</v>
      </c>
      <c r="B88" s="19">
        <v>1</v>
      </c>
      <c r="C88" s="19" t="s">
        <v>48</v>
      </c>
      <c r="D88" s="24">
        <v>46270</v>
      </c>
      <c r="E88" s="20">
        <v>0.41666666666666669</v>
      </c>
      <c r="F88" s="19" t="s">
        <v>59</v>
      </c>
      <c r="G88" s="19" t="s">
        <v>174</v>
      </c>
      <c r="H88" s="19" t="s">
        <v>11</v>
      </c>
    </row>
    <row r="89" spans="1:8" x14ac:dyDescent="0.25">
      <c r="A89" s="19">
        <f t="shared" si="2"/>
        <v>88</v>
      </c>
      <c r="B89" s="19">
        <v>2</v>
      </c>
      <c r="C89" s="19" t="s">
        <v>48</v>
      </c>
      <c r="D89" s="24">
        <v>46276</v>
      </c>
      <c r="E89" s="20"/>
      <c r="F89" s="19" t="s">
        <v>42</v>
      </c>
      <c r="G89" s="19" t="s">
        <v>42</v>
      </c>
      <c r="H89" s="19" t="s">
        <v>15</v>
      </c>
    </row>
    <row r="90" spans="1:8" x14ac:dyDescent="0.25">
      <c r="A90" s="19">
        <f t="shared" si="2"/>
        <v>89</v>
      </c>
      <c r="B90" s="19">
        <v>3</v>
      </c>
      <c r="C90" s="19" t="s">
        <v>48</v>
      </c>
      <c r="D90" s="24">
        <v>46283</v>
      </c>
      <c r="E90" s="20"/>
      <c r="F90" s="19" t="s">
        <v>181</v>
      </c>
      <c r="G90" s="19" t="s">
        <v>181</v>
      </c>
      <c r="H90" s="19" t="s">
        <v>15</v>
      </c>
    </row>
    <row r="91" spans="1:8" x14ac:dyDescent="0.25">
      <c r="A91" s="19">
        <f t="shared" si="2"/>
        <v>90</v>
      </c>
      <c r="B91" s="19">
        <v>4</v>
      </c>
      <c r="C91" s="19" t="s">
        <v>48</v>
      </c>
      <c r="D91" s="24">
        <v>46292</v>
      </c>
      <c r="E91" s="20">
        <v>0.54166666666666663</v>
      </c>
      <c r="F91" s="19" t="s">
        <v>23</v>
      </c>
      <c r="G91" s="19" t="s">
        <v>181</v>
      </c>
      <c r="H91" s="19" t="s">
        <v>11</v>
      </c>
    </row>
    <row r="92" spans="1:8" x14ac:dyDescent="0.25">
      <c r="A92" s="19">
        <f t="shared" si="2"/>
        <v>91</v>
      </c>
      <c r="B92" s="19">
        <v>5</v>
      </c>
      <c r="C92" s="19" t="s">
        <v>48</v>
      </c>
      <c r="D92" s="24">
        <v>46298</v>
      </c>
      <c r="E92" s="20">
        <v>0.41666666666666669</v>
      </c>
      <c r="F92" s="19" t="s">
        <v>59</v>
      </c>
      <c r="G92" s="19" t="s">
        <v>42</v>
      </c>
      <c r="H92" s="19" t="s">
        <v>11</v>
      </c>
    </row>
    <row r="93" spans="1:8" x14ac:dyDescent="0.25">
      <c r="A93" s="19">
        <f t="shared" si="2"/>
        <v>92</v>
      </c>
      <c r="B93" s="19">
        <v>6</v>
      </c>
      <c r="C93" s="19" t="s">
        <v>48</v>
      </c>
      <c r="D93" s="24">
        <v>46304</v>
      </c>
      <c r="E93" s="20"/>
      <c r="F93" s="19" t="s">
        <v>174</v>
      </c>
      <c r="G93" s="19" t="s">
        <v>174</v>
      </c>
      <c r="H93" s="19" t="s">
        <v>15</v>
      </c>
    </row>
    <row r="94" spans="1:8" x14ac:dyDescent="0.25">
      <c r="A94" s="19">
        <f t="shared" si="2"/>
        <v>93</v>
      </c>
      <c r="B94" s="19">
        <v>7</v>
      </c>
      <c r="C94" s="19" t="s">
        <v>48</v>
      </c>
      <c r="D94" s="24">
        <v>46312</v>
      </c>
      <c r="E94" s="20">
        <v>0.54166666666666663</v>
      </c>
      <c r="F94" s="19" t="s">
        <v>23</v>
      </c>
      <c r="G94" s="19" t="s">
        <v>174</v>
      </c>
      <c r="H94" s="19" t="s">
        <v>11</v>
      </c>
    </row>
    <row r="95" spans="1:8" x14ac:dyDescent="0.25">
      <c r="A95" s="19">
        <f t="shared" si="2"/>
        <v>94</v>
      </c>
      <c r="B95" s="19">
        <v>8</v>
      </c>
      <c r="C95" s="19" t="s">
        <v>48</v>
      </c>
      <c r="D95" s="24">
        <v>46318</v>
      </c>
      <c r="E95" s="20"/>
      <c r="F95" s="19" t="s">
        <v>42</v>
      </c>
      <c r="G95" s="19" t="s">
        <v>42</v>
      </c>
      <c r="H95" s="19" t="s">
        <v>15</v>
      </c>
    </row>
    <row r="96" spans="1:8" x14ac:dyDescent="0.25">
      <c r="A96" s="19">
        <f t="shared" si="2"/>
        <v>95</v>
      </c>
      <c r="B96" s="19">
        <v>9</v>
      </c>
      <c r="C96" s="19" t="s">
        <v>48</v>
      </c>
      <c r="D96" s="24">
        <v>46325</v>
      </c>
      <c r="E96" s="20"/>
      <c r="F96" s="19" t="s">
        <v>181</v>
      </c>
      <c r="G96" s="19" t="s">
        <v>181</v>
      </c>
      <c r="H96" s="19" t="s">
        <v>15</v>
      </c>
    </row>
    <row r="97" spans="1:8" x14ac:dyDescent="0.25">
      <c r="A97" s="85">
        <f t="shared" si="2"/>
        <v>96</v>
      </c>
      <c r="B97" s="85">
        <v>1</v>
      </c>
      <c r="C97" s="85" t="s">
        <v>49</v>
      </c>
      <c r="D97" s="86">
        <v>46312</v>
      </c>
      <c r="E97" s="87">
        <v>0.39583333333333331</v>
      </c>
      <c r="F97" s="87" t="s">
        <v>23</v>
      </c>
      <c r="G97" s="85" t="s">
        <v>50</v>
      </c>
      <c r="H97" s="85" t="s">
        <v>11</v>
      </c>
    </row>
    <row r="98" spans="1:8" x14ac:dyDescent="0.25">
      <c r="A98" s="85">
        <f t="shared" si="2"/>
        <v>97</v>
      </c>
      <c r="B98" s="85">
        <v>2</v>
      </c>
      <c r="C98" s="85" t="s">
        <v>49</v>
      </c>
      <c r="D98" s="86">
        <v>46277</v>
      </c>
      <c r="E98" s="87"/>
      <c r="F98" s="85" t="s">
        <v>41</v>
      </c>
      <c r="G98" s="85" t="s">
        <v>161</v>
      </c>
      <c r="H98" s="85" t="s">
        <v>15</v>
      </c>
    </row>
    <row r="99" spans="1:8" x14ac:dyDescent="0.25">
      <c r="A99" s="85">
        <f t="shared" si="2"/>
        <v>98</v>
      </c>
      <c r="B99" s="85">
        <v>3</v>
      </c>
      <c r="C99" s="85" t="s">
        <v>49</v>
      </c>
      <c r="D99" s="86">
        <v>46305</v>
      </c>
      <c r="E99" s="87"/>
      <c r="F99" s="85" t="s">
        <v>175</v>
      </c>
      <c r="G99" s="85" t="s">
        <v>161</v>
      </c>
      <c r="H99" s="85" t="s">
        <v>15</v>
      </c>
    </row>
    <row r="100" spans="1:8" x14ac:dyDescent="0.25">
      <c r="A100" s="85">
        <f t="shared" si="2"/>
        <v>99</v>
      </c>
      <c r="B100" s="85">
        <v>4</v>
      </c>
      <c r="C100" s="85" t="s">
        <v>49</v>
      </c>
      <c r="D100" s="86" t="s">
        <v>178</v>
      </c>
      <c r="E100" s="87"/>
      <c r="F100" s="85" t="s">
        <v>176</v>
      </c>
      <c r="G100" s="85" t="s">
        <v>161</v>
      </c>
      <c r="H100" s="85" t="s">
        <v>15</v>
      </c>
    </row>
    <row r="101" spans="1:8" x14ac:dyDescent="0.25">
      <c r="A101" s="85">
        <f t="shared" si="2"/>
        <v>100</v>
      </c>
      <c r="B101" s="85">
        <v>5</v>
      </c>
      <c r="C101" s="85" t="s">
        <v>49</v>
      </c>
      <c r="D101" s="86" t="s">
        <v>178</v>
      </c>
      <c r="E101" s="87"/>
      <c r="F101" s="85" t="s">
        <v>177</v>
      </c>
      <c r="G101" s="85" t="s">
        <v>161</v>
      </c>
      <c r="H101" s="85" t="s">
        <v>15</v>
      </c>
    </row>
    <row r="102" spans="1:8" x14ac:dyDescent="0.25">
      <c r="A102" s="8">
        <f t="shared" ref="A102:A133" si="3">A101+1</f>
        <v>101</v>
      </c>
      <c r="B102" s="8">
        <v>1</v>
      </c>
      <c r="C102" s="8" t="s">
        <v>51</v>
      </c>
      <c r="D102" s="29">
        <v>46269</v>
      </c>
      <c r="E102" s="12"/>
      <c r="F102" s="8" t="s">
        <v>28</v>
      </c>
      <c r="G102" s="8" t="s">
        <v>28</v>
      </c>
      <c r="H102" s="8" t="s">
        <v>15</v>
      </c>
    </row>
    <row r="103" spans="1:8" x14ac:dyDescent="0.25">
      <c r="A103" s="8">
        <f t="shared" si="3"/>
        <v>102</v>
      </c>
      <c r="B103" s="8">
        <v>2</v>
      </c>
      <c r="C103" s="8" t="s">
        <v>51</v>
      </c>
      <c r="D103" s="29">
        <v>46278</v>
      </c>
      <c r="E103" s="12">
        <v>0.45833333333333331</v>
      </c>
      <c r="F103" s="8" t="s">
        <v>23</v>
      </c>
      <c r="G103" s="8" t="s">
        <v>59</v>
      </c>
      <c r="H103" s="8" t="s">
        <v>11</v>
      </c>
    </row>
    <row r="104" spans="1:8" x14ac:dyDescent="0.25">
      <c r="A104" s="8">
        <f t="shared" si="3"/>
        <v>103</v>
      </c>
      <c r="B104" s="8">
        <v>3</v>
      </c>
      <c r="C104" s="8" t="s">
        <v>51</v>
      </c>
      <c r="D104" s="29">
        <v>46283</v>
      </c>
      <c r="E104" s="12"/>
      <c r="F104" s="8"/>
      <c r="G104" s="8" t="s">
        <v>179</v>
      </c>
      <c r="H104" s="8"/>
    </row>
    <row r="105" spans="1:8" x14ac:dyDescent="0.25">
      <c r="A105" s="8">
        <f t="shared" si="3"/>
        <v>104</v>
      </c>
      <c r="B105" s="8">
        <v>4</v>
      </c>
      <c r="C105" s="8" t="s">
        <v>51</v>
      </c>
      <c r="D105" s="29">
        <v>46290</v>
      </c>
      <c r="E105" s="12"/>
      <c r="F105" s="8" t="s">
        <v>180</v>
      </c>
      <c r="G105" s="8" t="s">
        <v>180</v>
      </c>
      <c r="H105" s="8" t="s">
        <v>15</v>
      </c>
    </row>
    <row r="106" spans="1:8" x14ac:dyDescent="0.25">
      <c r="A106" s="8">
        <f t="shared" si="3"/>
        <v>105</v>
      </c>
      <c r="B106" s="8">
        <v>5</v>
      </c>
      <c r="C106" s="8" t="s">
        <v>51</v>
      </c>
      <c r="D106" s="29">
        <v>46298</v>
      </c>
      <c r="E106" s="12">
        <v>0.39583333333333331</v>
      </c>
      <c r="F106" s="8" t="s">
        <v>23</v>
      </c>
      <c r="G106" s="8" t="s">
        <v>42</v>
      </c>
      <c r="H106" s="8" t="s">
        <v>11</v>
      </c>
    </row>
    <row r="107" spans="1:8" x14ac:dyDescent="0.25">
      <c r="A107" s="8">
        <f t="shared" si="3"/>
        <v>106</v>
      </c>
      <c r="B107" s="8">
        <v>6</v>
      </c>
      <c r="C107" s="8" t="s">
        <v>51</v>
      </c>
      <c r="D107" s="29">
        <v>46305</v>
      </c>
      <c r="E107" s="12">
        <v>0.58333333333333337</v>
      </c>
      <c r="F107" s="8" t="s">
        <v>23</v>
      </c>
      <c r="G107" s="8" t="s">
        <v>28</v>
      </c>
      <c r="H107" s="8" t="s">
        <v>11</v>
      </c>
    </row>
    <row r="108" spans="1:8" x14ac:dyDescent="0.25">
      <c r="A108" s="8">
        <f t="shared" si="3"/>
        <v>107</v>
      </c>
      <c r="B108" s="8">
        <v>7</v>
      </c>
      <c r="C108" s="8" t="s">
        <v>51</v>
      </c>
      <c r="D108" s="29">
        <v>46311</v>
      </c>
      <c r="E108" s="12"/>
      <c r="F108" s="8" t="s">
        <v>59</v>
      </c>
      <c r="G108" s="8" t="s">
        <v>59</v>
      </c>
      <c r="H108" s="8" t="s">
        <v>15</v>
      </c>
    </row>
    <row r="109" spans="1:8" x14ac:dyDescent="0.25">
      <c r="A109" s="8">
        <f t="shared" si="3"/>
        <v>108</v>
      </c>
      <c r="B109" s="8">
        <v>8</v>
      </c>
      <c r="C109" s="8" t="s">
        <v>51</v>
      </c>
      <c r="D109" s="29">
        <v>46318</v>
      </c>
      <c r="E109" s="12"/>
      <c r="F109" s="8"/>
      <c r="G109" s="8" t="s">
        <v>179</v>
      </c>
      <c r="H109" s="8"/>
    </row>
    <row r="110" spans="1:8" x14ac:dyDescent="0.25">
      <c r="A110" s="8">
        <f t="shared" si="3"/>
        <v>109</v>
      </c>
      <c r="B110" s="8">
        <v>9</v>
      </c>
      <c r="C110" s="8" t="s">
        <v>51</v>
      </c>
      <c r="D110" s="29">
        <v>46326</v>
      </c>
      <c r="E110" s="12">
        <v>0.4375</v>
      </c>
      <c r="F110" s="8" t="s">
        <v>23</v>
      </c>
      <c r="G110" s="8" t="s">
        <v>180</v>
      </c>
      <c r="H110" s="8" t="s">
        <v>11</v>
      </c>
    </row>
    <row r="111" spans="1:8" x14ac:dyDescent="0.25">
      <c r="A111" s="8">
        <f t="shared" si="3"/>
        <v>110</v>
      </c>
      <c r="B111" s="8">
        <v>10</v>
      </c>
      <c r="C111" s="8" t="s">
        <v>51</v>
      </c>
      <c r="D111" s="29">
        <v>46332</v>
      </c>
      <c r="E111" s="12"/>
      <c r="F111" s="8" t="s">
        <v>42</v>
      </c>
      <c r="G111" s="8" t="s">
        <v>42</v>
      </c>
      <c r="H111" s="8" t="s">
        <v>15</v>
      </c>
    </row>
    <row r="112" spans="1:8" x14ac:dyDescent="0.25">
      <c r="A112" s="25">
        <f t="shared" si="3"/>
        <v>111</v>
      </c>
      <c r="B112" s="25">
        <v>1</v>
      </c>
      <c r="C112" s="25" t="s">
        <v>52</v>
      </c>
      <c r="D112" s="26">
        <v>46312</v>
      </c>
      <c r="E112" s="27">
        <v>0.39583333333333331</v>
      </c>
      <c r="F112" s="25" t="s">
        <v>23</v>
      </c>
      <c r="G112" s="25" t="s">
        <v>50</v>
      </c>
      <c r="H112" s="25" t="s">
        <v>11</v>
      </c>
    </row>
    <row r="113" spans="1:8" x14ac:dyDescent="0.25">
      <c r="A113" s="25">
        <f t="shared" si="3"/>
        <v>112</v>
      </c>
      <c r="B113" s="25">
        <v>2</v>
      </c>
      <c r="C113" s="25" t="s">
        <v>52</v>
      </c>
      <c r="D113" s="26">
        <v>46284</v>
      </c>
      <c r="E113" s="27"/>
      <c r="F113" s="25" t="s">
        <v>9</v>
      </c>
      <c r="G113" s="25" t="s">
        <v>161</v>
      </c>
      <c r="H113" s="25" t="s">
        <v>15</v>
      </c>
    </row>
    <row r="114" spans="1:8" x14ac:dyDescent="0.25">
      <c r="A114" s="25">
        <f t="shared" si="3"/>
        <v>113</v>
      </c>
      <c r="B114" s="25">
        <v>3</v>
      </c>
      <c r="C114" s="25" t="s">
        <v>52</v>
      </c>
      <c r="D114" s="26">
        <v>46291</v>
      </c>
      <c r="E114" s="27"/>
      <c r="F114" s="25" t="s">
        <v>174</v>
      </c>
      <c r="G114" s="25" t="s">
        <v>161</v>
      </c>
      <c r="H114" s="25" t="s">
        <v>15</v>
      </c>
    </row>
    <row r="115" spans="1:8" x14ac:dyDescent="0.25">
      <c r="A115" s="25">
        <f t="shared" si="3"/>
        <v>114</v>
      </c>
      <c r="B115" s="25">
        <v>4</v>
      </c>
      <c r="C115" s="25" t="s">
        <v>52</v>
      </c>
      <c r="D115" s="26">
        <v>46091</v>
      </c>
      <c r="E115" s="27"/>
      <c r="F115" s="25" t="s">
        <v>42</v>
      </c>
      <c r="G115" s="25" t="s">
        <v>161</v>
      </c>
      <c r="H115" s="25" t="s">
        <v>15</v>
      </c>
    </row>
    <row r="116" spans="1:8" x14ac:dyDescent="0.25">
      <c r="A116" s="25">
        <f t="shared" si="3"/>
        <v>115</v>
      </c>
      <c r="B116" s="25">
        <v>5</v>
      </c>
      <c r="C116" s="25" t="s">
        <v>52</v>
      </c>
      <c r="D116" s="26">
        <v>46092</v>
      </c>
      <c r="E116" s="27"/>
      <c r="F116" s="25" t="s">
        <v>59</v>
      </c>
      <c r="G116" s="25" t="s">
        <v>161</v>
      </c>
      <c r="H116" s="25" t="s">
        <v>15</v>
      </c>
    </row>
    <row r="117" spans="1:8" x14ac:dyDescent="0.25">
      <c r="A117" s="42">
        <f t="shared" si="3"/>
        <v>116</v>
      </c>
      <c r="B117" s="42">
        <v>1</v>
      </c>
      <c r="C117" s="42" t="s">
        <v>53</v>
      </c>
      <c r="D117" s="43"/>
      <c r="E117" s="44"/>
      <c r="F117" s="42"/>
      <c r="G117" s="42"/>
      <c r="H117" s="42"/>
    </row>
    <row r="118" spans="1:8" x14ac:dyDescent="0.25">
      <c r="A118" s="42">
        <f t="shared" si="3"/>
        <v>117</v>
      </c>
      <c r="B118" s="42">
        <v>2</v>
      </c>
      <c r="C118" s="42" t="s">
        <v>53</v>
      </c>
      <c r="D118" s="43"/>
      <c r="E118" s="44"/>
      <c r="F118" s="42"/>
      <c r="G118" s="42"/>
      <c r="H118" s="42"/>
    </row>
    <row r="119" spans="1:8" x14ac:dyDescent="0.25">
      <c r="A119" s="42">
        <f t="shared" si="3"/>
        <v>118</v>
      </c>
      <c r="B119" s="42">
        <v>3</v>
      </c>
      <c r="C119" s="42" t="s">
        <v>53</v>
      </c>
      <c r="D119" s="43"/>
      <c r="E119" s="44"/>
      <c r="F119" s="42"/>
      <c r="G119" s="42"/>
      <c r="H119" s="42"/>
    </row>
    <row r="120" spans="1:8" x14ac:dyDescent="0.25">
      <c r="A120" s="42">
        <f t="shared" si="3"/>
        <v>119</v>
      </c>
      <c r="B120" s="42">
        <v>4</v>
      </c>
      <c r="C120" s="42" t="s">
        <v>53</v>
      </c>
      <c r="D120" s="43"/>
      <c r="E120" s="44"/>
      <c r="F120" s="42"/>
      <c r="G120" s="42"/>
      <c r="H120" s="42"/>
    </row>
    <row r="121" spans="1:8" x14ac:dyDescent="0.25">
      <c r="A121" s="42">
        <f t="shared" si="3"/>
        <v>120</v>
      </c>
      <c r="B121" s="42">
        <v>5</v>
      </c>
      <c r="C121" s="42" t="s">
        <v>53</v>
      </c>
      <c r="D121" s="43"/>
      <c r="E121" s="44"/>
      <c r="F121" s="42"/>
      <c r="G121" s="42"/>
      <c r="H121" s="42"/>
    </row>
    <row r="122" spans="1:8" x14ac:dyDescent="0.25">
      <c r="A122" s="30">
        <f t="shared" si="3"/>
        <v>121</v>
      </c>
      <c r="B122" s="30">
        <v>1</v>
      </c>
      <c r="C122" s="30" t="s">
        <v>54</v>
      </c>
      <c r="D122" s="58">
        <v>46230</v>
      </c>
      <c r="E122" s="80">
        <v>0.375</v>
      </c>
      <c r="F122" s="31" t="s">
        <v>23</v>
      </c>
      <c r="G122" s="31" t="s">
        <v>55</v>
      </c>
      <c r="H122" s="31" t="s">
        <v>11</v>
      </c>
    </row>
    <row r="123" spans="1:8" x14ac:dyDescent="0.25">
      <c r="A123" s="30">
        <f t="shared" si="3"/>
        <v>122</v>
      </c>
      <c r="B123" s="30">
        <v>2</v>
      </c>
      <c r="C123" s="30" t="s">
        <v>54</v>
      </c>
      <c r="D123" s="58">
        <v>46231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25">
      <c r="A124" s="30">
        <f t="shared" si="3"/>
        <v>123</v>
      </c>
      <c r="B124" s="30">
        <v>3</v>
      </c>
      <c r="C124" s="30" t="s">
        <v>54</v>
      </c>
      <c r="D124" s="58">
        <v>46232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25">
      <c r="A125" s="30">
        <f t="shared" si="3"/>
        <v>124</v>
      </c>
      <c r="B125" s="30">
        <v>4</v>
      </c>
      <c r="C125" s="30" t="s">
        <v>54</v>
      </c>
      <c r="D125" s="58">
        <v>46233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25">
      <c r="A126" s="30">
        <f t="shared" si="3"/>
        <v>125</v>
      </c>
      <c r="B126" s="30">
        <v>5</v>
      </c>
      <c r="C126" s="30" t="s">
        <v>54</v>
      </c>
      <c r="D126" s="58">
        <v>46234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25">
      <c r="A127" s="30">
        <f t="shared" si="3"/>
        <v>126</v>
      </c>
      <c r="B127" s="30">
        <v>6</v>
      </c>
      <c r="C127" s="30" t="s">
        <v>54</v>
      </c>
      <c r="D127" s="58">
        <v>46237</v>
      </c>
      <c r="E127" s="80">
        <v>0.375</v>
      </c>
      <c r="F127" s="31" t="s">
        <v>23</v>
      </c>
      <c r="G127" s="31" t="s">
        <v>56</v>
      </c>
      <c r="H127" s="31" t="s">
        <v>11</v>
      </c>
    </row>
    <row r="128" spans="1:8" x14ac:dyDescent="0.25">
      <c r="A128" s="30">
        <f t="shared" si="3"/>
        <v>127</v>
      </c>
      <c r="B128" s="30">
        <v>7</v>
      </c>
      <c r="C128" s="30" t="s">
        <v>54</v>
      </c>
      <c r="D128" s="58">
        <v>46238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25">
      <c r="A129" s="30">
        <f t="shared" si="3"/>
        <v>128</v>
      </c>
      <c r="B129" s="30">
        <v>8</v>
      </c>
      <c r="C129" s="30" t="s">
        <v>54</v>
      </c>
      <c r="D129" s="58">
        <v>46239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25">
      <c r="A130" s="30">
        <f t="shared" si="3"/>
        <v>129</v>
      </c>
      <c r="B130" s="30">
        <v>9</v>
      </c>
      <c r="C130" s="30" t="s">
        <v>54</v>
      </c>
      <c r="D130" s="58">
        <v>46321</v>
      </c>
      <c r="E130" s="80">
        <v>0.375</v>
      </c>
      <c r="F130" s="31" t="s">
        <v>23</v>
      </c>
      <c r="G130" s="31" t="s">
        <v>57</v>
      </c>
      <c r="H130" s="31" t="s">
        <v>11</v>
      </c>
    </row>
    <row r="131" spans="1:8" x14ac:dyDescent="0.25">
      <c r="A131" s="30">
        <f t="shared" si="3"/>
        <v>130</v>
      </c>
      <c r="B131" s="30">
        <v>10</v>
      </c>
      <c r="C131" s="30" t="s">
        <v>54</v>
      </c>
      <c r="D131" s="58">
        <v>46322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25">
      <c r="A132" s="30">
        <f t="shared" si="3"/>
        <v>131</v>
      </c>
      <c r="B132" s="30">
        <v>11</v>
      </c>
      <c r="C132" s="30" t="s">
        <v>54</v>
      </c>
      <c r="D132" s="58">
        <v>46323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25">
      <c r="A133" s="40">
        <f t="shared" si="3"/>
        <v>132</v>
      </c>
      <c r="B133" s="40">
        <v>2</v>
      </c>
      <c r="C133" s="40" t="s">
        <v>161</v>
      </c>
      <c r="D133" s="59">
        <v>46256</v>
      </c>
      <c r="E133" s="81">
        <v>0.375</v>
      </c>
      <c r="F133" s="41" t="s">
        <v>23</v>
      </c>
      <c r="G133" s="8" t="s">
        <v>58</v>
      </c>
      <c r="H133" s="41" t="s">
        <v>11</v>
      </c>
    </row>
    <row r="134" spans="1:8" x14ac:dyDescent="0.25">
      <c r="A134" s="54">
        <f t="shared" ref="A134:A141" si="4">A133+1</f>
        <v>133</v>
      </c>
      <c r="B134" s="54">
        <v>1</v>
      </c>
      <c r="C134" s="54" t="s">
        <v>161</v>
      </c>
      <c r="D134" s="55">
        <v>46367</v>
      </c>
      <c r="E134" s="92">
        <v>0.6875</v>
      </c>
      <c r="F134" s="54" t="s">
        <v>59</v>
      </c>
      <c r="G134" s="54" t="s">
        <v>60</v>
      </c>
      <c r="H134" s="54" t="s">
        <v>11</v>
      </c>
    </row>
    <row r="135" spans="1:8" x14ac:dyDescent="0.25">
      <c r="A135" s="54">
        <f t="shared" si="4"/>
        <v>134</v>
      </c>
      <c r="B135" s="54">
        <v>2</v>
      </c>
      <c r="C135" s="54" t="s">
        <v>161</v>
      </c>
      <c r="D135" s="55">
        <v>46368</v>
      </c>
      <c r="E135" s="92">
        <v>0.35416666666666669</v>
      </c>
      <c r="F135" s="54" t="s">
        <v>59</v>
      </c>
      <c r="G135" s="54" t="s">
        <v>60</v>
      </c>
      <c r="H135" s="54" t="s">
        <v>11</v>
      </c>
    </row>
    <row r="136" spans="1:8" x14ac:dyDescent="0.25">
      <c r="A136" s="54">
        <f t="shared" si="4"/>
        <v>135</v>
      </c>
      <c r="B136" s="54">
        <v>3</v>
      </c>
      <c r="C136" s="54" t="s">
        <v>161</v>
      </c>
      <c r="D136" s="55">
        <v>46369</v>
      </c>
      <c r="E136" s="92">
        <v>0.375</v>
      </c>
      <c r="F136" s="54" t="s">
        <v>59</v>
      </c>
      <c r="G136" s="54" t="s">
        <v>60</v>
      </c>
      <c r="H136" s="54" t="s">
        <v>11</v>
      </c>
    </row>
    <row r="137" spans="1:8" x14ac:dyDescent="0.25">
      <c r="A137" s="54">
        <f t="shared" si="4"/>
        <v>136</v>
      </c>
      <c r="B137" s="54">
        <v>0</v>
      </c>
      <c r="C137" s="54" t="s">
        <v>61</v>
      </c>
      <c r="D137" s="55">
        <v>46359</v>
      </c>
      <c r="E137" s="92">
        <v>0.70833333333333337</v>
      </c>
      <c r="F137" s="54" t="s">
        <v>59</v>
      </c>
      <c r="G137" s="54" t="s">
        <v>62</v>
      </c>
      <c r="H137" s="54" t="s">
        <v>11</v>
      </c>
    </row>
    <row r="138" spans="1:8" x14ac:dyDescent="0.25">
      <c r="A138" s="54">
        <f t="shared" si="4"/>
        <v>137</v>
      </c>
      <c r="B138" s="54">
        <v>4</v>
      </c>
      <c r="C138" s="54" t="s">
        <v>161</v>
      </c>
      <c r="D138" s="55">
        <v>46402</v>
      </c>
      <c r="E138" s="92">
        <v>0.6875</v>
      </c>
      <c r="F138" s="54" t="s">
        <v>59</v>
      </c>
      <c r="G138" s="54" t="s">
        <v>60</v>
      </c>
      <c r="H138" s="54" t="s">
        <v>11</v>
      </c>
    </row>
    <row r="139" spans="1:8" x14ac:dyDescent="0.25">
      <c r="A139" s="54">
        <f t="shared" si="4"/>
        <v>138</v>
      </c>
      <c r="B139" s="54">
        <v>5</v>
      </c>
      <c r="C139" s="54" t="s">
        <v>161</v>
      </c>
      <c r="D139" s="55">
        <v>46403</v>
      </c>
      <c r="E139" s="92">
        <v>0.35416666666666669</v>
      </c>
      <c r="F139" s="54" t="s">
        <v>59</v>
      </c>
      <c r="G139" s="54" t="s">
        <v>60</v>
      </c>
      <c r="H139" s="54" t="s">
        <v>11</v>
      </c>
    </row>
    <row r="140" spans="1:8" x14ac:dyDescent="0.25">
      <c r="A140" s="54">
        <f t="shared" si="4"/>
        <v>139</v>
      </c>
      <c r="B140" s="54">
        <v>6</v>
      </c>
      <c r="C140" s="54" t="s">
        <v>161</v>
      </c>
      <c r="D140" s="55">
        <v>46404</v>
      </c>
      <c r="E140" s="92">
        <v>0.375</v>
      </c>
      <c r="F140" s="54" t="s">
        <v>59</v>
      </c>
      <c r="G140" s="54" t="s">
        <v>60</v>
      </c>
      <c r="H140" s="54" t="s">
        <v>11</v>
      </c>
    </row>
    <row r="141" spans="1:8" x14ac:dyDescent="0.25">
      <c r="A141" s="54">
        <f t="shared" si="4"/>
        <v>140</v>
      </c>
      <c r="B141" s="54">
        <v>0</v>
      </c>
      <c r="C141" s="54" t="s">
        <v>63</v>
      </c>
      <c r="D141" s="55">
        <v>46291</v>
      </c>
      <c r="E141" s="92">
        <v>0.75</v>
      </c>
      <c r="F141" s="54" t="s">
        <v>23</v>
      </c>
      <c r="G141" s="54" t="s">
        <v>64</v>
      </c>
      <c r="H141" s="54" t="s">
        <v>11</v>
      </c>
    </row>
  </sheetData>
  <autoFilter ref="A1:H116" xr:uid="{00000000-0009-0000-0000-000000000000}">
    <sortState xmlns:xlrd2="http://schemas.microsoft.com/office/spreadsheetml/2017/richdata2" ref="A2:H116">
      <sortCondition ref="A1:A116"/>
    </sortState>
  </autoFilter>
  <pageMargins left="0.25" right="0.25" top="0.75" bottom="0.75" header="0.3" footer="0.3"/>
  <pageSetup paperSize="9" scale="42" orientation="landscape"/>
  <rowBreaks count="2" manualBreakCount="2">
    <brk id="58" max="16383" man="1"/>
    <brk id="67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opLeftCell="A28" workbookViewId="0">
      <selection activeCell="B56" sqref="B56"/>
    </sheetView>
  </sheetViews>
  <sheetFormatPr baseColWidth="10" defaultRowHeight="15" x14ac:dyDescent="0.25"/>
  <cols>
    <col min="1" max="1" width="11.5703125" style="82" customWidth="1"/>
    <col min="2" max="2" width="11.42578125" style="93" customWidth="1"/>
    <col min="3" max="3" width="11.42578125" style="94" customWidth="1"/>
    <col min="4" max="4" width="8.28515625" style="94" bestFit="1" customWidth="1"/>
    <col min="5" max="5" width="21.7109375" style="94" bestFit="1" customWidth="1"/>
    <col min="6" max="6" width="32.140625" style="82" bestFit="1" customWidth="1"/>
    <col min="7" max="7" width="11.5703125" customWidth="1"/>
    <col min="8" max="8" width="17.85546875" bestFit="1" customWidth="1"/>
    <col min="10" max="10" width="11.5703125" style="82" customWidth="1"/>
  </cols>
  <sheetData>
    <row r="1" spans="1:12" x14ac:dyDescent="0.25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25">
      <c r="B2" s="93">
        <f>'Nach Mannschaften sortiert'!D2</f>
        <v>46199</v>
      </c>
      <c r="C2" s="94">
        <f>'Nach Mannschaften sortiert'!E2</f>
        <v>0.66666666666666663</v>
      </c>
      <c r="D2" s="94">
        <f t="shared" ref="D2" si="0"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25">
      <c r="B3" s="93">
        <f>'Nach Mannschaften sortiert'!D3</f>
        <v>46199</v>
      </c>
      <c r="C3" s="94">
        <f>'Nach Mannschaften sortiert'!E3</f>
        <v>0.75</v>
      </c>
      <c r="D3" s="94">
        <f t="shared" ref="D3:D70" si="1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25">
      <c r="B4" s="93">
        <f>'Nach Mannschaften sortiert'!D4</f>
        <v>46213</v>
      </c>
      <c r="C4" s="94">
        <f>'Nach Mannschaften sortiert'!E4</f>
        <v>0.79166666666666663</v>
      </c>
      <c r="D4" s="94">
        <f t="shared" si="1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25">
      <c r="B5" s="93">
        <f>'Nach Mannschaften sortiert'!D5</f>
        <v>46217</v>
      </c>
      <c r="C5" s="94">
        <f>'Nach Mannschaften sortiert'!E5</f>
        <v>0.8125</v>
      </c>
      <c r="D5" s="94">
        <f t="shared" si="1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25">
      <c r="B6" s="93">
        <f>'Nach Mannschaften sortiert'!D6</f>
        <v>46220</v>
      </c>
      <c r="C6" s="94">
        <f>'Nach Mannschaften sortiert'!E6</f>
        <v>0.79166666666666663</v>
      </c>
      <c r="D6" s="94">
        <f t="shared" si="1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25">
      <c r="B7" s="93">
        <f>'Nach Mannschaften sortiert'!D7</f>
        <v>46227</v>
      </c>
      <c r="C7" s="94">
        <f>'Nach Mannschaften sortiert'!E7</f>
        <v>0.8125</v>
      </c>
      <c r="D7" s="94">
        <f t="shared" si="1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25">
      <c r="B8" s="93">
        <f>'Nach Mannschaften sortiert'!D8</f>
        <v>46234</v>
      </c>
      <c r="C8" s="94">
        <f>'Nach Mannschaften sortiert'!E8</f>
        <v>0.70833333333333337</v>
      </c>
      <c r="D8" s="94">
        <f t="shared" si="1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25">
      <c r="B9" s="93">
        <f>'Nach Mannschaften sortiert'!D9</f>
        <v>46235</v>
      </c>
      <c r="C9" s="94">
        <f>'Nach Mannschaften sortiert'!E9</f>
        <v>0.72916666666666663</v>
      </c>
      <c r="D9" s="94">
        <f t="shared" si="1"/>
        <v>0.80208333333333326</v>
      </c>
      <c r="E9" s="94" t="str">
        <f>UPPER('Nach Mannschaften sortiert'!F9)</f>
        <v>KITTSEE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25">
      <c r="B10" s="93">
        <f>'Nach Mannschaften sortiert'!D10</f>
        <v>46236</v>
      </c>
      <c r="C10" s="94">
        <f>'Nach Mannschaften sortiert'!E10</f>
        <v>0.4375</v>
      </c>
      <c r="D10" s="94">
        <f t="shared" si="1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25">
      <c r="B11" s="93">
        <f>'Nach Mannschaften sortiert'!D11</f>
        <v>46241</v>
      </c>
      <c r="C11" s="94">
        <f>'Nach Mannschaften sortiert'!E11</f>
        <v>0.79166666666666663</v>
      </c>
      <c r="D11" s="94">
        <f t="shared" si="1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25">
      <c r="B12" s="93">
        <f>'Nach Mannschaften sortiert'!D12</f>
        <v>46243</v>
      </c>
      <c r="C12" s="94">
        <f>'Nach Mannschaften sortiert'!E12</f>
        <v>0.45833333333333331</v>
      </c>
      <c r="D12" s="94">
        <f t="shared" si="1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25">
      <c r="B13" s="93">
        <f>'Nach Mannschaften sortiert'!D13</f>
        <v>46243</v>
      </c>
      <c r="C13" s="94">
        <f>'Nach Mannschaften sortiert'!E13</f>
        <v>0.625</v>
      </c>
      <c r="D13" s="94">
        <f t="shared" si="1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x14ac:dyDescent="0.25">
      <c r="B14" s="93">
        <f>'Nach Mannschaften sortiert'!D14</f>
        <v>46247</v>
      </c>
      <c r="C14" s="94">
        <f>'Nach Mannschaften sortiert'!E14</f>
        <v>0.79166666666666663</v>
      </c>
      <c r="D14" s="94">
        <f t="shared" si="1"/>
        <v>0.85416666666666663</v>
      </c>
      <c r="E14" s="94" t="str">
        <f>UPPER('Nach Mannschaften sortiert'!F14)</f>
        <v>OGGAU</v>
      </c>
      <c r="G14" t="str">
        <f>'Nach Mannschaften sortiert'!H14</f>
        <v>Auswärts</v>
      </c>
      <c r="H14" t="str">
        <f>'Nach Mannschaften sortiert'!G14</f>
        <v>Oggau</v>
      </c>
      <c r="I14" t="str">
        <f>'Nach Mannschaften sortiert'!C14</f>
        <v>U14</v>
      </c>
      <c r="J14" s="82" t="s">
        <v>77</v>
      </c>
      <c r="K14" t="s">
        <v>78</v>
      </c>
      <c r="L14" t="s">
        <v>79</v>
      </c>
    </row>
    <row r="15" spans="1:12" x14ac:dyDescent="0.25">
      <c r="B15" s="93">
        <f>'Nach Mannschaften sortiert'!D15</f>
        <v>46255</v>
      </c>
      <c r="C15" s="94">
        <f>'Nach Mannschaften sortiert'!E15</f>
        <v>0.75</v>
      </c>
      <c r="D15" s="94">
        <f t="shared" si="1"/>
        <v>0.8125</v>
      </c>
      <c r="E15" s="94" t="str">
        <f>UPPER('Nach Mannschaften sortiert'!F15)</f>
        <v>GROßHÖFLEIN</v>
      </c>
      <c r="G15" t="str">
        <f>'Nach Mannschaften sortiert'!H15</f>
        <v>Heim</v>
      </c>
      <c r="H15" t="str">
        <f>'Nach Mannschaften sortiert'!G15</f>
        <v>Bad Erlach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25">
      <c r="B16" s="93">
        <f>'Nach Mannschaften sortiert'!D16</f>
        <v>46256</v>
      </c>
      <c r="C16" s="94">
        <f>'Nach Mannschaften sortiert'!E16</f>
        <v>0.70833333333333337</v>
      </c>
      <c r="D16" s="94">
        <f t="shared" si="1"/>
        <v>0.78125</v>
      </c>
      <c r="E16" s="94" t="str">
        <f>UPPER('Nach Mannschaften sortiert'!F16)</f>
        <v>LAXENBURG</v>
      </c>
      <c r="G16" t="str">
        <f>'Nach Mannschaften sortiert'!H16</f>
        <v>Auswärts</v>
      </c>
      <c r="H16" t="str">
        <f>'Nach Mannschaften sortiert'!G16</f>
        <v>Laxenburg</v>
      </c>
      <c r="I16" t="str">
        <f>'Nach Mannschaften sortiert'!C16</f>
        <v>U16</v>
      </c>
      <c r="J16" s="82" t="s">
        <v>77</v>
      </c>
      <c r="K16" t="s">
        <v>78</v>
      </c>
      <c r="L16" t="s">
        <v>79</v>
      </c>
    </row>
    <row r="17" spans="2:12" x14ac:dyDescent="0.25">
      <c r="B17" s="93">
        <f>'Nach Mannschaften sortiert'!D17</f>
        <v>46260</v>
      </c>
      <c r="C17" s="94">
        <f>'Nach Mannschaften sortiert'!E17</f>
        <v>0.41666666666666669</v>
      </c>
      <c r="D17" s="94">
        <f t="shared" si="1"/>
        <v>0.48958333333333337</v>
      </c>
      <c r="E17" s="94" t="str">
        <f>UPPER('Nach Mannschaften sortiert'!F17)</f>
        <v>NEUFELD</v>
      </c>
      <c r="G17" t="str">
        <f>'Nach Mannschaften sortiert'!H17</f>
        <v>Heim</v>
      </c>
      <c r="H17" t="str">
        <f>'Nach Mannschaften sortiert'!G17</f>
        <v>Traiskirchen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25">
      <c r="B18" s="93">
        <f>'Nach Mannschaften sortiert'!D18</f>
        <v>46260</v>
      </c>
      <c r="C18" s="94">
        <f>'Nach Mannschaften sortiert'!E18</f>
        <v>0.79166666666666663</v>
      </c>
      <c r="D18" s="94">
        <f t="shared" si="1"/>
        <v>0.85416666666666663</v>
      </c>
      <c r="E18" s="94" t="str">
        <f>UPPER('Nach Mannschaften sortiert'!F18)</f>
        <v>GROßHÖFLEIN</v>
      </c>
      <c r="G18" t="str">
        <f>'Nach Mannschaften sortiert'!H18</f>
        <v>Heim</v>
      </c>
      <c r="H18" t="str">
        <f>'Nach Mannschaften sortiert'!G18</f>
        <v>SPG Leitha/Stotzing</v>
      </c>
      <c r="I18" t="str">
        <f>'Nach Mannschaften sortiert'!C18</f>
        <v>U14</v>
      </c>
      <c r="J18" s="82" t="s">
        <v>77</v>
      </c>
      <c r="K18" t="s">
        <v>78</v>
      </c>
      <c r="L18" t="s">
        <v>79</v>
      </c>
    </row>
    <row r="19" spans="2:12" x14ac:dyDescent="0.25">
      <c r="B19" s="93">
        <f>'Nach Mannschaften sortiert'!D19</f>
        <v>46263</v>
      </c>
      <c r="C19" s="94">
        <f>'Nach Mannschaften sortiert'!E19</f>
        <v>0.4375</v>
      </c>
      <c r="D19" s="94">
        <f t="shared" si="1"/>
        <v>0.5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Oggau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25">
      <c r="B20" s="93">
        <f>'Nach Mannschaften sortiert'!D20</f>
        <v>46264</v>
      </c>
      <c r="C20" s="94">
        <f>'Nach Mannschaften sortiert'!E20</f>
        <v>0.4375</v>
      </c>
      <c r="D20" s="94">
        <f t="shared" si="1"/>
        <v>0.51041666666666663</v>
      </c>
      <c r="E20" s="94" t="str">
        <f>UPPER('Nach Mannschaften sortiert'!F20)</f>
        <v>THERESIENFELD</v>
      </c>
      <c r="G20" t="str">
        <f>'Nach Mannschaften sortiert'!H20</f>
        <v>Auswärts</v>
      </c>
      <c r="H20" t="str">
        <f>'Nach Mannschaften sortiert'!G20</f>
        <v>SPG Theresienfeld</v>
      </c>
      <c r="I20" t="str">
        <f>'Nach Mannschaften sortiert'!C20</f>
        <v>U16</v>
      </c>
      <c r="J20" s="82" t="s">
        <v>77</v>
      </c>
      <c r="K20" t="s">
        <v>78</v>
      </c>
      <c r="L20" t="s">
        <v>79</v>
      </c>
    </row>
    <row r="21" spans="2:12" x14ac:dyDescent="0.25">
      <c r="B21" s="93">
        <f>'Nach Mannschaften sortiert'!D21</f>
        <v>46445</v>
      </c>
      <c r="C21" s="94">
        <f>'Nach Mannschaften sortiert'!E21</f>
        <v>0.5</v>
      </c>
      <c r="D21" s="94">
        <f t="shared" si="1"/>
        <v>0.57291666666666663</v>
      </c>
      <c r="E21" s="94" t="str">
        <f>UPPER('Nach Mannschaften sortiert'!F21)</f>
        <v>BAD ERLACH</v>
      </c>
      <c r="G21" t="str">
        <f>'Nach Mannschaften sortiert'!H21</f>
        <v>Auswärts</v>
      </c>
      <c r="H21" t="str">
        <f>'Nach Mannschaften sortiert'!G21</f>
        <v>Bad Erlach</v>
      </c>
      <c r="I21" t="str">
        <f>'Nach Mannschaften sortiert'!C21</f>
        <v>KM</v>
      </c>
      <c r="J21" s="82" t="s">
        <v>77</v>
      </c>
      <c r="K21" t="s">
        <v>78</v>
      </c>
      <c r="L21" t="s">
        <v>79</v>
      </c>
    </row>
    <row r="22" spans="2:12" x14ac:dyDescent="0.25">
      <c r="B22" s="93">
        <f>'Nach Mannschaften sortiert'!D22</f>
        <v>46250</v>
      </c>
      <c r="C22" s="94">
        <f>'Nach Mannschaften sortiert'!E22</f>
        <v>0.72916666666666663</v>
      </c>
      <c r="D22" s="94">
        <f t="shared" si="1"/>
        <v>0.80208333333333326</v>
      </c>
      <c r="E22" s="94" t="str">
        <f>UPPER('Nach Mannschaften sortiert'!F22)</f>
        <v>KITTSEE</v>
      </c>
      <c r="G22" t="str">
        <f>'Nach Mannschaften sortiert'!H22</f>
        <v>Auswärts</v>
      </c>
      <c r="H22" t="str">
        <f>'Nach Mannschaften sortiert'!G22</f>
        <v>Kittsee</v>
      </c>
      <c r="I22" t="str">
        <f>'Nach Mannschaften sortiert'!C22</f>
        <v>KM</v>
      </c>
      <c r="J22" s="82" t="s">
        <v>77</v>
      </c>
      <c r="K22" t="s">
        <v>80</v>
      </c>
      <c r="L22" t="s">
        <v>79</v>
      </c>
    </row>
    <row r="23" spans="2:12" x14ac:dyDescent="0.25">
      <c r="B23" s="93">
        <f>'Nach Mannschaften sortiert'!D23</f>
        <v>46255</v>
      </c>
      <c r="C23" s="94">
        <f>'Nach Mannschaften sortiert'!E23</f>
        <v>0.83333333333333337</v>
      </c>
      <c r="D23" s="94">
        <f t="shared" si="1"/>
        <v>0.90625</v>
      </c>
      <c r="E23" s="94" t="str">
        <f>UPPER('Nach Mannschaften sortiert'!F23)</f>
        <v>DEUTSCH JAHRNDORF</v>
      </c>
      <c r="G23" t="str">
        <f>'Nach Mannschaften sortiert'!H23</f>
        <v>Auswärts</v>
      </c>
      <c r="H23" t="str">
        <f>'Nach Mannschaften sortiert'!G23</f>
        <v>Deutsch Jahrndorf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25">
      <c r="B24" s="93">
        <f>'Nach Mannschaften sortiert'!D24</f>
        <v>46263</v>
      </c>
      <c r="C24" s="94">
        <f>'Nach Mannschaften sortiert'!E24</f>
        <v>0.75</v>
      </c>
      <c r="D24" s="94">
        <f t="shared" si="1"/>
        <v>0.82291666666666663</v>
      </c>
      <c r="E24" s="94" t="str">
        <f>UPPER('Nach Mannschaften sortiert'!F24)</f>
        <v>NEUFELD</v>
      </c>
      <c r="G24" t="str">
        <f>'Nach Mannschaften sortiert'!H24</f>
        <v>Heim</v>
      </c>
      <c r="H24" t="str">
        <f>'Nach Mannschaften sortiert'!G24</f>
        <v>Tadten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25">
      <c r="B25" s="93">
        <f>'Nach Mannschaften sortiert'!D25</f>
        <v>46270</v>
      </c>
      <c r="C25" s="94">
        <f>'Nach Mannschaften sortiert'!E25</f>
        <v>0.6875</v>
      </c>
      <c r="D25" s="94">
        <f t="shared" si="1"/>
        <v>0.76041666666666663</v>
      </c>
      <c r="E25" s="94" t="str">
        <f>UPPER('Nach Mannschaften sortiert'!F25)</f>
        <v>MÖNCHHOF</v>
      </c>
      <c r="G25" t="str">
        <f>'Nach Mannschaften sortiert'!H25</f>
        <v>Auswärts</v>
      </c>
      <c r="H25" t="str">
        <f>'Nach Mannschaften sortiert'!G25</f>
        <v>Mönchhof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25">
      <c r="B26" s="93">
        <f>'Nach Mannschaften sortiert'!D26</f>
        <v>46276</v>
      </c>
      <c r="C26" s="94">
        <f>'Nach Mannschaften sortiert'!E26</f>
        <v>0.8125</v>
      </c>
      <c r="D26" s="94">
        <f t="shared" si="1"/>
        <v>0.88541666666666663</v>
      </c>
      <c r="E26" s="94" t="str">
        <f>UPPER('Nach Mannschaften sortiert'!F26)</f>
        <v>NEUFELD</v>
      </c>
      <c r="G26" t="str">
        <f>'Nach Mannschaften sortiert'!H26</f>
        <v>Heim</v>
      </c>
      <c r="H26" t="str">
        <f>'Nach Mannschaften sortiert'!G26</f>
        <v>Winden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25">
      <c r="B27" s="93">
        <f>'Nach Mannschaften sortiert'!D27</f>
        <v>46284</v>
      </c>
      <c r="C27" s="94">
        <f>'Nach Mannschaften sortiert'!E27</f>
        <v>0.66666666666666663</v>
      </c>
      <c r="D27" s="94">
        <f t="shared" si="1"/>
        <v>0.73958333333333326</v>
      </c>
      <c r="E27" s="94" t="str">
        <f>UPPER('Nach Mannschaften sortiert'!F27)</f>
        <v>GATTENDORF</v>
      </c>
      <c r="G27" t="str">
        <f>'Nach Mannschaften sortiert'!H27</f>
        <v>Auswärts</v>
      </c>
      <c r="H27" t="str">
        <f>'Nach Mannschaften sortiert'!G27</f>
        <v>Gattendorf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25">
      <c r="B28" s="93">
        <f>'Nach Mannschaften sortiert'!D28</f>
        <v>46291</v>
      </c>
      <c r="C28" s="94">
        <f>'Nach Mannschaften sortiert'!E28</f>
        <v>0.75</v>
      </c>
      <c r="D28" s="94">
        <f t="shared" si="1"/>
        <v>0.82291666666666663</v>
      </c>
      <c r="E28" s="94" t="str">
        <f>UPPER('Nach Mannschaften sortiert'!F28)</f>
        <v>NEUFELD</v>
      </c>
      <c r="G28" t="str">
        <f>'Nach Mannschaften sortiert'!H28</f>
        <v>Heim</v>
      </c>
      <c r="H28" t="str">
        <f>'Nach Mannschaften sortiert'!G28</f>
        <v>Wallern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25">
      <c r="B29" s="93">
        <f>'Nach Mannschaften sortiert'!D29</f>
        <v>46297</v>
      </c>
      <c r="C29" s="94">
        <f>'Nach Mannschaften sortiert'!E29</f>
        <v>0.79166666666666663</v>
      </c>
      <c r="D29" s="94">
        <f t="shared" si="1"/>
        <v>0.86458333333333326</v>
      </c>
      <c r="E29" s="94" t="str">
        <f>UPPER('Nach Mannschaften sortiert'!F29)</f>
        <v>SIEGENDORF</v>
      </c>
      <c r="G29" t="str">
        <f>'Nach Mannschaften sortiert'!H29</f>
        <v>Auswärts</v>
      </c>
      <c r="H29" t="str">
        <f>'Nach Mannschaften sortiert'!G29</f>
        <v>Siegendorf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25">
      <c r="B30" s="93">
        <f>'Nach Mannschaften sortiert'!D30</f>
        <v>46304</v>
      </c>
      <c r="C30" s="94">
        <f>'Nach Mannschaften sortiert'!E30</f>
        <v>0.8125</v>
      </c>
      <c r="D30" s="94">
        <f t="shared" si="1"/>
        <v>0.88541666666666663</v>
      </c>
      <c r="E30" s="94" t="str">
        <f>UPPER('Nach Mannschaften sortiert'!F30)</f>
        <v>NEUFELD</v>
      </c>
      <c r="G30" t="str">
        <f>'Nach Mannschaften sortiert'!H30</f>
        <v>Heim</v>
      </c>
      <c r="H30" t="str">
        <f>'Nach Mannschaften sortiert'!G30</f>
        <v>Wimpassing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25">
      <c r="B31" s="93">
        <f>'Nach Mannschaften sortiert'!D31</f>
        <v>46311</v>
      </c>
      <c r="C31" s="94">
        <f>'Nach Mannschaften sortiert'!E31</f>
        <v>0.8125</v>
      </c>
      <c r="D31" s="94">
        <f t="shared" si="1"/>
        <v>0.88541666666666663</v>
      </c>
      <c r="E31" s="94" t="str">
        <f>UPPER('Nach Mannschaften sortiert'!F31)</f>
        <v>HORNSTEIN</v>
      </c>
      <c r="G31" t="str">
        <f>'Nach Mannschaften sortiert'!H31</f>
        <v>Auswärts</v>
      </c>
      <c r="H31" t="str">
        <f>'Nach Mannschaften sortiert'!G31</f>
        <v>Hornstein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25">
      <c r="B32" s="93">
        <f>'Nach Mannschaften sortiert'!D32</f>
        <v>46319</v>
      </c>
      <c r="C32" s="94">
        <f>'Nach Mannschaften sortiert'!E32</f>
        <v>0.70833333333333337</v>
      </c>
      <c r="D32" s="94">
        <f t="shared" si="1"/>
        <v>0.78125</v>
      </c>
      <c r="E32" s="94" t="str">
        <f>UPPER('Nach Mannschaften sortiert'!F32)</f>
        <v>NEUFELD</v>
      </c>
      <c r="G32" t="str">
        <f>'Nach Mannschaften sortiert'!H32</f>
        <v>Heim</v>
      </c>
      <c r="H32" t="str">
        <f>'Nach Mannschaften sortiert'!G32</f>
        <v>Gols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25">
      <c r="B33" s="93">
        <f>'Nach Mannschaften sortiert'!D33</f>
        <v>46326</v>
      </c>
      <c r="C33" s="94">
        <f>'Nach Mannschaften sortiert'!E33</f>
        <v>0.75</v>
      </c>
      <c r="D33" s="94">
        <f t="shared" si="1"/>
        <v>0.82291666666666663</v>
      </c>
      <c r="E33" s="94" t="str">
        <f>UPPER('Nach Mannschaften sortiert'!F33)</f>
        <v>ILLMITZ</v>
      </c>
      <c r="G33" t="str">
        <f>'Nach Mannschaften sortiert'!H33</f>
        <v>Auswärts</v>
      </c>
      <c r="H33" t="str">
        <f>'Nach Mannschaften sortiert'!G33</f>
        <v>Illmitz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25">
      <c r="B34" s="93">
        <f>'Nach Mannschaften sortiert'!D34</f>
        <v>46333</v>
      </c>
      <c r="C34" s="94">
        <f>'Nach Mannschaften sortiert'!E34</f>
        <v>0.6875</v>
      </c>
      <c r="D34" s="94">
        <f t="shared" si="1"/>
        <v>0.76041666666666663</v>
      </c>
      <c r="E34" s="94" t="str">
        <f>UPPER('Nach Mannschaften sortiert'!F34)</f>
        <v>NEUFELD</v>
      </c>
      <c r="G34" t="str">
        <f>'Nach Mannschaften sortiert'!H34</f>
        <v>Heim</v>
      </c>
      <c r="H34" t="str">
        <f>'Nach Mannschaften sortiert'!G34</f>
        <v>Andau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25">
      <c r="B35" s="93">
        <f>'Nach Mannschaften sortiert'!D35</f>
        <v>46250</v>
      </c>
      <c r="C35" s="94">
        <f>'Nach Mannschaften sortiert'!E35</f>
        <v>0.64583333333333337</v>
      </c>
      <c r="D35" s="94">
        <f t="shared" si="1"/>
        <v>0.71875</v>
      </c>
      <c r="E35" s="94" t="str">
        <f>UPPER('Nach Mannschaften sortiert'!F35)</f>
        <v>KITTSEE</v>
      </c>
      <c r="G35" t="str">
        <f>'Nach Mannschaften sortiert'!H35</f>
        <v>Auswärts</v>
      </c>
      <c r="H35" t="str">
        <f>'Nach Mannschaften sortiert'!G35</f>
        <v>Kittsee</v>
      </c>
      <c r="I35" t="str">
        <f>'Nach Mannschaften sortiert'!C35</f>
        <v>U23</v>
      </c>
      <c r="J35" s="82" t="s">
        <v>77</v>
      </c>
      <c r="K35" t="s">
        <v>80</v>
      </c>
      <c r="L35" t="s">
        <v>79</v>
      </c>
    </row>
    <row r="36" spans="2:12" x14ac:dyDescent="0.25">
      <c r="B36" s="93">
        <f>'Nach Mannschaften sortiert'!D36</f>
        <v>46255</v>
      </c>
      <c r="C36" s="94">
        <f>'Nach Mannschaften sortiert'!E36</f>
        <v>0.75</v>
      </c>
      <c r="D36" s="94">
        <f t="shared" si="1"/>
        <v>0.82291666666666663</v>
      </c>
      <c r="E36" s="94" t="str">
        <f>UPPER('Nach Mannschaften sortiert'!F36)</f>
        <v>DEUTSCH JAHRNDORF</v>
      </c>
      <c r="G36" t="str">
        <f>'Nach Mannschaften sortiert'!H36</f>
        <v>Auswärts</v>
      </c>
      <c r="H36" t="str">
        <f>'Nach Mannschaften sortiert'!G36</f>
        <v>Deutsch Jahrndorf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25">
      <c r="B37" s="93">
        <f>'Nach Mannschaften sortiert'!D37</f>
        <v>46263</v>
      </c>
      <c r="C37" s="94">
        <f>'Nach Mannschaften sortiert'!E37</f>
        <v>0.66666666666666663</v>
      </c>
      <c r="D37" s="94">
        <f t="shared" si="1"/>
        <v>0.73958333333333326</v>
      </c>
      <c r="E37" s="94" t="str">
        <f>UPPER('Nach Mannschaften sortiert'!F37)</f>
        <v>NEUFELD</v>
      </c>
      <c r="G37" t="str">
        <f>'Nach Mannschaften sortiert'!H37</f>
        <v>Heim</v>
      </c>
      <c r="H37" t="str">
        <f>'Nach Mannschaften sortiert'!G37</f>
        <v>Tadten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25">
      <c r="B38" s="93">
        <f>'Nach Mannschaften sortiert'!D38</f>
        <v>46270</v>
      </c>
      <c r="C38" s="94">
        <f>'Nach Mannschaften sortiert'!E38</f>
        <v>0.60416666666666663</v>
      </c>
      <c r="D38" s="94">
        <f t="shared" si="1"/>
        <v>0.67708333333333326</v>
      </c>
      <c r="E38" s="94" t="str">
        <f>UPPER('Nach Mannschaften sortiert'!F38)</f>
        <v>MÖNCHHOF</v>
      </c>
      <c r="G38" t="str">
        <f>'Nach Mannschaften sortiert'!H38</f>
        <v>Auswärts</v>
      </c>
      <c r="H38" t="str">
        <f>'Nach Mannschaften sortiert'!G38</f>
        <v>Mönchhof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25">
      <c r="B39" s="93">
        <f>'Nach Mannschaften sortiert'!D39</f>
        <v>46276</v>
      </c>
      <c r="C39" s="94">
        <f>'Nach Mannschaften sortiert'!E39</f>
        <v>0.72916666666666663</v>
      </c>
      <c r="D39" s="94">
        <f t="shared" si="1"/>
        <v>0.80208333333333326</v>
      </c>
      <c r="E39" s="94" t="str">
        <f>UPPER('Nach Mannschaften sortiert'!F39)</f>
        <v>NEUFELD</v>
      </c>
      <c r="G39" t="str">
        <f>'Nach Mannschaften sortiert'!H39</f>
        <v>Heim</v>
      </c>
      <c r="H39" t="str">
        <f>'Nach Mannschaften sortiert'!G39</f>
        <v>Winden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25">
      <c r="B40" s="93">
        <f>'Nach Mannschaften sortiert'!D40</f>
        <v>46284</v>
      </c>
      <c r="C40" s="94">
        <f>'Nach Mannschaften sortiert'!E40</f>
        <v>0.58333333333333337</v>
      </c>
      <c r="D40" s="94">
        <f t="shared" si="1"/>
        <v>0.65625</v>
      </c>
      <c r="E40" s="94" t="str">
        <f>UPPER('Nach Mannschaften sortiert'!F40)</f>
        <v>GATTENDORF</v>
      </c>
      <c r="G40" t="str">
        <f>'Nach Mannschaften sortiert'!H40</f>
        <v>Auswärts</v>
      </c>
      <c r="H40" t="str">
        <f>'Nach Mannschaften sortiert'!G40</f>
        <v>Gattendorf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25">
      <c r="B41" s="93">
        <f>'Nach Mannschaften sortiert'!D41</f>
        <v>46291</v>
      </c>
      <c r="C41" s="94">
        <f>'Nach Mannschaften sortiert'!E41</f>
        <v>0.66666666666666663</v>
      </c>
      <c r="D41" s="94">
        <f t="shared" si="1"/>
        <v>0.73958333333333326</v>
      </c>
      <c r="E41" s="94" t="str">
        <f>UPPER('Nach Mannschaften sortiert'!F41)</f>
        <v>NEUFELD</v>
      </c>
      <c r="G41" t="str">
        <f>'Nach Mannschaften sortiert'!H41</f>
        <v>Heim</v>
      </c>
      <c r="H41" t="str">
        <f>'Nach Mannschaften sortiert'!G41</f>
        <v>Wallern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25">
      <c r="B42" s="93">
        <f>'Nach Mannschaften sortiert'!D42</f>
        <v>46298</v>
      </c>
      <c r="C42" s="94">
        <f>'Nach Mannschaften sortiert'!E42</f>
        <v>0.70833333333333337</v>
      </c>
      <c r="D42" s="94">
        <f t="shared" si="1"/>
        <v>0.78125</v>
      </c>
      <c r="E42" s="94" t="str">
        <f>UPPER('Nach Mannschaften sortiert'!F42)</f>
        <v>SIEGENDORF</v>
      </c>
      <c r="G42" t="str">
        <f>'Nach Mannschaften sortiert'!H42</f>
        <v>Auswärts</v>
      </c>
      <c r="H42" t="str">
        <f>'Nach Mannschaften sortiert'!G42</f>
        <v>Siegendorf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25">
      <c r="B43" s="93">
        <f>'Nach Mannschaften sortiert'!D43</f>
        <v>46304</v>
      </c>
      <c r="C43" s="94">
        <f>'Nach Mannschaften sortiert'!E43</f>
        <v>0.72916666666666663</v>
      </c>
      <c r="D43" s="94">
        <f t="shared" si="1"/>
        <v>0.80208333333333326</v>
      </c>
      <c r="E43" s="94" t="str">
        <f>UPPER('Nach Mannschaften sortiert'!F43)</f>
        <v>NEUFELD</v>
      </c>
      <c r="G43" t="str">
        <f>'Nach Mannschaften sortiert'!H43</f>
        <v>Heim</v>
      </c>
      <c r="H43" t="str">
        <f>'Nach Mannschaften sortiert'!G43</f>
        <v>Wimpassing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25">
      <c r="B44" s="93">
        <f>'Nach Mannschaften sortiert'!D44</f>
        <v>46311</v>
      </c>
      <c r="C44" s="94">
        <f>'Nach Mannschaften sortiert'!E44</f>
        <v>0.72916666666666663</v>
      </c>
      <c r="D44" s="94">
        <f t="shared" si="1"/>
        <v>0.80208333333333326</v>
      </c>
      <c r="E44" s="94" t="str">
        <f>UPPER('Nach Mannschaften sortiert'!F44)</f>
        <v>HORNSTEIN</v>
      </c>
      <c r="G44" t="str">
        <f>'Nach Mannschaften sortiert'!H44</f>
        <v>Auswärts</v>
      </c>
      <c r="H44" t="str">
        <f>'Nach Mannschaften sortiert'!G44</f>
        <v>Hornstein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25">
      <c r="B45" s="93">
        <f>'Nach Mannschaften sortiert'!D45</f>
        <v>46319</v>
      </c>
      <c r="C45" s="94">
        <f>'Nach Mannschaften sortiert'!E45</f>
        <v>0.625</v>
      </c>
      <c r="D45" s="94">
        <f t="shared" si="1"/>
        <v>0.69791666666666663</v>
      </c>
      <c r="E45" s="94" t="str">
        <f>UPPER('Nach Mannschaften sortiert'!F45)</f>
        <v>NEUFELD</v>
      </c>
      <c r="G45" t="str">
        <f>'Nach Mannschaften sortiert'!H45</f>
        <v>Heim</v>
      </c>
      <c r="H45" t="str">
        <f>'Nach Mannschaften sortiert'!G45</f>
        <v>Gols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25">
      <c r="B46" s="93">
        <f>'Nach Mannschaften sortiert'!D46</f>
        <v>46326</v>
      </c>
      <c r="C46" s="94">
        <f>'Nach Mannschaften sortiert'!E46</f>
        <v>0.66666666666666663</v>
      </c>
      <c r="D46" s="94">
        <f t="shared" si="1"/>
        <v>0.73958333333333326</v>
      </c>
      <c r="E46" s="94" t="str">
        <f>UPPER('Nach Mannschaften sortiert'!F46)</f>
        <v>ILLMITZ</v>
      </c>
      <c r="G46" t="str">
        <f>'Nach Mannschaften sortiert'!H46</f>
        <v>Auswärts</v>
      </c>
      <c r="H46" t="str">
        <f>'Nach Mannschaften sortiert'!G46</f>
        <v>Illmitz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25">
      <c r="B47" s="93">
        <f>'Nach Mannschaften sortiert'!D47</f>
        <v>46333</v>
      </c>
      <c r="C47" s="94">
        <f>'Nach Mannschaften sortiert'!E47</f>
        <v>0.60416666666666663</v>
      </c>
      <c r="D47" s="94">
        <f t="shared" si="1"/>
        <v>0.67708333333333326</v>
      </c>
      <c r="E47" s="94" t="str">
        <f>UPPER('Nach Mannschaften sortiert'!F47)</f>
        <v>NEUFELD</v>
      </c>
      <c r="G47" t="str">
        <f>'Nach Mannschaften sortiert'!H47</f>
        <v>Heim</v>
      </c>
      <c r="H47" t="str">
        <f>'Nach Mannschaften sortiert'!G47</f>
        <v>Andau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25">
      <c r="B48" s="93">
        <f>'Nach Mannschaften sortiert'!D48</f>
        <v>46271</v>
      </c>
      <c r="C48" s="94">
        <f>'Nach Mannschaften sortiert'!E48</f>
        <v>0</v>
      </c>
      <c r="D48" s="94">
        <f t="shared" si="1"/>
        <v>7.2916666666666671E-2</v>
      </c>
      <c r="E48" s="94" t="str">
        <f>UPPER('Nach Mannschaften sortiert'!F48)</f>
        <v/>
      </c>
      <c r="G48">
        <f>'Nach Mannschaften sortiert'!H48</f>
        <v>0</v>
      </c>
      <c r="H48" t="str">
        <f>'Nach Mannschaften sortiert'!G48</f>
        <v>Spielfrei</v>
      </c>
      <c r="I48" t="str">
        <f>'Nach Mannschaften sortiert'!C48</f>
        <v>U16</v>
      </c>
      <c r="J48" s="82" t="s">
        <v>193</v>
      </c>
      <c r="K48" t="s">
        <v>80</v>
      </c>
      <c r="L48" t="s">
        <v>79</v>
      </c>
    </row>
    <row r="49" spans="2:12" x14ac:dyDescent="0.25">
      <c r="B49" s="93">
        <f>'Nach Mannschaften sortiert'!D49</f>
        <v>46278</v>
      </c>
      <c r="C49" s="94">
        <f>'Nach Mannschaften sortiert'!E49</f>
        <v>0</v>
      </c>
      <c r="D49" s="94">
        <f t="shared" si="1"/>
        <v>7.2916666666666671E-2</v>
      </c>
      <c r="E49" s="94" t="str">
        <f>UPPER('Nach Mannschaften sortiert'!F49)</f>
        <v>GOLS</v>
      </c>
      <c r="G49" t="str">
        <f>'Nach Mannschaften sortiert'!H49</f>
        <v>Auswärts</v>
      </c>
      <c r="H49" t="str">
        <f>'Nach Mannschaften sortiert'!G49</f>
        <v>GMWP</v>
      </c>
      <c r="I49" t="str">
        <f>'Nach Mannschaften sortiert'!C49</f>
        <v>U16</v>
      </c>
      <c r="J49" s="82" t="s">
        <v>77</v>
      </c>
      <c r="K49" t="s">
        <v>80</v>
      </c>
      <c r="L49" t="s">
        <v>79</v>
      </c>
    </row>
    <row r="50" spans="2:12" x14ac:dyDescent="0.25">
      <c r="B50" s="93">
        <f>'Nach Mannschaften sortiert'!D50</f>
        <v>46284</v>
      </c>
      <c r="C50" s="94">
        <f>'Nach Mannschaften sortiert'!E50</f>
        <v>0.70833333333333337</v>
      </c>
      <c r="D50" s="94">
        <f t="shared" si="1"/>
        <v>0.78125</v>
      </c>
      <c r="E50" s="94" t="str">
        <f>UPPER('Nach Mannschaften sortiert'!F50)</f>
        <v>WIMPASSING</v>
      </c>
      <c r="G50" t="str">
        <f>'Nach Mannschaften sortiert'!H50</f>
        <v>Heim</v>
      </c>
      <c r="H50" t="str">
        <f>'Nach Mannschaften sortiert'!G50</f>
        <v>Eisenstadt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25">
      <c r="B51" s="93">
        <f>'Nach Mannschaften sortiert'!D51</f>
        <v>46292</v>
      </c>
      <c r="C51" s="94">
        <f>'Nach Mannschaften sortiert'!E51</f>
        <v>0</v>
      </c>
      <c r="D51" s="94">
        <f t="shared" si="1"/>
        <v>7.2916666666666671E-2</v>
      </c>
      <c r="E51" s="94" t="str">
        <f>UPPER('Nach Mannschaften sortiert'!F51)</f>
        <v>GROßHÖFLEIN</v>
      </c>
      <c r="G51" t="str">
        <f>'Nach Mannschaften sortiert'!H51</f>
        <v>Auswärts</v>
      </c>
      <c r="H51" t="str">
        <f>'Nach Mannschaften sortiert'!G51</f>
        <v>Großhöflein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25">
      <c r="B52" s="93">
        <f>'Nach Mannschaften sortiert'!D52</f>
        <v>46298</v>
      </c>
      <c r="C52" s="94">
        <f>'Nach Mannschaften sortiert'!E52</f>
        <v>0.58333333333333337</v>
      </c>
      <c r="D52" s="94">
        <f t="shared" si="1"/>
        <v>0.65625</v>
      </c>
      <c r="E52" s="94" t="str">
        <f>UPPER('Nach Mannschaften sortiert'!F52)</f>
        <v>NEUFELD</v>
      </c>
      <c r="G52" t="str">
        <f>'Nach Mannschaften sortiert'!H52</f>
        <v>Heim</v>
      </c>
      <c r="H52" t="str">
        <f>'Nach Mannschaften sortiert'!G52</f>
        <v>Neusiedl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25">
      <c r="B53" s="93">
        <f>'Nach Mannschaften sortiert'!D53</f>
        <v>46305</v>
      </c>
      <c r="C53" s="94">
        <f>'Nach Mannschaften sortiert'!E53</f>
        <v>0.66666666666666663</v>
      </c>
      <c r="D53" s="94">
        <f t="shared" si="1"/>
        <v>0.73958333333333326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Parndorf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25">
      <c r="B54" s="93">
        <f>'Nach Mannschaften sortiert'!D54</f>
        <v>46313</v>
      </c>
      <c r="C54" s="94">
        <f>'Nach Mannschaften sortiert'!E54</f>
        <v>0</v>
      </c>
      <c r="D54" s="94">
        <f t="shared" si="1"/>
        <v>7.2916666666666671E-2</v>
      </c>
      <c r="E54" s="94" t="str">
        <f>UPPER('Nach Mannschaften sortiert'!F54)</f>
        <v>ST. GEORGEN</v>
      </c>
      <c r="G54" t="str">
        <f>'Nach Mannschaften sortiert'!H54</f>
        <v>Auswärts</v>
      </c>
      <c r="H54" t="str">
        <f>'Nach Mannschaften sortiert'!G54</f>
        <v>St. Georgen/Eisenstadt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25">
      <c r="B55" s="93">
        <f>'Nach Mannschaften sortiert'!D55</f>
        <v>46320</v>
      </c>
      <c r="C55" s="94">
        <f>'Nach Mannschaften sortiert'!E55</f>
        <v>0</v>
      </c>
      <c r="D55" s="94">
        <f t="shared" ref="D55:D57" si="2">IF(I55 = "KM",C55+"1:45",IF(I55="U23",C55+"1:45",IF(I55 = "U16",C55+"1:45",IF(I55 = "U15",C55+"1:30",IF(I55 = "U14",C55+"1:30",IF(I55 = "U13",C55+"1:35",IF(I55 = "U12",C55+"1:10",IF(I55 = "U11",C55+"1:10",IF(I55 = "U10",C55+"1:03",C55+"3:00")))))))))</f>
        <v>7.2916666666666671E-2</v>
      </c>
      <c r="E55" s="94" t="str">
        <f>UPPER('Nach Mannschaften sortiert'!F55)</f>
        <v/>
      </c>
      <c r="G55">
        <f>'Nach Mannschaften sortiert'!H55</f>
        <v>0</v>
      </c>
      <c r="H55" t="str">
        <f>'Nach Mannschaften sortiert'!G55</f>
        <v>Spielfrei</v>
      </c>
      <c r="I55" t="str">
        <f>'Nach Mannschaften sortiert'!C55</f>
        <v>U16</v>
      </c>
      <c r="J55" s="82" t="s">
        <v>193</v>
      </c>
      <c r="K55" t="s">
        <v>80</v>
      </c>
      <c r="L55" t="s">
        <v>79</v>
      </c>
    </row>
    <row r="56" spans="2:12" x14ac:dyDescent="0.25">
      <c r="B56" s="93">
        <f>'Nach Mannschaften sortiert'!D56</f>
        <v>46326</v>
      </c>
      <c r="C56" s="94">
        <f>'Nach Mannschaften sortiert'!E56</f>
        <v>0.60416666666666663</v>
      </c>
      <c r="D56" s="94">
        <f t="shared" si="2"/>
        <v>0.67708333333333326</v>
      </c>
      <c r="E56" s="94" t="str">
        <f>UPPER('Nach Mannschaften sortiert'!F56)</f>
        <v>NEUFELD</v>
      </c>
      <c r="G56" t="str">
        <f>'Nach Mannschaften sortiert'!H56</f>
        <v>Heim</v>
      </c>
      <c r="H56" t="str">
        <f>'Nach Mannschaften sortiert'!G56</f>
        <v>SPG GMWP</v>
      </c>
      <c r="I56" t="str">
        <f>'Nach Mannschaften sortiert'!C56</f>
        <v>U16</v>
      </c>
      <c r="J56" s="82" t="s">
        <v>77</v>
      </c>
      <c r="K56" t="s">
        <v>80</v>
      </c>
      <c r="L56" t="s">
        <v>79</v>
      </c>
    </row>
    <row r="57" spans="2:12" x14ac:dyDescent="0.25">
      <c r="B57" s="93">
        <f>'Nach Mannschaften sortiert'!D57</f>
        <v>46334</v>
      </c>
      <c r="C57" s="94">
        <f>'Nach Mannschaften sortiert'!E57</f>
        <v>0</v>
      </c>
      <c r="D57" s="94">
        <f t="shared" si="2"/>
        <v>7.2916666666666671E-2</v>
      </c>
      <c r="E57" s="94" t="str">
        <f>UPPER('Nach Mannschaften sortiert'!F57)</f>
        <v>EISENSTADT</v>
      </c>
      <c r="G57" t="str">
        <f>'Nach Mannschaften sortiert'!H57</f>
        <v>Auswärts</v>
      </c>
      <c r="H57" t="str">
        <f>'Nach Mannschaften sortiert'!G57</f>
        <v>Eisenstadt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25">
      <c r="B58" s="93">
        <f>'Nach Mannschaften sortiert'!D58</f>
        <v>46340</v>
      </c>
      <c r="C58" s="94">
        <f>'Nach Mannschaften sortiert'!E58</f>
        <v>0.45833333333333331</v>
      </c>
      <c r="D58" s="94">
        <f t="shared" ref="D58" si="3">IF(I58 = "KM",C58+"1:45",IF(I58="U23",C58+"1:45",IF(I58 = "U16",C58+"1:45",IF(I58 = "U15",C58+"1:30",IF(I58 = "U14",C58+"1:30",IF(I58 = "U13",C58+"1:35",IF(I58 = "U12",C58+"1:10",IF(I58 = "U11",C58+"1:10",IF(I58 = "U10",C58+"1:03",C58+"3:00")))))))))</f>
        <v>0.53125</v>
      </c>
      <c r="E58" s="94" t="str">
        <f>UPPER('Nach Mannschaften sortiert'!F58)</f>
        <v>NEUFELD</v>
      </c>
      <c r="G58" t="str">
        <f>'Nach Mannschaften sortiert'!H58</f>
        <v>Heim</v>
      </c>
      <c r="H58" t="str">
        <f>'Nach Mannschaften sortiert'!G58</f>
        <v>Großhöflein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25">
      <c r="B59" s="93">
        <f>'Nach Mannschaften sortiert'!D59</f>
        <v>46271</v>
      </c>
      <c r="C59" s="94">
        <f>'Nach Mannschaften sortiert'!E59</f>
        <v>0.625</v>
      </c>
      <c r="D59" s="94">
        <f t="shared" si="1"/>
        <v>0.6875</v>
      </c>
      <c r="E59" s="94" t="str">
        <f>UPPER('Nach Mannschaften sortiert'!F59)</f>
        <v>GROßHÖFLEIN</v>
      </c>
      <c r="G59" t="str">
        <f>'Nach Mannschaften sortiert'!H59</f>
        <v>Heim</v>
      </c>
      <c r="H59" t="str">
        <f>'Nach Mannschaften sortiert'!G59</f>
        <v>St. Georgen/Eisenstadt</v>
      </c>
      <c r="I59" t="str">
        <f>'Nach Mannschaften sortiert'!C59</f>
        <v>U14</v>
      </c>
      <c r="J59" s="82" t="s">
        <v>77</v>
      </c>
      <c r="K59" t="s">
        <v>80</v>
      </c>
      <c r="L59" t="s">
        <v>79</v>
      </c>
    </row>
    <row r="60" spans="2:12" x14ac:dyDescent="0.25">
      <c r="B60" s="93">
        <f>'Nach Mannschaften sortiert'!D60</f>
        <v>46278</v>
      </c>
      <c r="C60" s="94">
        <f>'Nach Mannschaften sortiert'!E60</f>
        <v>0.625</v>
      </c>
      <c r="D60" s="94">
        <f t="shared" si="1"/>
        <v>0.6875</v>
      </c>
      <c r="E60" s="94" t="str">
        <f>UPPER('Nach Mannschaften sortiert'!F60)</f>
        <v>NEUDÖRFL</v>
      </c>
      <c r="G60" t="str">
        <f>'Nach Mannschaften sortiert'!H60</f>
        <v>Auswärts</v>
      </c>
      <c r="H60" t="str">
        <f>'Nach Mannschaften sortiert'!G60</f>
        <v>Neudörfl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25">
      <c r="B61" s="93">
        <f>'Nach Mannschaften sortiert'!D61</f>
        <v>46284</v>
      </c>
      <c r="C61" s="94">
        <f>'Nach Mannschaften sortiert'!E61</f>
        <v>0.52083333333333337</v>
      </c>
      <c r="D61" s="94">
        <f t="shared" si="1"/>
        <v>0.58333333333333337</v>
      </c>
      <c r="E61" s="94" t="str">
        <f>UPPER('Nach Mannschaften sortiert'!F61)</f>
        <v>NEUFELD</v>
      </c>
      <c r="G61" t="str">
        <f>'Nach Mannschaften sortiert'!H61</f>
        <v>Heim</v>
      </c>
      <c r="H61" t="str">
        <f>'Nach Mannschaften sortiert'!G61</f>
        <v>Parndorf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25">
      <c r="B62" s="93">
        <f>'Nach Mannschaften sortiert'!D62</f>
        <v>46292</v>
      </c>
      <c r="C62" s="94">
        <f>'Nach Mannschaften sortiert'!E62</f>
        <v>0.625</v>
      </c>
      <c r="D62" s="94">
        <f t="shared" si="1"/>
        <v>0.6875</v>
      </c>
      <c r="E62" s="94" t="str">
        <f>UPPER('Nach Mannschaften sortiert'!F62)</f>
        <v>GROßHÖFLEIN</v>
      </c>
      <c r="G62" t="str">
        <f>'Nach Mannschaften sortiert'!H62</f>
        <v>Heim</v>
      </c>
      <c r="H62" t="str">
        <f>'Nach Mannschaften sortiert'!G62</f>
        <v>SPG Seewinkel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25">
      <c r="B63" s="93">
        <f>'Nach Mannschaften sortiert'!D63</f>
        <v>46299</v>
      </c>
      <c r="C63" s="94">
        <f>'Nach Mannschaften sortiert'!E63</f>
        <v>0.625</v>
      </c>
      <c r="D63" s="94">
        <f t="shared" si="1"/>
        <v>0.6875</v>
      </c>
      <c r="E63" s="94" t="str">
        <f>UPPER('Nach Mannschaften sortiert'!F63)</f>
        <v>DRAßBURG</v>
      </c>
      <c r="G63" t="str">
        <f>'Nach Mannschaften sortiert'!H63</f>
        <v>Auswärts</v>
      </c>
      <c r="H63" t="str">
        <f>'Nach Mannschaften sortiert'!G63</f>
        <v>SPG Draßburg/ZSP/Kemeten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25">
      <c r="B64" s="93">
        <f>'Nach Mannschaften sortiert'!D64</f>
        <v>46306</v>
      </c>
      <c r="C64" s="94">
        <f>'Nach Mannschaften sortiert'!E64</f>
        <v>0.625</v>
      </c>
      <c r="D64" s="94">
        <f t="shared" si="1"/>
        <v>0.6875</v>
      </c>
      <c r="E64" s="94" t="str">
        <f>UPPER('Nach Mannschaften sortiert'!F64)</f>
        <v>GROßHÖFLEIN</v>
      </c>
      <c r="G64" t="str">
        <f>'Nach Mannschaften sortiert'!H64</f>
        <v>Heim</v>
      </c>
      <c r="H64" t="str">
        <f>'Nach Mannschaften sortiert'!G64</f>
        <v>SPG Pubach/Breitenbrunn/Winden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25">
      <c r="B65" s="93">
        <f>'Nach Mannschaften sortiert'!D65</f>
        <v>46313</v>
      </c>
      <c r="C65" s="94">
        <f>'Nach Mannschaften sortiert'!E65</f>
        <v>0.625</v>
      </c>
      <c r="D65" s="94">
        <f t="shared" si="1"/>
        <v>0.6875</v>
      </c>
      <c r="E65" s="94" t="str">
        <f>UPPER('Nach Mannschaften sortiert'!F65)</f>
        <v>KEMETEN</v>
      </c>
      <c r="G65" t="str">
        <f>'Nach Mannschaften sortiert'!H65</f>
        <v>Auswärts</v>
      </c>
      <c r="H65" t="str">
        <f>'Nach Mannschaften sortiert'!G65</f>
        <v>Kemeten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25">
      <c r="B66" s="93">
        <f>'Nach Mannschaften sortiert'!D66</f>
        <v>46320</v>
      </c>
      <c r="C66" s="94">
        <f>'Nach Mannschaften sortiert'!E66</f>
        <v>0.58333333333333337</v>
      </c>
      <c r="D66" s="94">
        <f t="shared" si="1"/>
        <v>0.64583333333333337</v>
      </c>
      <c r="E66" s="94" t="str">
        <f>UPPER('Nach Mannschaften sortiert'!F66)</f>
        <v>NEUFELD</v>
      </c>
      <c r="G66" t="str">
        <f>'Nach Mannschaften sortiert'!H66</f>
        <v>Heim</v>
      </c>
      <c r="H66" t="str">
        <f>'Nach Mannschaften sortiert'!G66</f>
        <v>MSV 2020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25">
      <c r="B67" s="93">
        <f>'Nach Mannschaften sortiert'!D67</f>
        <v>46327</v>
      </c>
      <c r="C67" s="94">
        <f>'Nach Mannschaften sortiert'!E67</f>
        <v>0.625</v>
      </c>
      <c r="D67" s="94">
        <f t="shared" si="1"/>
        <v>0.6875</v>
      </c>
      <c r="E67" s="94" t="str">
        <f>UPPER('Nach Mannschaften sortiert'!F67)</f>
        <v>GOLS</v>
      </c>
      <c r="G67" t="str">
        <f>'Nach Mannschaften sortiert'!H67</f>
        <v>Auswärts</v>
      </c>
      <c r="H67" t="str">
        <f>'Nach Mannschaften sortiert'!G67</f>
        <v>GMWP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25">
      <c r="B68" s="93">
        <f>'Nach Mannschaften sortiert'!D68</f>
        <v>46269</v>
      </c>
      <c r="C68" s="94">
        <f>'Nach Mannschaften sortiert'!E68</f>
        <v>0</v>
      </c>
      <c r="D68" s="94">
        <f t="shared" si="1"/>
        <v>0.125</v>
      </c>
      <c r="E68" s="94" t="str">
        <f>UPPER('Nach Mannschaften sortiert'!F68)</f>
        <v>STEINBRUNN</v>
      </c>
      <c r="G68" t="str">
        <f>'Nach Mannschaften sortiert'!H68</f>
        <v>Heim</v>
      </c>
      <c r="H68" t="str">
        <f>'Nach Mannschaften sortiert'!G68</f>
        <v>Stotzing</v>
      </c>
      <c r="I68" t="str">
        <f>'Nach Mannschaften sortiert'!C68</f>
        <v>U12_1</v>
      </c>
      <c r="J68" s="82" t="s">
        <v>77</v>
      </c>
      <c r="K68" t="s">
        <v>80</v>
      </c>
      <c r="L68" t="s">
        <v>79</v>
      </c>
    </row>
    <row r="69" spans="2:12" x14ac:dyDescent="0.25">
      <c r="B69" s="93">
        <f>'Nach Mannschaften sortiert'!D69</f>
        <v>46276</v>
      </c>
      <c r="C69" s="94">
        <f>'Nach Mannschaften sortiert'!E69</f>
        <v>0</v>
      </c>
      <c r="D69" s="94">
        <f t="shared" si="1"/>
        <v>0.125</v>
      </c>
      <c r="E69" s="94" t="str">
        <f>UPPER('Nach Mannschaften sortiert'!F69)</f>
        <v>KLINGENBACH</v>
      </c>
      <c r="G69" t="str">
        <f>'Nach Mannschaften sortiert'!H69</f>
        <v>Auswärts</v>
      </c>
      <c r="H69" t="str">
        <f>'Nach Mannschaften sortiert'!G69</f>
        <v>SPG Klimpuh Juniors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25">
      <c r="B70" s="93">
        <f>'Nach Mannschaften sortiert'!D70</f>
        <v>46284</v>
      </c>
      <c r="C70" s="94">
        <f>'Nach Mannschaften sortiert'!E70</f>
        <v>0.4375</v>
      </c>
      <c r="D70" s="94">
        <f t="shared" si="1"/>
        <v>0.5625</v>
      </c>
      <c r="E70" s="94" t="str">
        <f>UPPER('Nach Mannschaften sortiert'!F70)</f>
        <v>NEUFELD</v>
      </c>
      <c r="G70" t="str">
        <f>'Nach Mannschaften sortiert'!H70</f>
        <v>Heim</v>
      </c>
      <c r="H70" t="str">
        <f>'Nach Mannschaften sortiert'!G70</f>
        <v>Leithaprodersdorf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25">
      <c r="B71" s="93">
        <f>'Nach Mannschaften sortiert'!D71</f>
        <v>46290</v>
      </c>
      <c r="C71" s="94">
        <f>'Nach Mannschaften sortiert'!E71</f>
        <v>0</v>
      </c>
      <c r="D71" s="94">
        <f t="shared" ref="D71:D134" si="4">IF(I71 = "KM",C71+"1:45",IF(I71="U23",C71+"1:45",IF(I71 = "U16",C71+"1:45",IF(I71 = "U15",C71+"1:30",IF(I71 = "U14",C71+"1:30",IF(I71 = "U13",C71+"1:35",IF(I71 = "U12",C71+"1:10",IF(I71 = "U11",C71+"1:10",IF(I71 = "U10",C71+"1:03",C71+"3:00")))))))))</f>
        <v>0.125</v>
      </c>
      <c r="E71" s="94" t="str">
        <f>UPPER('Nach Mannschaften sortiert'!F71)</f>
        <v>RUST</v>
      </c>
      <c r="G71" t="str">
        <f>'Nach Mannschaften sortiert'!H71</f>
        <v>Auswärts</v>
      </c>
      <c r="H71" t="str">
        <f>'Nach Mannschaften sortiert'!G71</f>
        <v>SC "muki" Eisenstadt/Rust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25">
      <c r="B72" s="93">
        <f>'Nach Mannschaften sortiert'!D72</f>
        <v>46298</v>
      </c>
      <c r="C72" s="94">
        <f>'Nach Mannschaften sortiert'!E72</f>
        <v>0.5</v>
      </c>
      <c r="D72" s="94">
        <f t="shared" si="4"/>
        <v>0.625</v>
      </c>
      <c r="E72" s="94" t="str">
        <f>UPPER('Nach Mannschaften sortiert'!F72)</f>
        <v>STEINBRUNN</v>
      </c>
      <c r="G72" t="str">
        <f>'Nach Mannschaften sortiert'!H72</f>
        <v>Heim</v>
      </c>
      <c r="H72" t="str">
        <f>'Nach Mannschaften sortiert'!G72</f>
        <v>Hornstein/Wimpasing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25">
      <c r="B73" s="93">
        <f>'Nach Mannschaften sortiert'!D73</f>
        <v>46304</v>
      </c>
      <c r="C73" s="94">
        <f>'Nach Mannschaften sortiert'!E73</f>
        <v>0</v>
      </c>
      <c r="D73" s="94">
        <f t="shared" si="4"/>
        <v>0.125</v>
      </c>
      <c r="E73" s="94" t="str">
        <f>UPPER('Nach Mannschaften sortiert'!F73)</f>
        <v>STOTZING</v>
      </c>
      <c r="G73" t="str">
        <f>'Nach Mannschaften sortiert'!H73</f>
        <v>Auswärts</v>
      </c>
      <c r="H73" t="str">
        <f>'Nach Mannschaften sortiert'!G73</f>
        <v>Stotzing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25">
      <c r="B74" s="93">
        <f>'Nach Mannschaften sortiert'!D74</f>
        <v>46312</v>
      </c>
      <c r="C74" s="94">
        <f>'Nach Mannschaften sortiert'!E74</f>
        <v>0.70833333333333337</v>
      </c>
      <c r="D74" s="94">
        <f t="shared" si="4"/>
        <v>0.83333333333333337</v>
      </c>
      <c r="E74" s="94" t="str">
        <f>UPPER('Nach Mannschaften sortiert'!F74)</f>
        <v>NEUFELD</v>
      </c>
      <c r="G74" t="str">
        <f>'Nach Mannschaften sortiert'!H74</f>
        <v>Heim</v>
      </c>
      <c r="H74" t="str">
        <f>'Nach Mannschaften sortiert'!G74</f>
        <v>SPG Klimpuh Juniors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25">
      <c r="B75" s="93">
        <f>'Nach Mannschaften sortiert'!D75</f>
        <v>46318</v>
      </c>
      <c r="C75" s="94">
        <f>'Nach Mannschaften sortiert'!E75</f>
        <v>0</v>
      </c>
      <c r="D75" s="94">
        <f t="shared" si="4"/>
        <v>0.125</v>
      </c>
      <c r="E75" s="94" t="str">
        <f>UPPER('Nach Mannschaften sortiert'!F75)</f>
        <v>LEITHAPRODERSDORF</v>
      </c>
      <c r="G75" t="str">
        <f>'Nach Mannschaften sortiert'!H75</f>
        <v>Auswärts</v>
      </c>
      <c r="H75" t="str">
        <f>'Nach Mannschaften sortiert'!G75</f>
        <v>Leithaprodersdorf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25">
      <c r="B76" s="93">
        <f>'Nach Mannschaften sortiert'!D76</f>
        <v>46326</v>
      </c>
      <c r="C76" s="94">
        <f>'Nach Mannschaften sortiert'!E76</f>
        <v>0.52083333333333337</v>
      </c>
      <c r="D76" s="94">
        <f t="shared" si="4"/>
        <v>0.64583333333333337</v>
      </c>
      <c r="E76" s="94" t="str">
        <f>UPPER('Nach Mannschaften sortiert'!F76)</f>
        <v>NEUFELD</v>
      </c>
      <c r="G76" t="str">
        <f>'Nach Mannschaften sortiert'!H76</f>
        <v>Heim</v>
      </c>
      <c r="H76" t="str">
        <f>'Nach Mannschaften sortiert'!G76</f>
        <v>SC "muki" Eisenstadt/Rust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25">
      <c r="B77" s="93">
        <f>'Nach Mannschaften sortiert'!D77</f>
        <v>46332</v>
      </c>
      <c r="C77" s="94">
        <f>'Nach Mannschaften sortiert'!E77</f>
        <v>0</v>
      </c>
      <c r="D77" s="94">
        <f t="shared" si="4"/>
        <v>0.125</v>
      </c>
      <c r="E77" s="94" t="str">
        <f>UPPER('Nach Mannschaften sortiert'!F77)</f>
        <v>HORNSTEIN</v>
      </c>
      <c r="G77" t="str">
        <f>'Nach Mannschaften sortiert'!H77</f>
        <v>Auswärts</v>
      </c>
      <c r="H77" t="str">
        <f>'Nach Mannschaften sortiert'!G77</f>
        <v>Hornstein/Wimpasing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25">
      <c r="B78" s="93">
        <f>'Nach Mannschaften sortiert'!D78</f>
        <v>46270</v>
      </c>
      <c r="C78" s="94">
        <f>'Nach Mannschaften sortiert'!E78</f>
        <v>0.5</v>
      </c>
      <c r="D78" s="94">
        <f t="shared" si="4"/>
        <v>0.625</v>
      </c>
      <c r="E78" s="94" t="str">
        <f>UPPER('Nach Mannschaften sortiert'!F78)</f>
        <v>STEINBRUNN</v>
      </c>
      <c r="G78" t="str">
        <f>'Nach Mannschaften sortiert'!H78</f>
        <v>Heim</v>
      </c>
      <c r="H78" t="str">
        <f>'Nach Mannschaften sortiert'!G78</f>
        <v>St. Margarethen</v>
      </c>
      <c r="I78" t="str">
        <f>'Nach Mannschaften sortiert'!C78</f>
        <v>U12_2</v>
      </c>
      <c r="J78" s="82" t="s">
        <v>77</v>
      </c>
      <c r="K78" t="s">
        <v>80</v>
      </c>
      <c r="L78" t="s">
        <v>79</v>
      </c>
    </row>
    <row r="79" spans="2:12" x14ac:dyDescent="0.25">
      <c r="B79" s="93">
        <f>'Nach Mannschaften sortiert'!D79</f>
        <v>46276</v>
      </c>
      <c r="C79" s="94">
        <f>'Nach Mannschaften sortiert'!E79</f>
        <v>0</v>
      </c>
      <c r="D79" s="94">
        <f t="shared" si="4"/>
        <v>0.125</v>
      </c>
      <c r="E79" s="94" t="str">
        <f>UPPER('Nach Mannschaften sortiert'!F79)</f>
        <v>ST. GEORGEN</v>
      </c>
      <c r="G79" t="str">
        <f>'Nach Mannschaften sortiert'!H79</f>
        <v>Auswärts</v>
      </c>
      <c r="H79" t="str">
        <f>'Nach Mannschaften sortiert'!G79</f>
        <v>St. Georgen/Eisenstadt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25">
      <c r="B80" s="93">
        <f>'Nach Mannschaften sortiert'!D80</f>
        <v>46283</v>
      </c>
      <c r="C80" s="94">
        <f>'Nach Mannschaften sortiert'!E80</f>
        <v>0</v>
      </c>
      <c r="D80" s="94">
        <f t="shared" si="4"/>
        <v>0.125</v>
      </c>
      <c r="E80" s="94" t="str">
        <f>UPPER('Nach Mannschaften sortiert'!F80)</f>
        <v>GROßHÖFLEIN</v>
      </c>
      <c r="G80" t="str">
        <f>'Nach Mannschaften sortiert'!H80</f>
        <v>Auswärts</v>
      </c>
      <c r="H80" t="str">
        <f>'Nach Mannschaften sortiert'!G80</f>
        <v>Großhöflein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25">
      <c r="B81" s="93">
        <f>'Nach Mannschaften sortiert'!D81</f>
        <v>46292</v>
      </c>
      <c r="C81" s="94">
        <f>'Nach Mannschaften sortiert'!E81</f>
        <v>0.625</v>
      </c>
      <c r="D81" s="94">
        <f t="shared" si="4"/>
        <v>0.75</v>
      </c>
      <c r="E81" s="94" t="str">
        <f>UPPER('Nach Mannschaften sortiert'!F81)</f>
        <v>NEUFELD</v>
      </c>
      <c r="G81" t="str">
        <f>'Nach Mannschaften sortiert'!H81</f>
        <v>Heim</v>
      </c>
      <c r="H81" t="str">
        <f>'Nach Mannschaften sortiert'!G81</f>
        <v>Purbach/Breitenbrunn/Winden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25">
      <c r="B82" s="93">
        <f>'Nach Mannschaften sortiert'!D82</f>
        <v>46297</v>
      </c>
      <c r="C82" s="94">
        <f>'Nach Mannschaften sortiert'!E82</f>
        <v>0</v>
      </c>
      <c r="D82" s="94">
        <f t="shared" si="4"/>
        <v>0.125</v>
      </c>
      <c r="E82" s="94" t="str">
        <f>UPPER('Nach Mannschaften sortiert'!F82)</f>
        <v>OGGAU</v>
      </c>
      <c r="G82" t="str">
        <f>'Nach Mannschaften sortiert'!H82</f>
        <v>Auswärts</v>
      </c>
      <c r="H82" t="str">
        <f>'Nach Mannschaften sortiert'!G82</f>
        <v>Oggau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25">
      <c r="B83" s="93">
        <f>'Nach Mannschaften sortiert'!D83</f>
        <v>46304</v>
      </c>
      <c r="C83" s="94">
        <f>'Nach Mannschaften sortiert'!E83</f>
        <v>0</v>
      </c>
      <c r="D83" s="94">
        <f t="shared" si="4"/>
        <v>0.125</v>
      </c>
      <c r="E83" s="94" t="str">
        <f>UPPER('Nach Mannschaften sortiert'!F83)</f>
        <v>ST. MARGARETHEN</v>
      </c>
      <c r="G83" t="str">
        <f>'Nach Mannschaften sortiert'!H83</f>
        <v>Auswärts</v>
      </c>
      <c r="H83" t="str">
        <f>'Nach Mannschaften sortiert'!G83</f>
        <v>St. Margarethen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25">
      <c r="B84" s="93">
        <f>'Nach Mannschaften sortiert'!D84</f>
        <v>46312</v>
      </c>
      <c r="C84" s="94">
        <f>'Nach Mannschaften sortiert'!E84</f>
        <v>0.625</v>
      </c>
      <c r="D84" s="94">
        <f t="shared" si="4"/>
        <v>0.75</v>
      </c>
      <c r="E84" s="94" t="str">
        <f>UPPER('Nach Mannschaften sortiert'!F84)</f>
        <v>NEUFELD</v>
      </c>
      <c r="G84" t="str">
        <f>'Nach Mannschaften sortiert'!H84</f>
        <v>Heim</v>
      </c>
      <c r="H84" t="str">
        <f>'Nach Mannschaften sortiert'!G84</f>
        <v>St. Georgen/Eisenstadt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25">
      <c r="B85" s="93">
        <f>'Nach Mannschaften sortiert'!D85</f>
        <v>46318</v>
      </c>
      <c r="C85" s="94">
        <f>'Nach Mannschaften sortiert'!E85</f>
        <v>0.70833333333333337</v>
      </c>
      <c r="D85" s="94">
        <f t="shared" si="4"/>
        <v>0.83333333333333337</v>
      </c>
      <c r="E85" s="94" t="str">
        <f>UPPER('Nach Mannschaften sortiert'!F85)</f>
        <v>STEINBRUNN</v>
      </c>
      <c r="G85" t="str">
        <f>'Nach Mannschaften sortiert'!H85</f>
        <v>Heim</v>
      </c>
      <c r="H85" t="str">
        <f>'Nach Mannschaften sortiert'!G85</f>
        <v>Großhöflein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25">
      <c r="B86" s="93">
        <f>'Nach Mannschaften sortiert'!D86</f>
        <v>46325</v>
      </c>
      <c r="C86" s="94">
        <f>'Nach Mannschaften sortiert'!E86</f>
        <v>0</v>
      </c>
      <c r="D86" s="94">
        <f t="shared" si="4"/>
        <v>0.125</v>
      </c>
      <c r="E86" s="94" t="str">
        <f>UPPER('Nach Mannschaften sortiert'!F86)</f>
        <v>PURBACH</v>
      </c>
      <c r="G86" t="str">
        <f>'Nach Mannschaften sortiert'!H86</f>
        <v>Auswärts</v>
      </c>
      <c r="H86" t="str">
        <f>'Nach Mannschaften sortiert'!G86</f>
        <v>Purbach/Breitenbrunn/Winden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25">
      <c r="B87" s="93">
        <f>'Nach Mannschaften sortiert'!D87</f>
        <v>46332</v>
      </c>
      <c r="C87" s="94">
        <f>'Nach Mannschaften sortiert'!E87</f>
        <v>0.70833333333333337</v>
      </c>
      <c r="D87" s="94">
        <f t="shared" si="4"/>
        <v>0.83333333333333337</v>
      </c>
      <c r="E87" s="94" t="str">
        <f>UPPER('Nach Mannschaften sortiert'!F87)</f>
        <v>STEINBRUNN</v>
      </c>
      <c r="G87" t="str">
        <f>'Nach Mannschaften sortiert'!H87</f>
        <v>Heim</v>
      </c>
      <c r="H87" t="str">
        <f>'Nach Mannschaften sortiert'!G87</f>
        <v>Oggau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25">
      <c r="B88" s="93">
        <f>'Nach Mannschaften sortiert'!D88</f>
        <v>46270</v>
      </c>
      <c r="C88" s="94">
        <f>'Nach Mannschaften sortiert'!E88</f>
        <v>0.41666666666666669</v>
      </c>
      <c r="D88" s="94">
        <f t="shared" si="4"/>
        <v>0.46527777777777779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Leithaprodersdorf</v>
      </c>
      <c r="I88" t="str">
        <f>'Nach Mannschaften sortiert'!C88</f>
        <v>U11</v>
      </c>
      <c r="J88" s="82" t="s">
        <v>77</v>
      </c>
      <c r="K88" t="s">
        <v>80</v>
      </c>
      <c r="L88" t="s">
        <v>79</v>
      </c>
    </row>
    <row r="89" spans="2:12" x14ac:dyDescent="0.25">
      <c r="B89" s="93">
        <f>'Nach Mannschaften sortiert'!D89</f>
        <v>46276</v>
      </c>
      <c r="C89" s="94">
        <f>'Nach Mannschaften sortiert'!E89</f>
        <v>0</v>
      </c>
      <c r="D89" s="94">
        <f t="shared" si="4"/>
        <v>4.8611111111111112E-2</v>
      </c>
      <c r="E89" s="94" t="str">
        <f>UPPER('Nach Mannschaften sortiert'!F89)</f>
        <v>HORNSTEIN</v>
      </c>
      <c r="G89" t="str">
        <f>'Nach Mannschaften sortiert'!H89</f>
        <v>Auswärts</v>
      </c>
      <c r="H89" t="str">
        <f>'Nach Mannschaften sortiert'!G89</f>
        <v>Hornstein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25">
      <c r="B90" s="93">
        <f>'Nach Mannschaften sortiert'!D90</f>
        <v>46283</v>
      </c>
      <c r="C90" s="94">
        <f>'Nach Mannschaften sortiert'!E90</f>
        <v>0</v>
      </c>
      <c r="D90" s="94">
        <f t="shared" si="4"/>
        <v>4.8611111111111112E-2</v>
      </c>
      <c r="E90" s="94" t="str">
        <f>UPPER('Nach Mannschaften sortiert'!F90)</f>
        <v>WULKAPRODERSDORF</v>
      </c>
      <c r="G90" t="str">
        <f>'Nach Mannschaften sortiert'!H90</f>
        <v>Auswärts</v>
      </c>
      <c r="H90" t="str">
        <f>'Nach Mannschaften sortiert'!G90</f>
        <v>Wulkaprodersdorf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25">
      <c r="B91" s="93">
        <f>'Nach Mannschaften sortiert'!D91</f>
        <v>46292</v>
      </c>
      <c r="C91" s="94">
        <f>'Nach Mannschaften sortiert'!E91</f>
        <v>0.54166666666666663</v>
      </c>
      <c r="D91" s="94">
        <f t="shared" si="4"/>
        <v>0.59027777777777779</v>
      </c>
      <c r="E91" s="94" t="str">
        <f>UPPER('Nach Mannschaften sortiert'!F91)</f>
        <v>NEUFELD</v>
      </c>
      <c r="G91" t="str">
        <f>'Nach Mannschaften sortiert'!H91</f>
        <v>Heim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25">
      <c r="B92" s="93">
        <f>'Nach Mannschaften sortiert'!D92</f>
        <v>46298</v>
      </c>
      <c r="C92" s="94">
        <f>'Nach Mannschaften sortiert'!E92</f>
        <v>0.41666666666666669</v>
      </c>
      <c r="D92" s="94">
        <f t="shared" si="4"/>
        <v>0.46527777777777779</v>
      </c>
      <c r="E92" s="94" t="str">
        <f>UPPER('Nach Mannschaften sortiert'!F92)</f>
        <v>STEINBRUNN</v>
      </c>
      <c r="G92" t="str">
        <f>'Nach Mannschaften sortiert'!H92</f>
        <v>Heim</v>
      </c>
      <c r="H92" t="str">
        <f>'Nach Mannschaften sortiert'!G92</f>
        <v>Hornstein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25">
      <c r="B93" s="93">
        <f>'Nach Mannschaften sortiert'!D93</f>
        <v>46304</v>
      </c>
      <c r="C93" s="94">
        <f>'Nach Mannschaften sortiert'!E93</f>
        <v>0</v>
      </c>
      <c r="D93" s="94">
        <f t="shared" si="4"/>
        <v>4.8611111111111112E-2</v>
      </c>
      <c r="E93" s="94" t="str">
        <f>UPPER('Nach Mannschaften sortiert'!F93)</f>
        <v>LEITHAPRODERSDORF</v>
      </c>
      <c r="G93" t="str">
        <f>'Nach Mannschaften sortiert'!H93</f>
        <v>Auswärts</v>
      </c>
      <c r="H93" t="str">
        <f>'Nach Mannschaften sortiert'!G93</f>
        <v>Leithaprodersdorf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25">
      <c r="B94" s="93">
        <f>'Nach Mannschaften sortiert'!D94</f>
        <v>46312</v>
      </c>
      <c r="C94" s="94">
        <f>'Nach Mannschaften sortiert'!E94</f>
        <v>0.54166666666666663</v>
      </c>
      <c r="D94" s="94">
        <f t="shared" si="4"/>
        <v>0.59027777777777779</v>
      </c>
      <c r="E94" s="94" t="str">
        <f>UPPER('Nach Mannschaften sortiert'!F94)</f>
        <v>NEUFELD</v>
      </c>
      <c r="G94" t="str">
        <f>'Nach Mannschaften sortiert'!H94</f>
        <v>Heim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25">
      <c r="B95" s="93">
        <f>'Nach Mannschaften sortiert'!D95</f>
        <v>46318</v>
      </c>
      <c r="C95" s="94">
        <f>'Nach Mannschaften sortiert'!E95</f>
        <v>0</v>
      </c>
      <c r="D95" s="94">
        <f t="shared" si="4"/>
        <v>4.8611111111111112E-2</v>
      </c>
      <c r="E95" s="94" t="str">
        <f>UPPER('Nach Mannschaften sortiert'!F95)</f>
        <v>HORNSTEIN</v>
      </c>
      <c r="G95" t="str">
        <f>'Nach Mannschaften sortiert'!H95</f>
        <v>Auswärts</v>
      </c>
      <c r="H95" t="str">
        <f>'Nach Mannschaften sortiert'!G95</f>
        <v>Hornstein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25">
      <c r="B96" s="93">
        <f>'Nach Mannschaften sortiert'!D96</f>
        <v>46325</v>
      </c>
      <c r="C96" s="94">
        <f>'Nach Mannschaften sortiert'!E96</f>
        <v>0</v>
      </c>
      <c r="D96" s="94">
        <f t="shared" si="4"/>
        <v>4.8611111111111112E-2</v>
      </c>
      <c r="E96" s="94" t="str">
        <f>UPPER('Nach Mannschaften sortiert'!F96)</f>
        <v>WULKAPRODERSDORF</v>
      </c>
      <c r="G96" t="str">
        <f>'Nach Mannschaften sortiert'!H96</f>
        <v>Auswärts</v>
      </c>
      <c r="H96" t="str">
        <f>'Nach Mannschaften sortiert'!G96</f>
        <v>Wulkaprodersdorf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25">
      <c r="B97" s="93">
        <f>'Nach Mannschaften sortiert'!D97</f>
        <v>46312</v>
      </c>
      <c r="C97" s="94">
        <f>'Nach Mannschaften sortiert'!E97</f>
        <v>0.39583333333333331</v>
      </c>
      <c r="D97" s="94">
        <f t="shared" si="4"/>
        <v>0.43958333333333333</v>
      </c>
      <c r="E97" s="94" t="str">
        <f>UPPER('Nach Mannschaften sortiert'!F97)</f>
        <v>NEUFELD</v>
      </c>
      <c r="G97" t="str">
        <f>'Nach Mannschaften sortiert'!H97</f>
        <v>Heim</v>
      </c>
      <c r="H97" t="str">
        <f>'Nach Mannschaften sortiert'!G97</f>
        <v>Heimturnier</v>
      </c>
      <c r="I97" t="str">
        <f>'Nach Mannschaften sortiert'!C97</f>
        <v>U10</v>
      </c>
      <c r="J97" s="82" t="s">
        <v>77</v>
      </c>
      <c r="K97" t="s">
        <v>80</v>
      </c>
      <c r="L97" t="s">
        <v>79</v>
      </c>
    </row>
    <row r="98" spans="2:12" x14ac:dyDescent="0.25">
      <c r="B98" s="93">
        <f>'Nach Mannschaften sortiert'!D98</f>
        <v>46277</v>
      </c>
      <c r="C98" s="94">
        <f>'Nach Mannschaften sortiert'!E98</f>
        <v>0</v>
      </c>
      <c r="D98" s="94">
        <f t="shared" si="4"/>
        <v>4.3749999999999997E-2</v>
      </c>
      <c r="E98" s="94" t="str">
        <f>UPPER('Nach Mannschaften sortiert'!F98)</f>
        <v>SIEGENDORF</v>
      </c>
      <c r="G98" t="str">
        <f>'Nach Mannschaften sortiert'!H98</f>
        <v>Auswärts</v>
      </c>
      <c r="H98" t="str">
        <f>'Nach Mannschaften sortiert'!G98</f>
        <v>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25">
      <c r="B99" s="93">
        <f>'Nach Mannschaften sortiert'!D99</f>
        <v>46305</v>
      </c>
      <c r="C99" s="94">
        <f>'Nach Mannschaften sortiert'!E99</f>
        <v>0</v>
      </c>
      <c r="D99" s="94">
        <f t="shared" si="4"/>
        <v>4.3749999999999997E-2</v>
      </c>
      <c r="E99" s="94" t="str">
        <f>UPPER('Nach Mannschaften sortiert'!F99)</f>
        <v>TRAUSDORF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25">
      <c r="B100" s="93" t="str">
        <f>'Nach Mannschaften sortiert'!D100</f>
        <v>XXX</v>
      </c>
      <c r="C100" s="94">
        <f>'Nach Mannschaften sortiert'!E100</f>
        <v>0</v>
      </c>
      <c r="D100" s="94">
        <f t="shared" si="4"/>
        <v>4.3749999999999997E-2</v>
      </c>
      <c r="E100" s="94" t="str">
        <f>UPPER('Nach Mannschaften sortiert'!F100)</f>
        <v>RUST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25">
      <c r="B101" s="93" t="str">
        <f>'Nach Mannschaften sortiert'!D101</f>
        <v>XXX</v>
      </c>
      <c r="C101" s="94">
        <f>'Nach Mannschaften sortiert'!E101</f>
        <v>0</v>
      </c>
      <c r="D101" s="94">
        <f t="shared" si="4"/>
        <v>4.3749999999999997E-2</v>
      </c>
      <c r="E101" s="94" t="str">
        <f>UPPER('Nach Mannschaften sortiert'!F101)</f>
        <v>ST.GEORGEN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25">
      <c r="B102" s="93">
        <f>'Nach Mannschaften sortiert'!D102</f>
        <v>46269</v>
      </c>
      <c r="C102" s="94">
        <f>'Nach Mannschaften sortiert'!E102</f>
        <v>0</v>
      </c>
      <c r="D102" s="94">
        <f t="shared" si="4"/>
        <v>0.125</v>
      </c>
      <c r="E102" s="94" t="str">
        <f>UPPER('Nach Mannschaften sortiert'!F102)</f>
        <v>GROßHÖFLEIN</v>
      </c>
      <c r="G102" t="str">
        <f>'Nach Mannschaften sortiert'!H102</f>
        <v>Auswärts</v>
      </c>
      <c r="H102" t="str">
        <f>'Nach Mannschaften sortiert'!G102</f>
        <v>Großhöflein</v>
      </c>
      <c r="I102" t="str">
        <f>'Nach Mannschaften sortiert'!C102</f>
        <v>U9</v>
      </c>
      <c r="J102" s="82" t="s">
        <v>77</v>
      </c>
      <c r="K102" t="s">
        <v>80</v>
      </c>
      <c r="L102" t="s">
        <v>79</v>
      </c>
    </row>
    <row r="103" spans="2:12" x14ac:dyDescent="0.25">
      <c r="B103" s="93">
        <f>'Nach Mannschaften sortiert'!D103</f>
        <v>46278</v>
      </c>
      <c r="C103" s="94">
        <f>'Nach Mannschaften sortiert'!E103</f>
        <v>0.45833333333333331</v>
      </c>
      <c r="D103" s="94">
        <f t="shared" si="4"/>
        <v>0.58333333333333326</v>
      </c>
      <c r="E103" s="94" t="str">
        <f>UPPER('Nach Mannschaften sortiert'!F103)</f>
        <v>NEUFELD</v>
      </c>
      <c r="G103" t="str">
        <f>'Nach Mannschaften sortiert'!H103</f>
        <v>Heim</v>
      </c>
      <c r="H103" t="str">
        <f>'Nach Mannschaften sortiert'!G103</f>
        <v>Steinbrunn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25">
      <c r="B104" s="93">
        <f>'Nach Mannschaften sortiert'!D104</f>
        <v>46283</v>
      </c>
      <c r="C104" s="94">
        <f>'Nach Mannschaften sortiert'!E104</f>
        <v>0</v>
      </c>
      <c r="D104" s="94">
        <f t="shared" si="4"/>
        <v>0.125</v>
      </c>
      <c r="E104" s="94" t="str">
        <f>UPPER('Nach Mannschaften sortiert'!F104)</f>
        <v/>
      </c>
      <c r="G104">
        <f>'Nach Mannschaften sortiert'!H104</f>
        <v>0</v>
      </c>
      <c r="H104" t="str">
        <f>'Nach Mannschaften sortiert'!G104</f>
        <v>Spielfrei</v>
      </c>
      <c r="I104" t="str">
        <f>'Nach Mannschaften sortiert'!C104</f>
        <v>U9</v>
      </c>
      <c r="J104" s="82" t="s">
        <v>193</v>
      </c>
      <c r="K104" t="s">
        <v>80</v>
      </c>
      <c r="L104" t="s">
        <v>79</v>
      </c>
    </row>
    <row r="105" spans="2:12" x14ac:dyDescent="0.25">
      <c r="B105" s="93">
        <f>'Nach Mannschaften sortiert'!D105</f>
        <v>46290</v>
      </c>
      <c r="C105" s="94">
        <f>'Nach Mannschaften sortiert'!E105</f>
        <v>0</v>
      </c>
      <c r="D105" s="94">
        <f t="shared" si="4"/>
        <v>0.125</v>
      </c>
      <c r="E105" s="94" t="str">
        <f>UPPER('Nach Mannschaften sortiert'!F105)</f>
        <v>EISENSTADT</v>
      </c>
      <c r="G105" t="str">
        <f>'Nach Mannschaften sortiert'!H105</f>
        <v>Auswärts</v>
      </c>
      <c r="H105" t="str">
        <f>'Nach Mannschaften sortiert'!G105</f>
        <v>Eisenstadt</v>
      </c>
      <c r="I105" t="str">
        <f>'Nach Mannschaften sortiert'!C105</f>
        <v>U9</v>
      </c>
      <c r="J105" s="82" t="s">
        <v>77</v>
      </c>
      <c r="K105" t="s">
        <v>80</v>
      </c>
      <c r="L105" t="s">
        <v>79</v>
      </c>
    </row>
    <row r="106" spans="2:12" x14ac:dyDescent="0.25">
      <c r="B106" s="93">
        <f>'Nach Mannschaften sortiert'!D106</f>
        <v>46298</v>
      </c>
      <c r="C106" s="94">
        <f>'Nach Mannschaften sortiert'!E106</f>
        <v>0.39583333333333331</v>
      </c>
      <c r="D106" s="94">
        <f t="shared" si="4"/>
        <v>0.52083333333333326</v>
      </c>
      <c r="E106" s="94" t="str">
        <f>UPPER('Nach Mannschaften sortiert'!F106)</f>
        <v>NEUFELD</v>
      </c>
      <c r="G106" t="str">
        <f>'Nach Mannschaften sortiert'!H106</f>
        <v>Heim</v>
      </c>
      <c r="H106" t="str">
        <f>'Nach Mannschaften sortiert'!G106</f>
        <v>Hornstein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25">
      <c r="B107" s="93">
        <f>'Nach Mannschaften sortiert'!D107</f>
        <v>46305</v>
      </c>
      <c r="C107" s="94">
        <f>'Nach Mannschaften sortiert'!E107</f>
        <v>0.58333333333333337</v>
      </c>
      <c r="D107" s="94">
        <f t="shared" si="4"/>
        <v>0.70833333333333337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Großhöflein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25">
      <c r="B108" s="93">
        <f>'Nach Mannschaften sortiert'!D108</f>
        <v>46311</v>
      </c>
      <c r="C108" s="94">
        <f>'Nach Mannschaften sortiert'!E108</f>
        <v>0</v>
      </c>
      <c r="D108" s="94">
        <f t="shared" si="4"/>
        <v>0.125</v>
      </c>
      <c r="E108" s="94" t="str">
        <f>UPPER('Nach Mannschaften sortiert'!F108)</f>
        <v>STEINBRUNN</v>
      </c>
      <c r="G108" t="str">
        <f>'Nach Mannschaften sortiert'!H108</f>
        <v>Auswärts</v>
      </c>
      <c r="H108" t="str">
        <f>'Nach Mannschaften sortiert'!G108</f>
        <v>Steinbrunn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25">
      <c r="B109" s="93">
        <f>'Nach Mannschaften sortiert'!D109</f>
        <v>46318</v>
      </c>
      <c r="C109" s="94">
        <f>'Nach Mannschaften sortiert'!E109</f>
        <v>0</v>
      </c>
      <c r="D109" s="94">
        <f t="shared" si="4"/>
        <v>0.125</v>
      </c>
      <c r="E109" s="94" t="str">
        <f>UPPER('Nach Mannschaften sortiert'!F109)</f>
        <v/>
      </c>
      <c r="G109">
        <f>'Nach Mannschaften sortiert'!H109</f>
        <v>0</v>
      </c>
      <c r="H109" t="str">
        <f>'Nach Mannschaften sortiert'!G109</f>
        <v>Spielfrei</v>
      </c>
      <c r="I109" t="str">
        <f>'Nach Mannschaften sortiert'!C109</f>
        <v>U9</v>
      </c>
      <c r="J109" s="82" t="s">
        <v>193</v>
      </c>
      <c r="K109" t="s">
        <v>80</v>
      </c>
      <c r="L109" t="s">
        <v>79</v>
      </c>
    </row>
    <row r="110" spans="2:12" x14ac:dyDescent="0.25">
      <c r="B110" s="93">
        <f>'Nach Mannschaften sortiert'!D110</f>
        <v>46326</v>
      </c>
      <c r="C110" s="94">
        <f>'Nach Mannschaften sortiert'!E110</f>
        <v>0.4375</v>
      </c>
      <c r="D110" s="94">
        <f t="shared" si="4"/>
        <v>0.5625</v>
      </c>
      <c r="E110" s="94" t="str">
        <f>UPPER('Nach Mannschaften sortiert'!F110)</f>
        <v>NEUFELD</v>
      </c>
      <c r="G110" t="str">
        <f>'Nach Mannschaften sortiert'!H110</f>
        <v>Heim</v>
      </c>
      <c r="H110" t="str">
        <f>'Nach Mannschaften sortiert'!G110</f>
        <v>Eisenstadt</v>
      </c>
      <c r="I110" t="str">
        <f>'Nach Mannschaften sortiert'!C110</f>
        <v>U9</v>
      </c>
      <c r="J110" s="82" t="s">
        <v>77</v>
      </c>
      <c r="K110" t="s">
        <v>80</v>
      </c>
      <c r="L110" t="s">
        <v>79</v>
      </c>
    </row>
    <row r="111" spans="2:12" x14ac:dyDescent="0.25">
      <c r="B111" s="93">
        <f>'Nach Mannschaften sortiert'!D111</f>
        <v>46332</v>
      </c>
      <c r="C111" s="94">
        <f>'Nach Mannschaften sortiert'!E111</f>
        <v>0</v>
      </c>
      <c r="D111" s="94">
        <f t="shared" si="4"/>
        <v>0.125</v>
      </c>
      <c r="E111" s="94" t="str">
        <f>UPPER('Nach Mannschaften sortiert'!F111)</f>
        <v>HORNSTEIN</v>
      </c>
      <c r="G111" t="str">
        <f>'Nach Mannschaften sortiert'!H111</f>
        <v>Auswärts</v>
      </c>
      <c r="H111" t="str">
        <f>'Nach Mannschaften sortiert'!G111</f>
        <v>Hornstein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25">
      <c r="B112" s="93">
        <f>'Nach Mannschaften sortiert'!D112</f>
        <v>46312</v>
      </c>
      <c r="C112" s="94">
        <f>'Nach Mannschaften sortiert'!E112</f>
        <v>0.39583333333333331</v>
      </c>
      <c r="D112" s="94">
        <f t="shared" si="4"/>
        <v>0.52083333333333326</v>
      </c>
      <c r="E112" s="94" t="str">
        <f>UPPER('Nach Mannschaften sortiert'!F112)</f>
        <v>NEUFELD</v>
      </c>
      <c r="G112" t="str">
        <f>'Nach Mannschaften sortiert'!H112</f>
        <v>Heim</v>
      </c>
      <c r="H112" t="str">
        <f>'Nach Mannschaften sortiert'!G112</f>
        <v>Heimturnier</v>
      </c>
      <c r="I112" t="str">
        <f>'Nach Mannschaften sortiert'!C112</f>
        <v>U8</v>
      </c>
      <c r="J112" s="82" t="s">
        <v>77</v>
      </c>
      <c r="K112" t="s">
        <v>80</v>
      </c>
      <c r="L112" t="s">
        <v>79</v>
      </c>
    </row>
    <row r="113" spans="2:12" x14ac:dyDescent="0.25">
      <c r="B113" s="93">
        <f>'Nach Mannschaften sortiert'!D113</f>
        <v>46284</v>
      </c>
      <c r="C113" s="94">
        <f>'Nach Mannschaften sortiert'!E113</f>
        <v>0</v>
      </c>
      <c r="D113" s="94">
        <f t="shared" si="4"/>
        <v>0.125</v>
      </c>
      <c r="E113" s="94" t="str">
        <f>UPPER('Nach Mannschaften sortiert'!F113)</f>
        <v>WIMPASSING</v>
      </c>
      <c r="G113" t="str">
        <f>'Nach Mannschaften sortiert'!H113</f>
        <v>Auswärts</v>
      </c>
      <c r="H113" t="str">
        <f>'Nach Mannschaften sortiert'!G113</f>
        <v>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25">
      <c r="B114" s="93">
        <f>'Nach Mannschaften sortiert'!D114</f>
        <v>46291</v>
      </c>
      <c r="C114" s="94">
        <f>'Nach Mannschaften sortiert'!E114</f>
        <v>0</v>
      </c>
      <c r="D114" s="94">
        <f t="shared" si="4"/>
        <v>0.125</v>
      </c>
      <c r="E114" s="94" t="str">
        <f>UPPER('Nach Mannschaften sortiert'!F114)</f>
        <v>LEITHAPRODERSDORF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25">
      <c r="B115" s="93">
        <f>'Nach Mannschaften sortiert'!D115</f>
        <v>46091</v>
      </c>
      <c r="C115" s="94">
        <f>'Nach Mannschaften sortiert'!E115</f>
        <v>0</v>
      </c>
      <c r="D115" s="94">
        <f t="shared" si="4"/>
        <v>0.125</v>
      </c>
      <c r="E115" s="94" t="str">
        <f>UPPER('Nach Mannschaften sortiert'!F115)</f>
        <v>HORNSTEIN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25">
      <c r="B116" s="93">
        <f>'Nach Mannschaften sortiert'!D116</f>
        <v>46092</v>
      </c>
      <c r="C116" s="94">
        <f>'Nach Mannschaften sortiert'!E116</f>
        <v>0</v>
      </c>
      <c r="D116" s="94">
        <f t="shared" si="4"/>
        <v>0.125</v>
      </c>
      <c r="E116" s="94" t="str">
        <f>UPPER('Nach Mannschaften sortiert'!F116)</f>
        <v>STEINBRUNN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25">
      <c r="B117" s="93">
        <f>'Nach Mannschaften sortiert'!D117</f>
        <v>0</v>
      </c>
      <c r="C117" s="94">
        <f>'Nach Mannschaften sortiert'!E117</f>
        <v>0</v>
      </c>
      <c r="D117" s="94">
        <f t="shared" si="4"/>
        <v>0.125</v>
      </c>
      <c r="E117" s="94" t="str">
        <f>UPPER('Nach Mannschaften sortiert'!F117)</f>
        <v/>
      </c>
      <c r="G117">
        <f>'Nach Mannschaften sortiert'!H117</f>
        <v>0</v>
      </c>
      <c r="H117">
        <f>'Nach Mannschaften sortiert'!G117</f>
        <v>0</v>
      </c>
      <c r="I117" t="str">
        <f>'Nach Mannschaften sortiert'!C117</f>
        <v>U7</v>
      </c>
      <c r="J117" s="82" t="s">
        <v>193</v>
      </c>
      <c r="K117" t="s">
        <v>80</v>
      </c>
      <c r="L117" t="s">
        <v>79</v>
      </c>
    </row>
    <row r="118" spans="2:12" x14ac:dyDescent="0.25">
      <c r="B118" s="93">
        <f>'Nach Mannschaften sortiert'!D118</f>
        <v>0</v>
      </c>
      <c r="C118" s="94">
        <f>'Nach Mannschaften sortiert'!E118</f>
        <v>0</v>
      </c>
      <c r="D118" s="94">
        <f t="shared" si="4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193</v>
      </c>
      <c r="K118" t="s">
        <v>80</v>
      </c>
      <c r="L118" t="s">
        <v>79</v>
      </c>
    </row>
    <row r="119" spans="2:12" x14ac:dyDescent="0.25">
      <c r="B119" s="93">
        <f>'Nach Mannschaften sortiert'!D119</f>
        <v>0</v>
      </c>
      <c r="C119" s="94">
        <f>'Nach Mannschaften sortiert'!E119</f>
        <v>0</v>
      </c>
      <c r="D119" s="94">
        <f t="shared" si="4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193</v>
      </c>
      <c r="K119" t="s">
        <v>80</v>
      </c>
      <c r="L119" t="s">
        <v>79</v>
      </c>
    </row>
    <row r="120" spans="2:12" x14ac:dyDescent="0.25">
      <c r="B120" s="93">
        <f>'Nach Mannschaften sortiert'!D120</f>
        <v>0</v>
      </c>
      <c r="C120" s="94">
        <f>'Nach Mannschaften sortiert'!E120</f>
        <v>0</v>
      </c>
      <c r="D120" s="94">
        <f t="shared" si="4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193</v>
      </c>
      <c r="K120" t="s">
        <v>80</v>
      </c>
      <c r="L120" t="s">
        <v>79</v>
      </c>
    </row>
    <row r="121" spans="2:12" x14ac:dyDescent="0.25">
      <c r="B121" s="93">
        <f>'Nach Mannschaften sortiert'!D121</f>
        <v>0</v>
      </c>
      <c r="C121" s="94">
        <f>'Nach Mannschaften sortiert'!E121</f>
        <v>0</v>
      </c>
      <c r="D121" s="94">
        <f t="shared" si="4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193</v>
      </c>
      <c r="K121" t="s">
        <v>80</v>
      </c>
      <c r="L121" t="s">
        <v>79</v>
      </c>
    </row>
    <row r="122" spans="2:12" x14ac:dyDescent="0.25">
      <c r="B122" s="93">
        <f>'Nach Mannschaften sortiert'!D122</f>
        <v>46230</v>
      </c>
      <c r="C122" s="94">
        <f>'Nach Mannschaften sortiert'!E122</f>
        <v>0.375</v>
      </c>
      <c r="D122" s="94">
        <f t="shared" si="4"/>
        <v>0.5</v>
      </c>
      <c r="E122" s="94" t="str">
        <f>UPPER('Nach Mannschaften sortiert'!F122)</f>
        <v>NEUFELD</v>
      </c>
      <c r="G122" t="str">
        <f>'Nach Mannschaften sortiert'!H122</f>
        <v>Heim</v>
      </c>
      <c r="H122" t="str">
        <f>'Nach Mannschaften sortiert'!G122</f>
        <v>REAL MADRID CAMP</v>
      </c>
      <c r="I122" t="str">
        <f>'Nach Mannschaften sortiert'!C122</f>
        <v>Camp</v>
      </c>
      <c r="J122" s="82" t="s">
        <v>77</v>
      </c>
      <c r="K122" t="s">
        <v>80</v>
      </c>
      <c r="L122" t="s">
        <v>79</v>
      </c>
    </row>
    <row r="123" spans="2:12" x14ac:dyDescent="0.25">
      <c r="B123" s="93">
        <f>'Nach Mannschaften sortiert'!D123</f>
        <v>46231</v>
      </c>
      <c r="C123" s="94">
        <f>'Nach Mannschaften sortiert'!E123</f>
        <v>0.375</v>
      </c>
      <c r="D123" s="94">
        <f t="shared" si="4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25">
      <c r="B124" s="93">
        <f>'Nach Mannschaften sortiert'!D124</f>
        <v>46232</v>
      </c>
      <c r="C124" s="94">
        <f>'Nach Mannschaften sortiert'!E124</f>
        <v>0.375</v>
      </c>
      <c r="D124" s="94">
        <f t="shared" si="4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25">
      <c r="B125" s="93">
        <f>'Nach Mannschaften sortiert'!D125</f>
        <v>46233</v>
      </c>
      <c r="C125" s="94">
        <f>'Nach Mannschaften sortiert'!E125</f>
        <v>0.375</v>
      </c>
      <c r="D125" s="94">
        <f t="shared" si="4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25">
      <c r="B126" s="93">
        <f>'Nach Mannschaften sortiert'!D126</f>
        <v>46234</v>
      </c>
      <c r="C126" s="94">
        <f>'Nach Mannschaften sortiert'!E126</f>
        <v>0.375</v>
      </c>
      <c r="D126" s="94">
        <f t="shared" si="4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25">
      <c r="B127" s="93">
        <f>'Nach Mannschaften sortiert'!D127</f>
        <v>46237</v>
      </c>
      <c r="C127" s="94">
        <f>'Nach Mannschaften sortiert'!E127</f>
        <v>0.375</v>
      </c>
      <c r="D127" s="94">
        <f t="shared" si="4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MÄDCHENCAMP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25">
      <c r="B128" s="93">
        <f>'Nach Mannschaften sortiert'!D128</f>
        <v>46238</v>
      </c>
      <c r="C128" s="94">
        <f>'Nach Mannschaften sortiert'!E128</f>
        <v>0.375</v>
      </c>
      <c r="D128" s="94">
        <f t="shared" si="4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25">
      <c r="B129" s="93">
        <f>'Nach Mannschaften sortiert'!D129</f>
        <v>46239</v>
      </c>
      <c r="C129" s="94">
        <f>'Nach Mannschaften sortiert'!E129</f>
        <v>0.375</v>
      </c>
      <c r="D129" s="94">
        <f t="shared" si="4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25">
      <c r="B130" s="93">
        <f>'Nach Mannschaften sortiert'!D130</f>
        <v>46321</v>
      </c>
      <c r="C130" s="94">
        <f>'Nach Mannschaften sortiert'!E130</f>
        <v>0.375</v>
      </c>
      <c r="D130" s="94">
        <f t="shared" si="4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Teco 7 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25">
      <c r="B131" s="93">
        <f>'Nach Mannschaften sortiert'!D131</f>
        <v>46322</v>
      </c>
      <c r="C131" s="94">
        <f>'Nach Mannschaften sortiert'!E131</f>
        <v>0.375</v>
      </c>
      <c r="D131" s="94">
        <f t="shared" si="4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25">
      <c r="B132" s="93">
        <f>'Nach Mannschaften sortiert'!D132</f>
        <v>46323</v>
      </c>
      <c r="C132" s="94">
        <f>'Nach Mannschaften sortiert'!E132</f>
        <v>0.375</v>
      </c>
      <c r="D132" s="94">
        <f t="shared" si="4"/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25">
      <c r="B133" s="93">
        <f>'Nach Mannschaften sortiert'!D133</f>
        <v>46256</v>
      </c>
      <c r="C133" s="94">
        <f>'Nach Mannschaften sortiert'!E133</f>
        <v>0.375</v>
      </c>
      <c r="D133" s="94">
        <f t="shared" si="4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viele Gegner</v>
      </c>
      <c r="I133" t="str">
        <f>'Nach Mannschaften sortiert'!C133</f>
        <v>Turnier</v>
      </c>
      <c r="J133" s="82" t="s">
        <v>77</v>
      </c>
      <c r="K133" t="s">
        <v>80</v>
      </c>
      <c r="L133" t="s">
        <v>79</v>
      </c>
    </row>
    <row r="134" spans="2:12" x14ac:dyDescent="0.25">
      <c r="B134" s="93">
        <f>'Nach Mannschaften sortiert'!D134</f>
        <v>46367</v>
      </c>
      <c r="C134" s="94">
        <f>'Nach Mannschaften sortiert'!E134</f>
        <v>0.6875</v>
      </c>
      <c r="D134" s="94">
        <f t="shared" si="4"/>
        <v>0.8125</v>
      </c>
      <c r="E134" s="94" t="str">
        <f>UPPER('Nach Mannschaften sortiert'!F134)</f>
        <v>STEINBRUNN</v>
      </c>
      <c r="G134" t="str">
        <f>'Nach Mannschaften sortiert'!H134</f>
        <v>Heim</v>
      </c>
      <c r="H134" t="str">
        <f>'Nach Mannschaften sortiert'!G134</f>
        <v>Hallencup 2026_27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25">
      <c r="B135" s="93">
        <f>'Nach Mannschaften sortiert'!D135</f>
        <v>46368</v>
      </c>
      <c r="C135" s="94">
        <f>'Nach Mannschaften sortiert'!E135</f>
        <v>0.35416666666666669</v>
      </c>
      <c r="D135" s="94">
        <f t="shared" ref="D135:D141" si="5">IF(I135 = "KM",C135+"1:45",IF(I135="U23",C135+"1:45",IF(I135 = "U16",C135+"1:45",IF(I135 = "U15",C135+"1:30",IF(I135 = "U14",C135+"1:30",IF(I135 = "U13",C135+"1:35",IF(I135 = "U12",C135+"1:10",IF(I135 = "U11",C135+"1:10",IF(I135 = "U10",C135+"1:03",C135+"3:00")))))))))</f>
        <v>0.47916666666666669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25">
      <c r="B136" s="93">
        <f>'Nach Mannschaften sortiert'!D136</f>
        <v>46369</v>
      </c>
      <c r="C136" s="94">
        <f>'Nach Mannschaften sortiert'!E136</f>
        <v>0.375</v>
      </c>
      <c r="D136" s="94">
        <f t="shared" si="5"/>
        <v>0.5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25">
      <c r="B137" s="93">
        <f>'Nach Mannschaften sortiert'!D137</f>
        <v>46359</v>
      </c>
      <c r="C137" s="94">
        <f>'Nach Mannschaften sortiert'!E137</f>
        <v>0.70833333333333337</v>
      </c>
      <c r="D137" s="94">
        <f t="shared" si="5"/>
        <v>0.83333333333333337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Weihnachtsfeier 2026</v>
      </c>
      <c r="I137" t="str">
        <f>'Nach Mannschaften sortiert'!C137</f>
        <v>Weihnachtsfeier</v>
      </c>
      <c r="J137" s="82" t="s">
        <v>77</v>
      </c>
      <c r="K137" t="s">
        <v>80</v>
      </c>
      <c r="L137" t="s">
        <v>79</v>
      </c>
    </row>
    <row r="138" spans="2:12" x14ac:dyDescent="0.25">
      <c r="B138" s="93">
        <f>'Nach Mannschaften sortiert'!D138</f>
        <v>46402</v>
      </c>
      <c r="C138" s="94">
        <f>'Nach Mannschaften sortiert'!E138</f>
        <v>0.6875</v>
      </c>
      <c r="D138" s="94">
        <f t="shared" si="5"/>
        <v>0.8125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Hallencup 2026_27</v>
      </c>
      <c r="I138" t="str">
        <f>'Nach Mannschaften sortiert'!C138</f>
        <v>Turnier</v>
      </c>
      <c r="J138" s="82" t="s">
        <v>77</v>
      </c>
      <c r="K138" t="s">
        <v>80</v>
      </c>
      <c r="L138" t="s">
        <v>79</v>
      </c>
    </row>
    <row r="139" spans="2:12" x14ac:dyDescent="0.25">
      <c r="B139" s="93">
        <f>'Nach Mannschaften sortiert'!D139</f>
        <v>46403</v>
      </c>
      <c r="C139" s="94">
        <f>'Nach Mannschaften sortiert'!E139</f>
        <v>0.35416666666666669</v>
      </c>
      <c r="D139" s="94">
        <f t="shared" si="5"/>
        <v>0.47916666666666669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25">
      <c r="B140" s="93">
        <f>'Nach Mannschaften sortiert'!D140</f>
        <v>46404</v>
      </c>
      <c r="C140" s="94">
        <f>'Nach Mannschaften sortiert'!E140</f>
        <v>0.375</v>
      </c>
      <c r="D140" s="94">
        <f t="shared" si="5"/>
        <v>0.5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25">
      <c r="B141" s="93">
        <f>'Nach Mannschaften sortiert'!D141</f>
        <v>46291</v>
      </c>
      <c r="C141" s="94">
        <f>'Nach Mannschaften sortiert'!E141</f>
        <v>0.75</v>
      </c>
      <c r="D141" s="94">
        <f t="shared" si="5"/>
        <v>0.875</v>
      </c>
      <c r="E141" s="94" t="str">
        <f>UPPER('Nach Mannschaften sortiert'!F141)</f>
        <v>NEUFELD</v>
      </c>
      <c r="G141" t="str">
        <f>'Nach Mannschaften sortiert'!H141</f>
        <v>Heim</v>
      </c>
      <c r="H141" t="str">
        <f>'Nach Mannschaften sortiert'!G141</f>
        <v>Oktoberfest 2026</v>
      </c>
      <c r="I141" t="str">
        <f>'Nach Mannschaften sortiert'!C141</f>
        <v>Fest ASV Neufeld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abSelected="1" topLeftCell="A50" zoomScale="90" zoomScaleNormal="90" workbookViewId="0">
      <selection activeCell="H131" sqref="H131"/>
    </sheetView>
  </sheetViews>
  <sheetFormatPr baseColWidth="10" defaultRowHeight="15" x14ac:dyDescent="0.25"/>
  <cols>
    <col min="1" max="1" width="24.140625" style="54" bestFit="1" customWidth="1"/>
    <col min="2" max="2" width="31" style="100" bestFit="1" customWidth="1"/>
    <col min="3" max="3" width="19.28515625" style="95" customWidth="1"/>
    <col min="4" max="4" width="18.28515625" style="54" customWidth="1"/>
    <col min="5" max="5" width="33.140625" style="54" bestFit="1" customWidth="1"/>
    <col min="6" max="6" width="12.5703125" style="54" bestFit="1" customWidth="1"/>
    <col min="7" max="7" width="24.710937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703125" style="54" bestFit="1" customWidth="1"/>
  </cols>
  <sheetData>
    <row r="1" spans="1:11" ht="22.9" customHeight="1" x14ac:dyDescent="0.35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25">
      <c r="A2" s="57" t="str">
        <f>'ICS2'!I116</f>
        <v>U8</v>
      </c>
      <c r="B2" s="103">
        <f>'ICS2'!B116</f>
        <v>46092</v>
      </c>
      <c r="C2" s="104">
        <f>'ICS2'!C116</f>
        <v>0</v>
      </c>
      <c r="D2" s="57" t="str">
        <f>'ICS2'!E116</f>
        <v>STEINBRUNN</v>
      </c>
      <c r="E2" s="57" t="str">
        <f>'ICS2'!H116</f>
        <v>Turnier</v>
      </c>
      <c r="F2" s="57" t="str">
        <f>A2</f>
        <v>U8</v>
      </c>
      <c r="G2" s="57" t="str">
        <f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>IF(F2="KM","5",IF(F2="U23",5,IF(F2="U16","5",IF(F2="U15","5",IF(F2="U14","4",IF(F2="U13","4",IF(F2="U12_1","4",IF(F2="U12_2","4",IF(F2="U11","4",IF(F2="U10","4",IF(F2="U9","4","3")))))))))))</f>
        <v>3</v>
      </c>
      <c r="J2" s="57" t="str">
        <f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75" x14ac:dyDescent="0.25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>A3</f>
        <v>U15</v>
      </c>
      <c r="G3" s="57" t="str">
        <f>IF(F3="KM","Großfeld",IF(F3="U23","Großfeld",IF(F3="U16","Großfeld",IF(F3="U15","Großfeld",IF(F3="U14","Großfeld",IF(F3="U12_1","55*40",IF(F3="U12_2","55x40",IF(F3="U11","55x40",IF(F3="U10","40x25",IF(F3="U9","40x25",IF(F3="U8","29x22",IF(F3="U7","25x20","16x15"))))))))))))</f>
        <v>Großfeld</v>
      </c>
      <c r="H3" s="57" t="str">
        <f>IF(F3="KM","7,32x2,44",IF(F3="U23","7,32x2,44",IF(F3="U16","7,32x2,44",IF(F3="U15","7,32x2,44",IF(F3="U14","7,32x2,44",IF(F3="U13","5x2",IF(F3="U12_1","7,32x2,44",IF(F3="U12_2","7,32x2,44",IF(F3="U11","5x2",IF(F3="U10","5x2
",IF(F3="U9","5x2","4 Minitore")))))))))))</f>
        <v>7,32x2,44</v>
      </c>
      <c r="I3" s="57" t="str">
        <f>IF(F3="KM","5",IF(F3="U23",5,IF(F3="U16","5",IF(F3="U15","5",IF(F3="U14","4",IF(F3="U13","4",IF(F3="U12_1","4",IF(F3="U12_2","4",IF(F3="U11","4",IF(F3="U10","4",IF(F3="U9","4","3")))))))))))</f>
        <v>5</v>
      </c>
      <c r="J3" s="57" t="str">
        <f>IF(F3="KM","Pleninger Stefan &amp; Matthias Wachter",IF(F3="U23","Egzon Gentiani &amp; Dinges Stefan",IF(F3="U16","Serdar Ekinci &amp; Gernot Sevelda &amp; Hubi Oberhofer",IF(F3="U15","",IF(F3="U14","Christian Neckamm  &amp; Thomas Pöschl",IF(F3="U13","",IF(F3="U12_1","Tobias Berger &amp; Mario Magler",IF(F3="U12_2","Tobias Berger &amp; Mario Magler",IF(F3="U11","Christian Wirth",IF(F3="U10","Thomas Brandl",IF(F3="U9","Tobias Berger &amp; Sebastian Putric",IF(F3="U8","Ömer Türkes &amp; Taha Mahsumi",IF(F3="U7","Alexander Zax &amp; Jürgen Joszt",IF(F3="FKG","Ronny Archam &amp; Florian Rac",IF(A3="Camp","Berger Dieter",IF(A3="Turnier","Berger Dieter","FEHLER"))))))))))))))))</f>
        <v/>
      </c>
      <c r="K3" s="57" t="str">
        <f>IF(F3="KM","+43 664 415 99 09 &amp; +43 699 119 70 312",IF(F3="U23","+43 670 18 59 080 &amp; +43 664 451 22 16",IF(F3="U16","+43 690 104 20 129 &amp; +43 676 401 09 13 &amp; +43 699 181 68 504",IF(F3="U15","",IF(F3="U14","+43 699 192 49 527 &amp; +43 677 613 55 114",IF(F3="U13","",IF(F3="U12_1","+43 66 199 13 52 &amp;  +43 664 762 09 93",IF(F3="U12_2","+43 66 199 13 52 &amp;  +43 664 762 09 93",IF(F3="U11","+43 660 423 93 83",IF(F3="U10","+43 676 377 16 30",IF(F3="U9","+43 66 199 13 52 &amp;  +43 660 914 92 36",IF(F3="U8","+43 676 661 62 26 &amp;  +43 681 208 11 599",IF(F3="U7","+43 664 458 88 84 &amp;  +43 660 549 82 40",IF(F3="FKG","+43 699 111 93 828 &amp;  +43 660 600 25 06",IF(A3="Camp","+43 660 77 39 500",IF(A3="Turnier","+43 660 77 39 500","FEHLER"))))))))))))))))</f>
        <v/>
      </c>
    </row>
    <row r="4" spans="1:11" ht="15.75" x14ac:dyDescent="0.25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>A4</f>
        <v>U16</v>
      </c>
      <c r="G4" s="57" t="str">
        <f>IF(F4="KM","Großfeld",IF(F4="U23","Großfeld",IF(F4="U16","Großfeld",IF(F4="U15","Großfeld",IF(F4="U14","Großfeld",IF(F4="U12_1","55*40",IF(F4="U12_2","55x40",IF(F4="U11","55x40",IF(F4="U10","40x25",IF(F4="U9","40x25",IF(F4="U8","29x22",IF(F4="U7","25x20","16x15"))))))))))))</f>
        <v>Großfeld</v>
      </c>
      <c r="H4" s="57" t="str">
        <f>IF(F4="KM","7,32x2,44",IF(F4="U23","7,32x2,44",IF(F4="U16","7,32x2,44",IF(F4="U15","7,32x2,44",IF(F4="U14","7,32x2,44",IF(F4="U13","5x2",IF(F4="U12_1","7,32x2,44",IF(F4="U12_2","7,32x2,44",IF(F4="U11","5x2",IF(F4="U10","5x2
",IF(F4="U9","5x2","4 Minitore")))))))))))</f>
        <v>7,32x2,44</v>
      </c>
      <c r="I4" s="57" t="str">
        <f>IF(F4="KM","5",IF(F4="U23",5,IF(F4="U16","5",IF(F4="U15","5",IF(F4="U14","4",IF(F4="U13","4",IF(F4="U12_1","4",IF(F4="U12_2","4",IF(F4="U11","4",IF(F4="U10","4",IF(F4="U9","4","3")))))))))))</f>
        <v>5</v>
      </c>
      <c r="J4" s="57" t="str">
        <f>IF(F4="KM","Pleninger Stefan &amp; Matthias Wachter",IF(F4="U23","Egzon Gentiani &amp; Dinges Stefan",IF(F4="U16","Serdar Ekinci &amp; Gernot Sevelda &amp; Hubi Oberhofer",IF(F4="U15","",IF(F4="U14","Christian Neckamm  &amp; Thomas Pöschl",IF(F4="U13","",IF(F4="U12_1","Tobias Berger &amp; Mario Magler",IF(F4="U12_2","Tobias Berger &amp; Mario Magler",IF(F4="U11","Christian Wirth",IF(F4="U10","Thomas Brandl",IF(F4="U9","Tobias Berger &amp; Sebastian Putric",IF(F4="U8","Ömer Türkes &amp; Taha Mahsumi",IF(F4="U7","Alexander Zax &amp; Jürgen Joszt",IF(F4="FKG","Ronny Archam &amp; Florian Rac",IF(A4="Camp","Berger Dieter",IF(A4="Turnier","Berger Dieter","FEHLER"))))))))))))))))</f>
        <v>Serdar Ekinci &amp; Gernot Sevelda &amp; Hubi Oberhofer</v>
      </c>
      <c r="K4" s="57" t="str">
        <f>IF(F4="KM","+43 664 415 99 09 &amp; +43 699 119 70 312",IF(F4="U23","+43 670 18 59 080 &amp; +43 664 451 22 16",IF(F4="U16","+43 690 104 20 129 &amp; +43 676 401 09 13 &amp; +43 699 181 68 504",IF(F4="U15","",IF(F4="U14","+43 699 192 49 527 &amp; +43 677 613 55 114",IF(F4="U13","",IF(F4="U12_1","+43 66 199 13 52 &amp;  +43 664 762 09 93",IF(F4="U12_2","+43 66 199 13 52 &amp;  +43 664 762 09 93",IF(F4="U11","+43 660 423 93 83",IF(F4="U10","+43 676 377 16 30",IF(F4="U9","+43 66 199 13 52 &amp;  +43 660 914 92 36",IF(F4="U8","+43 676 661 62 26 &amp;  +43 681 208 11 599",IF(F4="U7","+43 664 458 88 84 &amp;  +43 660 549 82 40",IF(F4="FKG","+43 699 111 93 828 &amp;  +43 660 600 25 06",IF(A4="Camp","+43 660 77 39 500",IF(A4="Turnier","+43 660 77 39 500","FEHLER"))))))))))))))))</f>
        <v>+43 690 104 20 129 &amp; +43 676 401 09 13 &amp; +43 699 181 68 504</v>
      </c>
    </row>
    <row r="5" spans="1:11" ht="15.75" hidden="1" x14ac:dyDescent="0.25">
      <c r="A5" s="57" t="str">
        <f>'ICS2'!I122</f>
        <v>Camp</v>
      </c>
      <c r="B5" s="103">
        <f>'ICS2'!B122</f>
        <v>46230</v>
      </c>
      <c r="C5" s="104">
        <f>'ICS2'!C122</f>
        <v>0.375</v>
      </c>
      <c r="D5" s="57" t="str">
        <f>'ICS2'!E122</f>
        <v>NEUFELD</v>
      </c>
      <c r="E5" s="57" t="str">
        <f>'ICS2'!H122</f>
        <v>REAL MADRID CAMP</v>
      </c>
      <c r="F5" s="57" t="str">
        <f>A5</f>
        <v>Camp</v>
      </c>
      <c r="G5" s="57" t="str">
        <f>IF(F5="KM","Großfeld",IF(F5="U23","Großfeld",IF(F5="U16","Großfeld",IF(F5="U15","Großfeld",IF(F5="U14","Großfeld",IF(F5="U12_1","55*40",IF(F5="U12_2","55x40",IF(F5="U11","55x40",IF(F5="U10","40x25",IF(F5="U9","40x25",IF(F5="U8","29x22",IF(F5="U7","25x20","16x15"))))))))))))</f>
        <v>16x15</v>
      </c>
      <c r="H5" s="57" t="str">
        <f>IF(F5="KM","7,32x2,44",IF(F5="U23","7,32x2,44",IF(F5="U16","7,32x2,44",IF(F5="U15","7,32x2,44",IF(F5="U14","7,32x2,44",IF(F5="U13","5x2",IF(F5="U12_1","7,32x2,44",IF(F5="U12_2","7,32x2,44",IF(F5="U11","5x2",IF(F5="U10","5x2
",IF(F5="U9","5x2","4 Minitore")))))))))))</f>
        <v>4 Minitore</v>
      </c>
      <c r="I5" s="57" t="str">
        <f>IF(F5="KM","5",IF(F5="U23",5,IF(F5="U16","5",IF(F5="U15","5",IF(F5="U14","4",IF(F5="U13","4",IF(F5="U12_1","4",IF(F5="U12_2","4",IF(F5="U11","4",IF(F5="U10","4",IF(F5="U9","4","3")))))))))))</f>
        <v>3</v>
      </c>
      <c r="J5" s="57" t="str">
        <f>IF(F5="KM","Pleninger Stefan &amp; Matthias Wachter",IF(F5="U23","Egzon Gentiani &amp; Dinges Stefan",IF(F5="U16","Serdar Ekinci &amp; Gernot Sevelda &amp; Hubi Oberhofer",IF(F5="U15","",IF(F5="U14","Christian Neckamm  &amp; Thomas Pöschl",IF(F5="U13","",IF(F5="U12_1","Tobias Berger &amp; Mario Magler",IF(F5="U12_2","Tobias Berger &amp; Mario Magler",IF(F5="U11","Christian Wirth",IF(F5="U10","Thomas Brandl",IF(F5="U9","Tobias Berger &amp; Sebastian Putric",IF(F5="U8","Ömer Türkes &amp; Taha Mahsumi",IF(F5="U7","Alexander Zax &amp; Jürgen Joszt",IF(F5="FKG","Ronny Archam &amp; Florian Rac",IF(A5="Camp","Berger Dieter",IF(A5="Turnier","Berger Dieter","FEHLER"))))))))))))))))</f>
        <v>Berger Dieter</v>
      </c>
      <c r="K5" s="57" t="str">
        <f>IF(F5="KM","+43 664 415 99 09 &amp; +43 699 119 70 312",IF(F5="U23","+43 670 18 59 080 &amp; +43 664 451 22 16",IF(F5="U16","+43 690 104 20 129 &amp; +43 676 401 09 13 &amp; +43 699 181 68 504",IF(F5="U15","",IF(F5="U14","+43 699 192 49 527 &amp; +43 677 613 55 114",IF(F5="U13","",IF(F5="U12_1","+43 66 199 13 52 &amp;  +43 664 762 09 93",IF(F5="U12_2","+43 66 199 13 52 &amp;  +43 664 762 09 93",IF(F5="U11","+43 660 423 93 83",IF(F5="U10","+43 676 377 16 30",IF(F5="U9","+43 66 199 13 52 &amp;  +43 660 914 92 36",IF(F5="U8","+43 676 661 62 26 &amp;  +43 681 208 11 599",IF(F5="U7","+43 664 458 88 84 &amp;  +43 660 549 82 40",IF(F5="FKG","+43 699 111 93 828 &amp;  +43 660 600 25 06",IF(A5="Camp","+43 660 77 39 500",IF(A5="Turnier","+43 660 77 39 500","FEHLER"))))))))))))))))</f>
        <v>+43 660 77 39 500</v>
      </c>
    </row>
    <row r="6" spans="1:11" ht="15.75" hidden="1" x14ac:dyDescent="0.25">
      <c r="A6" s="57" t="str">
        <f>'ICS2'!I123</f>
        <v>Camp</v>
      </c>
      <c r="B6" s="103">
        <f>'ICS2'!B123</f>
        <v>46231</v>
      </c>
      <c r="C6" s="104">
        <f>'ICS2'!C123</f>
        <v>0.375</v>
      </c>
      <c r="D6" s="57" t="str">
        <f>'ICS2'!E123</f>
        <v>NEUFELD</v>
      </c>
      <c r="E6" s="57" t="str">
        <f>'ICS2'!H123</f>
        <v>REAL MADRID CAMP</v>
      </c>
      <c r="F6" s="57" t="str">
        <f>A6</f>
        <v>Camp</v>
      </c>
      <c r="G6" s="57" t="str">
        <f>IF(F6="KM","Großfeld",IF(F6="U23","Großfeld",IF(F6="U16","Großfeld",IF(F6="U15","Großfeld",IF(F6="U14","Großfeld",IF(F6="U12_1","55*40",IF(F6="U12_2","55x40",IF(F6="U11","55x40",IF(F6="U10","40x25",IF(F6="U9","40x25",IF(F6="U8","29x22",IF(F6="U7","25x20","16x15"))))))))))))</f>
        <v>16x15</v>
      </c>
      <c r="H6" s="57" t="str">
        <f>IF(F6="KM","7,32x2,44",IF(F6="U23","7,32x2,44",IF(F6="U16","7,32x2,44",IF(F6="U15","7,32x2,44",IF(F6="U14","7,32x2,44",IF(F6="U13","5x2",IF(F6="U12_1","7,32x2,44",IF(F6="U12_2","7,32x2,44",IF(F6="U11","5x2",IF(F6="U10","5x2
",IF(F6="U9","5x2","4 Minitore")))))))))))</f>
        <v>4 Minitore</v>
      </c>
      <c r="I6" s="57" t="str">
        <f>IF(F6="KM","5",IF(F6="U23",5,IF(F6="U16","5",IF(F6="U15","5",IF(F6="U14","4",IF(F6="U13","4",IF(F6="U12_1","4",IF(F6="U12_2","4",IF(F6="U11","4",IF(F6="U10","4",IF(F6="U9","4","3")))))))))))</f>
        <v>3</v>
      </c>
      <c r="J6" s="57" t="str">
        <f>IF(F6="KM","Pleninger Stefan &amp; Matthias Wachter",IF(F6="U23","Egzon Gentiani &amp; Dinges Stefan",IF(F6="U16","Serdar Ekinci &amp; Gernot Sevelda &amp; Hubi Oberhofer",IF(F6="U15","",IF(F6="U14","Christian Neckamm  &amp; Thomas Pöschl",IF(F6="U13","",IF(F6="U12_1","Tobias Berger &amp; Mario Magler",IF(F6="U12_2","Tobias Berger &amp; Mario Magler",IF(F6="U11","Christian Wirth",IF(F6="U10","Thomas Brandl",IF(F6="U9","Tobias Berger &amp; Sebastian Putric",IF(F6="U8","Ömer Türkes &amp; Taha Mahsumi",IF(F6="U7","Alexander Zax &amp; Jürgen Joszt",IF(F6="FKG","Ronny Archam &amp; Florian Rac",IF(A6="Camp","Berger Dieter",IF(A6="Turnier","Berger Dieter","FEHLER"))))))))))))))))</f>
        <v>Berger Dieter</v>
      </c>
      <c r="K6" s="57" t="str">
        <f>IF(F6="KM","+43 664 415 99 09 &amp; +43 699 119 70 312",IF(F6="U23","+43 670 18 59 080 &amp; +43 664 451 22 16",IF(F6="U16","+43 690 104 20 129 &amp; +43 676 401 09 13 &amp; +43 699 181 68 504",IF(F6="U15","",IF(F6="U14","+43 699 192 49 527 &amp; +43 677 613 55 114",IF(F6="U13","",IF(F6="U12_1","+43 66 199 13 52 &amp;  +43 664 762 09 93",IF(F6="U12_2","+43 66 199 13 52 &amp;  +43 664 762 09 93",IF(F6="U11","+43 660 423 93 83",IF(F6="U10","+43 676 377 16 30",IF(F6="U9","+43 66 199 13 52 &amp;  +43 660 914 92 36",IF(F6="U8","+43 676 661 62 26 &amp;  +43 681 208 11 599",IF(F6="U7","+43 664 458 88 84 &amp;  +43 660 549 82 40",IF(F6="FKG","+43 699 111 93 828 &amp;  +43 660 600 25 06",IF(A6="Camp","+43 660 77 39 500",IF(A6="Turnier","+43 660 77 39 500","FEHLER"))))))))))))))))</f>
        <v>+43 660 77 39 500</v>
      </c>
    </row>
    <row r="7" spans="1:11" ht="15.75" hidden="1" x14ac:dyDescent="0.25">
      <c r="A7" s="57" t="str">
        <f>'ICS2'!I124</f>
        <v>Camp</v>
      </c>
      <c r="B7" s="103">
        <f>'ICS2'!B124</f>
        <v>46232</v>
      </c>
      <c r="C7" s="104">
        <f>'ICS2'!C124</f>
        <v>0.375</v>
      </c>
      <c r="D7" s="57" t="str">
        <f>'ICS2'!E124</f>
        <v>NEUFELD</v>
      </c>
      <c r="E7" s="57" t="str">
        <f>'ICS2'!H124</f>
        <v>REAL MADRID CAMP</v>
      </c>
      <c r="F7" s="57" t="str">
        <f>A7</f>
        <v>Camp</v>
      </c>
      <c r="G7" s="57" t="str">
        <f>IF(F7="KM","Großfeld",IF(F7="U23","Großfeld",IF(F7="U16","Großfeld",IF(F7="U15","Großfeld",IF(F7="U14","Großfeld",IF(F7="U12_1","55*40",IF(F7="U12_2","55x40",IF(F7="U11","55x40",IF(F7="U10","40x25",IF(F7="U9","40x25",IF(F7="U8","29x22",IF(F7="U7","25x20","16x15"))))))))))))</f>
        <v>16x15</v>
      </c>
      <c r="H7" s="57" t="str">
        <f>IF(F7="KM","7,32x2,44",IF(F7="U23","7,32x2,44",IF(F7="U16","7,32x2,44",IF(F7="U15","7,32x2,44",IF(F7="U14","7,32x2,44",IF(F7="U13","5x2",IF(F7="U12_1","7,32x2,44",IF(F7="U12_2","7,32x2,44",IF(F7="U11","5x2",IF(F7="U10","5x2
",IF(F7="U9","5x2","4 Minitore")))))))))))</f>
        <v>4 Minitore</v>
      </c>
      <c r="I7" s="57" t="str">
        <f>IF(F7="KM","5",IF(F7="U23",5,IF(F7="U16","5",IF(F7="U15","5",IF(F7="U14","4",IF(F7="U13","4",IF(F7="U12_1","4",IF(F7="U12_2","4",IF(F7="U11","4",IF(F7="U10","4",IF(F7="U9","4","3")))))))))))</f>
        <v>3</v>
      </c>
      <c r="J7" s="57" t="str">
        <f>IF(F7="KM","Pleninger Stefan &amp; Matthias Wachter",IF(F7="U23","Egzon Gentiani &amp; Dinges Stefan",IF(F7="U16","Serdar Ekinci &amp; Gernot Sevelda &amp; Hubi Oberhofer",IF(F7="U15","",IF(F7="U14","Christian Neckamm  &amp; Thomas Pöschl",IF(F7="U13","",IF(F7="U12_1","Tobias Berger &amp; Mario Magler",IF(F7="U12_2","Tobias Berger &amp; Mario Magler",IF(F7="U11","Christian Wirth",IF(F7="U10","Thomas Brandl",IF(F7="U9","Tobias Berger &amp; Sebastian Putric",IF(F7="U8","Ömer Türkes &amp; Taha Mahsumi",IF(F7="U7","Alexander Zax &amp; Jürgen Joszt",IF(F7="FKG","Ronny Archam &amp; Florian Rac",IF(A7="Camp","Berger Dieter",IF(A7="Turnier","Berger Dieter","FEHLER"))))))))))))))))</f>
        <v>Berger Dieter</v>
      </c>
      <c r="K7" s="57" t="str">
        <f>IF(F7="KM","+43 664 415 99 09 &amp; +43 699 119 70 312",IF(F7="U23","+43 670 18 59 080 &amp; +43 664 451 22 16",IF(F7="U16","+43 690 104 20 129 &amp; +43 676 401 09 13 &amp; +43 699 181 68 504",IF(F7="U15","",IF(F7="U14","+43 699 192 49 527 &amp; +43 677 613 55 114",IF(F7="U13","",IF(F7="U12_1","+43 66 199 13 52 &amp;  +43 664 762 09 93",IF(F7="U12_2","+43 66 199 13 52 &amp;  +43 664 762 09 93",IF(F7="U11","+43 660 423 93 83",IF(F7="U10","+43 676 377 16 30",IF(F7="U9","+43 66 199 13 52 &amp;  +43 660 914 92 36",IF(F7="U8","+43 676 661 62 26 &amp;  +43 681 208 11 599",IF(F7="U7","+43 664 458 88 84 &amp;  +43 660 549 82 40",IF(F7="FKG","+43 699 111 93 828 &amp;  +43 660 600 25 06",IF(A7="Camp","+43 660 77 39 500",IF(A7="Turnier","+43 660 77 39 500","FEHLER"))))))))))))))))</f>
        <v>+43 660 77 39 500</v>
      </c>
    </row>
    <row r="8" spans="1:11" ht="15.75" hidden="1" x14ac:dyDescent="0.25">
      <c r="A8" s="57" t="str">
        <f>'ICS2'!I125</f>
        <v>Camp</v>
      </c>
      <c r="B8" s="103">
        <f>'ICS2'!B125</f>
        <v>46233</v>
      </c>
      <c r="C8" s="104">
        <f>'ICS2'!C125</f>
        <v>0.375</v>
      </c>
      <c r="D8" s="57" t="str">
        <f>'ICS2'!E125</f>
        <v>NEUFELD</v>
      </c>
      <c r="E8" s="57" t="str">
        <f>'ICS2'!H125</f>
        <v>REAL MADRID CAMP</v>
      </c>
      <c r="F8" s="57" t="str">
        <f>A8</f>
        <v>Camp</v>
      </c>
      <c r="G8" s="57" t="str">
        <f>IF(F8="KM","Großfeld",IF(F8="U23","Großfeld",IF(F8="U16","Großfeld",IF(F8="U15","Großfeld",IF(F8="U14","Großfeld",IF(F8="U12_1","55*40",IF(F8="U12_2","55x40",IF(F8="U11","55x40",IF(F8="U10","40x25",IF(F8="U9","40x25",IF(F8="U8","29x22",IF(F8="U7","25x20","16x15"))))))))))))</f>
        <v>16x15</v>
      </c>
      <c r="H8" s="57" t="str">
        <f>IF(F8="KM","7,32x2,44",IF(F8="U23","7,32x2,44",IF(F8="U16","7,32x2,44",IF(F8="U15","7,32x2,44",IF(F8="U14","7,32x2,44",IF(F8="U13","5x2",IF(F8="U12_1","7,32x2,44",IF(F8="U12_2","7,32x2,44",IF(F8="U11","5x2",IF(F8="U10","5x2
",IF(F8="U9","5x2","4 Minitore")))))))))))</f>
        <v>4 Minitore</v>
      </c>
      <c r="I8" s="57" t="str">
        <f>IF(F8="KM","5",IF(F8="U23",5,IF(F8="U16","5",IF(F8="U15","5",IF(F8="U14","4",IF(F8="U13","4",IF(F8="U12_1","4",IF(F8="U12_2","4",IF(F8="U11","4",IF(F8="U10","4",IF(F8="U9","4","3")))))))))))</f>
        <v>3</v>
      </c>
      <c r="J8" s="57" t="str">
        <f>IF(F8="KM","Pleninger Stefan &amp; Matthias Wachter",IF(F8="U23","Egzon Gentiani &amp; Dinges Stefan",IF(F8="U16","Serdar Ekinci &amp; Gernot Sevelda &amp; Hubi Oberhofer",IF(F8="U15","",IF(F8="U14","Christian Neckamm  &amp; Thomas Pöschl",IF(F8="U13","",IF(F8="U12_1","Tobias Berger &amp; Mario Magler",IF(F8="U12_2","Tobias Berger &amp; Mario Magler",IF(F8="U11","Christian Wirth",IF(F8="U10","Thomas Brandl",IF(F8="U9","Tobias Berger &amp; Sebastian Putric",IF(F8="U8","Ömer Türkes &amp; Taha Mahsumi",IF(F8="U7","Alexander Zax &amp; Jürgen Joszt",IF(F8="FKG","Ronny Archam &amp; Florian Rac",IF(A8="Camp","Berger Dieter",IF(A8="Turnier","Berger Dieter","FEHLER"))))))))))))))))</f>
        <v>Berger Dieter</v>
      </c>
      <c r="K8" s="57" t="str">
        <f>IF(F8="KM","+43 664 415 99 09 &amp; +43 699 119 70 312",IF(F8="U23","+43 670 18 59 080 &amp; +43 664 451 22 16",IF(F8="U16","+43 690 104 20 129 &amp; +43 676 401 09 13 &amp; +43 699 181 68 504",IF(F8="U15","",IF(F8="U14","+43 699 192 49 527 &amp; +43 677 613 55 114",IF(F8="U13","",IF(F8="U12_1","+43 66 199 13 52 &amp;  +43 664 762 09 93",IF(F8="U12_2","+43 66 199 13 52 &amp;  +43 664 762 09 93",IF(F8="U11","+43 660 423 93 83",IF(F8="U10","+43 676 377 16 30",IF(F8="U9","+43 66 199 13 52 &amp;  +43 660 914 92 36",IF(F8="U8","+43 676 661 62 26 &amp;  +43 681 208 11 599",IF(F8="U7","+43 664 458 88 84 &amp;  +43 660 549 82 40",IF(F8="FKG","+43 699 111 93 828 &amp;  +43 660 600 25 06",IF(A8="Camp","+43 660 77 39 500",IF(A8="Turnier","+43 660 77 39 500","FEHLER"))))))))))))))))</f>
        <v>+43 660 77 39 500</v>
      </c>
    </row>
    <row r="9" spans="1:11" ht="15.75" hidden="1" x14ac:dyDescent="0.25">
      <c r="A9" s="57" t="str">
        <f>'ICS2'!I126</f>
        <v>Camp</v>
      </c>
      <c r="B9" s="103">
        <f>'ICS2'!B126</f>
        <v>46234</v>
      </c>
      <c r="C9" s="104">
        <f>'ICS2'!C126</f>
        <v>0.375</v>
      </c>
      <c r="D9" s="57" t="str">
        <f>'ICS2'!E126</f>
        <v>NEUFELD</v>
      </c>
      <c r="E9" s="57" t="str">
        <f>'ICS2'!H126</f>
        <v>REAL MADRID CAMP</v>
      </c>
      <c r="F9" s="57" t="str">
        <f>A9</f>
        <v>Camp</v>
      </c>
      <c r="G9" s="57" t="str">
        <f>IF(F9="KM","Großfeld",IF(F9="U23","Großfeld",IF(F9="U16","Großfeld",IF(F9="U15","Großfeld",IF(F9="U14","Großfeld",IF(F9="U12_1","55*40",IF(F9="U12_2","55x40",IF(F9="U11","55x40",IF(F9="U10","40x25",IF(F9="U9","40x25",IF(F9="U8","29x22",IF(F9="U7","25x20","16x15"))))))))))))</f>
        <v>16x15</v>
      </c>
      <c r="H9" s="57" t="str">
        <f>IF(F9="KM","7,32x2,44",IF(F9="U23","7,32x2,44",IF(F9="U16","7,32x2,44",IF(F9="U15","7,32x2,44",IF(F9="U14","7,32x2,44",IF(F9="U13","5x2",IF(F9="U12_1","7,32x2,44",IF(F9="U12_2","7,32x2,44",IF(F9="U11","5x2",IF(F9="U10","5x2
",IF(F9="U9","5x2","4 Minitore")))))))))))</f>
        <v>4 Minitore</v>
      </c>
      <c r="I9" s="57" t="str">
        <f>IF(F9="KM","5",IF(F9="U23",5,IF(F9="U16","5",IF(F9="U15","5",IF(F9="U14","4",IF(F9="U13","4",IF(F9="U12_1","4",IF(F9="U12_2","4",IF(F9="U11","4",IF(F9="U10","4",IF(F9="U9","4","3")))))))))))</f>
        <v>3</v>
      </c>
      <c r="J9" s="57" t="str">
        <f>IF(F9="KM","Pleninger Stefan &amp; Matthias Wachter",IF(F9="U23","Egzon Gentiani &amp; Dinges Stefan",IF(F9="U16","Serdar Ekinci &amp; Gernot Sevelda &amp; Hubi Oberhofer",IF(F9="U15","",IF(F9="U14","Christian Neckamm  &amp; Thomas Pöschl",IF(F9="U13","",IF(F9="U12_1","Tobias Berger &amp; Mario Magler",IF(F9="U12_2","Tobias Berger &amp; Mario Magler",IF(F9="U11","Christian Wirth",IF(F9="U10","Thomas Brandl",IF(F9="U9","Tobias Berger &amp; Sebastian Putric",IF(F9="U8","Ömer Türkes &amp; Taha Mahsumi",IF(F9="U7","Alexander Zax &amp; Jürgen Joszt",IF(F9="FKG","Ronny Archam &amp; Florian Rac",IF(A9="Camp","Berger Dieter",IF(A9="Turnier","Berger Dieter","FEHLER"))))))))))))))))</f>
        <v>Berger Dieter</v>
      </c>
      <c r="K9" s="57" t="str">
        <f>IF(F9="KM","+43 664 415 99 09 &amp; +43 699 119 70 312",IF(F9="U23","+43 670 18 59 080 &amp; +43 664 451 22 16",IF(F9="U16","+43 690 104 20 129 &amp; +43 676 401 09 13 &amp; +43 699 181 68 504",IF(F9="U15","",IF(F9="U14","+43 699 192 49 527 &amp; +43 677 613 55 114",IF(F9="U13","",IF(F9="U12_1","+43 66 199 13 52 &amp;  +43 664 762 09 93",IF(F9="U12_2","+43 66 199 13 52 &amp;  +43 664 762 09 93",IF(F9="U11","+43 660 423 93 83",IF(F9="U10","+43 676 377 16 30",IF(F9="U9","+43 66 199 13 52 &amp;  +43 660 914 92 36",IF(F9="U8","+43 676 661 62 26 &amp;  +43 681 208 11 599",IF(F9="U7","+43 664 458 88 84 &amp;  +43 660 549 82 40",IF(F9="FKG","+43 699 111 93 828 &amp;  +43 660 600 25 06",IF(A9="Camp","+43 660 77 39 500",IF(A9="Turnier","+43 660 77 39 500","FEHLER"))))))))))))))))</f>
        <v>+43 660 77 39 500</v>
      </c>
    </row>
    <row r="10" spans="1:11" ht="15.75" x14ac:dyDescent="0.25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>A10</f>
        <v>U16</v>
      </c>
      <c r="G10" s="57" t="str">
        <f>IF(F10="KM","Großfeld",IF(F10="U23","Großfeld",IF(F10="U16","Großfeld",IF(F10="U15","Großfeld",IF(F10="U14","Großfeld",IF(F10="U12_1","55*40",IF(F10="U12_2","55x40",IF(F10="U11","55x40",IF(F10="U10","40x25",IF(F10="U9","40x25",IF(F10="U8","29x22",IF(F10="U7","25x20","16x15"))))))))))))</f>
        <v>Großfeld</v>
      </c>
      <c r="H10" s="57" t="str">
        <f>IF(F10="KM","7,32x2,44",IF(F10="U23","7,32x2,44",IF(F10="U16","7,32x2,44",IF(F10="U15","7,32x2,44",IF(F10="U14","7,32x2,44",IF(F10="U13","5x2",IF(F10="U12_1","7,32x2,44",IF(F10="U12_2","7,32x2,44",IF(F10="U11","5x2",IF(F10="U10","5x2
",IF(F10="U9","5x2","4 Minitore")))))))))))</f>
        <v>7,32x2,44</v>
      </c>
      <c r="I10" s="57" t="str">
        <f>IF(F10="KM","5",IF(F10="U23",5,IF(F10="U16","5",IF(F10="U15","5",IF(F10="U14","4",IF(F10="U13","4",IF(F10="U12_1","4",IF(F10="U12_2","4",IF(F10="U11","4",IF(F10="U10","4",IF(F10="U9","4","3")))))))))))</f>
        <v>5</v>
      </c>
      <c r="J10" s="57" t="str">
        <f>IF(F10="KM","Pleninger Stefan &amp; Matthias Wachter",IF(F10="U23","Egzon Gentiani &amp; Dinges Stefan",IF(F10="U16","Serdar Ekinci &amp; Gernot Sevelda &amp; Hubi Oberhofer",IF(F10="U15","",IF(F10="U14","Christian Neckamm  &amp; Thomas Pöschl",IF(F10="U13","",IF(F10="U12_1","Tobias Berger &amp; Mario Magler",IF(F10="U12_2","Tobias Berger &amp; Mario Magler",IF(F10="U11","Christian Wirth",IF(F10="U10","Thomas Brandl",IF(F10="U9","Tobias Berger &amp; Sebastian Putric",IF(F10="U8","Ömer Türkes &amp; Taha Mahsumi",IF(F10="U7","Alexander Zax &amp; Jürgen Joszt",IF(F10="FKG","Ronny Archam &amp; Florian Rac",IF(A10="Camp","Berger Dieter",IF(A10="Turnier","Berger Dieter","FEHLER"))))))))))))))))</f>
        <v>Serdar Ekinci &amp; Gernot Sevelda &amp; Hubi Oberhofer</v>
      </c>
      <c r="K10" s="57" t="str">
        <f>IF(F10="KM","+43 664 415 99 09 &amp; +43 699 119 70 312",IF(F10="U23","+43 670 18 59 080 &amp; +43 664 451 22 16",IF(F10="U16","+43 690 104 20 129 &amp; +43 676 401 09 13 &amp; +43 699 181 68 504",IF(F10="U15","",IF(F10="U14","+43 699 192 49 527 &amp; +43 677 613 55 114",IF(F10="U13","",IF(F10="U12_1","+43 66 199 13 52 &amp;  +43 664 762 09 93",IF(F10="U12_2","+43 66 199 13 52 &amp;  +43 664 762 09 93",IF(F10="U11","+43 660 423 93 83",IF(F10="U10","+43 676 377 16 30",IF(F10="U9","+43 66 199 13 52 &amp;  +43 660 914 92 36",IF(F10="U8","+43 676 661 62 26 &amp;  +43 681 208 11 599",IF(F10="U7","+43 664 458 88 84 &amp;  +43 660 549 82 40",IF(F10="FKG","+43 699 111 93 828 &amp;  +43 660 600 25 06",IF(A10="Camp","+43 660 77 39 500",IF(A10="Turnier","+43 660 77 39 500","FEHLER"))))))))))))))))</f>
        <v>+43 690 104 20 129 &amp; +43 676 401 09 13 &amp; +43 699 181 68 504</v>
      </c>
    </row>
    <row r="11" spans="1:11" ht="15.75" hidden="1" x14ac:dyDescent="0.25">
      <c r="A11" s="57" t="str">
        <f>'ICS2'!I127</f>
        <v>Camp</v>
      </c>
      <c r="B11" s="103">
        <f>'ICS2'!B127</f>
        <v>46237</v>
      </c>
      <c r="C11" s="104">
        <f>'ICS2'!C127</f>
        <v>0.375</v>
      </c>
      <c r="D11" s="57" t="str">
        <f>'ICS2'!E127</f>
        <v>NEUFELD</v>
      </c>
      <c r="E11" s="57" t="str">
        <f>'ICS2'!H127</f>
        <v>MÄDCHENCAMP</v>
      </c>
      <c r="F11" s="57" t="str">
        <f>A11</f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>IF(F11="KM","Pleninger Stefan &amp; Matthias Wachter",IF(F11="U23","Egzon Gentiani &amp; Dinges Stefan",IF(F11="U16","Serdar Ekinci &amp; Gernot Sevelda &amp; Hubi Oberhofer",IF(F11="U15","",IF(F11="U14","Christian Neckamm  &amp; Thomas Pöschl",IF(F11="U13","",IF(F11="U12_1","Tobias Berger &amp; Mario Magler",IF(F11="U12_2","Tobias Berger &amp; Mario Magler",IF(F11="U11","Christian Wirth",IF(F11="U10","Thomas Brandl",IF(F11="U9","Tobias Berger &amp; Sebastian Putric",IF(F11="U8","Ömer Türkes &amp; Taha Mahsumi",IF(F11="U7","Alexander Zax &amp; Jürgen Joszt",IF(F11="FKG","Ronny Archam &amp; Florian Rac",IF(A11="Camp","Berger Dieter",IF(A11="Turnier","Berger Dieter","FEHLER"))))))))))))))))</f>
        <v>Berger Dieter</v>
      </c>
      <c r="K11" s="57" t="str">
        <f>IF(F11="KM","+43 664 415 99 09 &amp; +43 699 119 70 312",IF(F11="U23","+43 670 18 59 080 &amp; +43 664 451 22 16",IF(F11="U16","+43 690 104 20 129 &amp; +43 676 401 09 13 &amp; +43 699 181 68 504",IF(F11="U15","",IF(F11="U14","+43 699 192 49 527 &amp; +43 677 613 55 114",IF(F11="U13","",IF(F11="U12_1","+43 66 199 13 52 &amp;  +43 664 762 09 93",IF(F11="U12_2","+43 66 199 13 52 &amp;  +43 664 762 09 93",IF(F11="U11","+43 660 423 93 83",IF(F11="U10","+43 676 377 16 30",IF(F11="U9","+43 66 199 13 52 &amp;  +43 660 914 92 36",IF(F11="U8","+43 676 661 62 26 &amp;  +43 681 208 11 599",IF(F11="U7","+43 664 458 88 84 &amp;  +43 660 549 82 40",IF(F11="FKG","+43 699 111 93 828 &amp;  +43 660 600 25 06",IF(A11="Camp","+43 660 77 39 500",IF(A11="Turnier","+43 660 77 39 500","FEHLER"))))))))))))))))</f>
        <v>+43 660 77 39 500</v>
      </c>
    </row>
    <row r="12" spans="1:11" ht="15.75" hidden="1" x14ac:dyDescent="0.25">
      <c r="A12" s="57" t="str">
        <f>'ICS2'!I128</f>
        <v>Camp</v>
      </c>
      <c r="B12" s="103">
        <f>'ICS2'!B128</f>
        <v>46238</v>
      </c>
      <c r="C12" s="104">
        <f>'ICS2'!C128</f>
        <v>0.375</v>
      </c>
      <c r="D12" s="57" t="str">
        <f>'ICS2'!E128</f>
        <v>NEUFELD</v>
      </c>
      <c r="E12" s="57" t="str">
        <f>'ICS2'!H128</f>
        <v>MÄDCHENCAMP</v>
      </c>
      <c r="F12" s="57" t="str">
        <f>A12</f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>IF(F12="KM","Pleninger Stefan &amp; Matthias Wachter",IF(F12="U23","Egzon Gentiani &amp; Dinges Stefan",IF(F12="U16","Serdar Ekinci &amp; Gernot Sevelda &amp; Hubi Oberhofer",IF(F12="U15","",IF(F12="U14","Christian Neckamm  &amp; Thomas Pöschl",IF(F12="U13","",IF(F12="U12_1","Tobias Berger &amp; Mario Magler",IF(F12="U12_2","Tobias Berger &amp; Mario Magler",IF(F12="U11","Christian Wirth",IF(F12="U10","Thomas Brandl",IF(F12="U9","Tobias Berger &amp; Sebastian Putric",IF(F12="U8","Ömer Türkes &amp; Taha Mahsumi",IF(F12="U7","Alexander Zax &amp; Jürgen Joszt",IF(F12="FKG","Ronny Archam &amp; Florian Rac",IF(A12="Camp","Berger Dieter",IF(A12="Turnier","Berger Dieter","FEHLER"))))))))))))))))</f>
        <v>Berger Dieter</v>
      </c>
      <c r="K12" s="57" t="str">
        <f>IF(F12="KM","+43 664 415 99 09 &amp; +43 699 119 70 312",IF(F12="U23","+43 670 18 59 080 &amp; +43 664 451 22 16",IF(F12="U16","+43 690 104 20 129 &amp; +43 676 401 09 13 &amp; +43 699 181 68 504",IF(F12="U15","",IF(F12="U14","+43 699 192 49 527 &amp; +43 677 613 55 114",IF(F12="U13","",IF(F12="U12_1","+43 66 199 13 52 &amp;  +43 664 762 09 93",IF(F12="U12_2","+43 66 199 13 52 &amp;  +43 664 762 09 93",IF(F12="U11","+43 660 423 93 83",IF(F12="U10","+43 676 377 16 30",IF(F12="U9","+43 66 199 13 52 &amp;  +43 660 914 92 36",IF(F12="U8","+43 676 661 62 26 &amp;  +43 681 208 11 599",IF(F12="U7","+43 664 458 88 84 &amp;  +43 660 549 82 40",IF(F12="FKG","+43 699 111 93 828 &amp;  +43 660 600 25 06",IF(A12="Camp","+43 660 77 39 500",IF(A12="Turnier","+43 660 77 39 500","FEHLER"))))))))))))))))</f>
        <v>+43 660 77 39 500</v>
      </c>
    </row>
    <row r="13" spans="1:11" ht="15.75" hidden="1" x14ac:dyDescent="0.25">
      <c r="A13" s="57" t="str">
        <f>'ICS2'!I129</f>
        <v>Camp</v>
      </c>
      <c r="B13" s="103">
        <f>'ICS2'!B129</f>
        <v>46239</v>
      </c>
      <c r="C13" s="104">
        <f>'ICS2'!C129</f>
        <v>0.375</v>
      </c>
      <c r="D13" s="57" t="str">
        <f>'ICS2'!E129</f>
        <v>NEUFELD</v>
      </c>
      <c r="E13" s="57" t="str">
        <f>'ICS2'!H129</f>
        <v>MÄDCHENCAMP</v>
      </c>
      <c r="F13" s="57" t="str">
        <f>A13</f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>IF(F13="KM","Pleninger Stefan &amp; Matthias Wachter",IF(F13="U23","Egzon Gentiani &amp; Dinges Stefan",IF(F13="U16","Serdar Ekinci &amp; Gernot Sevelda &amp; Hubi Oberhofer",IF(F13="U15","",IF(F13="U14","Christian Neckamm  &amp; Thomas Pöschl",IF(F13="U13","",IF(F13="U12_1","Tobias Berger &amp; Mario Magler",IF(F13="U12_2","Tobias Berger &amp; Mario Magler",IF(F13="U11","Christian Wirth",IF(F13="U10","Thomas Brandl",IF(F13="U9","Tobias Berger &amp; Sebastian Putric",IF(F13="U8","Ömer Türkes &amp; Taha Mahsumi",IF(F13="U7","Alexander Zax &amp; Jürgen Joszt",IF(F13="FKG","Ronny Archam &amp; Florian Rac",IF(A13="Camp","Berger Dieter",IF(A13="Turnier","Berger Dieter","FEHLER"))))))))))))))))</f>
        <v>Berger Dieter</v>
      </c>
      <c r="K13" s="57" t="str">
        <f>IF(F13="KM","+43 664 415 99 09 &amp; +43 699 119 70 312",IF(F13="U23","+43 670 18 59 080 &amp; +43 664 451 22 16",IF(F13="U16","+43 690 104 20 129 &amp; +43 676 401 09 13 &amp; +43 699 181 68 504",IF(F13="U15","",IF(F13="U14","+43 699 192 49 527 &amp; +43 677 613 55 114",IF(F13="U13","",IF(F13="U12_1","+43 66 199 13 52 &amp;  +43 664 762 09 93",IF(F13="U12_2","+43 66 199 13 52 &amp;  +43 664 762 09 93",IF(F13="U11","+43 660 423 93 83",IF(F13="U10","+43 676 377 16 30",IF(F13="U9","+43 66 199 13 52 &amp;  +43 660 914 92 36",IF(F13="U8","+43 676 661 62 26 &amp;  +43 681 208 11 599",IF(F13="U7","+43 664 458 88 84 &amp;  +43 660 549 82 40",IF(F13="FKG","+43 699 111 93 828 &amp;  +43 660 600 25 06",IF(A13="Camp","+43 660 77 39 500",IF(A13="Turnier","+43 660 77 39 500","FEHLER"))))))))))))))))</f>
        <v>+43 660 77 39 500</v>
      </c>
    </row>
    <row r="14" spans="1:11" ht="15.75" hidden="1" x14ac:dyDescent="0.25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>A14</f>
        <v>KM</v>
      </c>
      <c r="G14" s="57" t="str">
        <f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>IF(F14="KM","5",IF(F14="U23",5,IF(F14="U16","5",IF(F14="U15","5",IF(F14="U14","4",IF(F14="U13","4",IF(F14="U12_1","4",IF(F14="U12_2","4",IF(F14="U11","4",IF(F14="U10","4",IF(F14="U9","4","3")))))))))))</f>
        <v>5</v>
      </c>
      <c r="J14" s="57" t="str">
        <f>IF(F14="KM","Pleninger Stefan &amp; Matthias Wachter",IF(F14="U23","Egzon Gentiani &amp; Dinges Stefan",IF(F14="U16","Serdar Ekinci &amp; Gernot Sevelda &amp; Hubi Oberhofer",IF(F14="U15","",IF(F14="U14","Christian Neckamm  &amp; Thomas Pöschl",IF(F14="U13","",IF(F14="U12_1","Tobias Berger &amp; Mario Magler",IF(F14="U12_2","Tobias Berger &amp; Mario Magler",IF(F14="U11","Christian Wirth",IF(F14="U10","Thomas Brandl",IF(F14="U9","Tobias Berger &amp; Sebastian Putric",IF(F14="U8","Ömer Türkes &amp; Taha Mahsumi",IF(F14="U7","Alexander Zax &amp; Jürgen Joszt",IF(F14="FKG","Ronny Archam &amp; Florian Rac",IF(A14="Camp","Berger Dieter",IF(A14="Turnier","Berger Dieter","FEHLER"))))))))))))))))</f>
        <v>Pleninger Stefan &amp; Matthias Wachter</v>
      </c>
      <c r="K14" s="57" t="str">
        <f>IF(F14="KM","+43 664 415 99 09 &amp; +43 699 119 70 312",IF(F14="U23","+43 670 18 59 080 &amp; +43 664 451 22 16",IF(F14="U16","+43 690 104 20 129 &amp; +43 676 401 09 13 &amp; +43 699 181 68 504",IF(F14="U15","",IF(F14="U14","+43 699 192 49 527 &amp; +43 677 613 55 114",IF(F14="U13","",IF(F14="U12_1","+43 66 199 13 52 &amp;  +43 664 762 09 93",IF(F14="U12_2","+43 66 199 13 52 &amp;  +43 664 762 09 93",IF(F14="U11","+43 660 423 93 83",IF(F14="U10","+43 676 377 16 30",IF(F14="U9","+43 66 199 13 52 &amp;  +43 660 914 92 36",IF(F14="U8","+43 676 661 62 26 &amp;  +43 681 208 11 599",IF(F14="U7","+43 664 458 88 84 &amp;  +43 660 549 82 40",IF(F14="FKG","+43 699 111 93 828 &amp;  +43 660 600 25 06",IF(A14="Camp","+43 660 77 39 500",IF(A14="Turnier","+43 660 77 39 500","FEHLER"))))))))))))))))</f>
        <v>+43 664 415 99 09 &amp; +43 699 119 70 312</v>
      </c>
    </row>
    <row r="15" spans="1:11" ht="15.75" hidden="1" x14ac:dyDescent="0.25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>A15</f>
        <v>KM</v>
      </c>
      <c r="G15" s="57" t="str">
        <f>IF(F15="KM","Großfeld",IF(F15="U23","Großfeld",IF(F15="U16","Großfeld",IF(F15="U15","Großfeld",IF(F15="U14","Großfeld",IF(F15="U12_1","55*40",IF(F15="U12_2","55x40",IF(F15="U11","55x40",IF(F15="U10","40x25",IF(F15="U9","40x25",IF(F15="U8","29x22",IF(F15="U7","25x20","16x15"))))))))))))</f>
        <v>Großfeld</v>
      </c>
      <c r="H15" s="57" t="str">
        <f>IF(F15="KM","7,32x2,44",IF(F15="U23","7,32x2,44",IF(F15="U16","7,32x2,44",IF(F15="U15","7,32x2,44",IF(F15="U14","7,32x2,44",IF(F15="U13","5x2",IF(F15="U12_1","7,32x2,44",IF(F15="U12_2","7,32x2,44",IF(F15="U11","5x2",IF(F15="U10","5x2
",IF(F15="U9","5x2","4 Minitore")))))))))))</f>
        <v>7,32x2,44</v>
      </c>
      <c r="I15" s="57" t="str">
        <f>IF(F15="KM","5",IF(F15="U23",5,IF(F15="U16","5",IF(F15="U15","5",IF(F15="U14","4",IF(F15="U13","4",IF(F15="U12_1","4",IF(F15="U12_2","4",IF(F15="U11","4",IF(F15="U10","4",IF(F15="U9","4","3")))))))))))</f>
        <v>5</v>
      </c>
      <c r="J15" s="57" t="str">
        <f>IF(F15="KM","Pleninger Stefan &amp; Matthias Wachter",IF(F15="U23","Egzon Gentiani &amp; Dinges Stefan",IF(F15="U16","Serdar Ekinci &amp; Gernot Sevelda &amp; Hubi Oberhofer",IF(F15="U15","",IF(F15="U14","Christian Neckamm  &amp; Thomas Pöschl",IF(F15="U13","",IF(F15="U12_1","Tobias Berger &amp; Mario Magler",IF(F15="U12_2","Tobias Berger &amp; Mario Magler",IF(F15="U11","Christian Wirth",IF(F15="U10","Thomas Brandl",IF(F15="U9","Tobias Berger &amp; Sebastian Putric",IF(F15="U8","Ömer Türkes &amp; Taha Mahsumi",IF(F15="U7","Alexander Zax &amp; Jürgen Joszt",IF(F15="FKG","Ronny Archam &amp; Florian Rac",IF(A15="Camp","Berger Dieter",IF(A15="Turnier","Berger Dieter","FEHLER"))))))))))))))))</f>
        <v>Pleninger Stefan &amp; Matthias Wachter</v>
      </c>
      <c r="K15" s="57" t="str">
        <f>IF(F15="KM","+43 664 415 99 09 &amp; +43 699 119 70 312",IF(F15="U23","+43 670 18 59 080 &amp; +43 664 451 22 16",IF(F15="U16","+43 690 104 20 129 &amp; +43 676 401 09 13 &amp; +43 699 181 68 504",IF(F15="U15","",IF(F15="U14","+43 699 192 49 527 &amp; +43 677 613 55 114",IF(F15="U13","",IF(F15="U12_1","+43 66 199 13 52 &amp;  +43 664 762 09 93",IF(F15="U12_2","+43 66 199 13 52 &amp;  +43 664 762 09 93",IF(F15="U11","+43 660 423 93 83",IF(F15="U10","+43 676 377 16 30",IF(F15="U9","+43 66 199 13 52 &amp;  +43 660 914 92 36",IF(F15="U8","+43 676 661 62 26 &amp;  +43 681 208 11 599",IF(F15="U7","+43 664 458 88 84 &amp;  +43 660 549 82 40",IF(F15="FKG","+43 699 111 93 828 &amp;  +43 660 600 25 06",IF(A15="Camp","+43 660 77 39 500",IF(A15="Turnier","+43 660 77 39 500","FEHLER"))))))))))))))))</f>
        <v>+43 664 415 99 09 &amp; +43 699 119 70 312</v>
      </c>
    </row>
    <row r="16" spans="1:11" ht="15.75" hidden="1" x14ac:dyDescent="0.25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>A16</f>
        <v>KM</v>
      </c>
      <c r="G16" s="57" t="str">
        <f>IF(F16="KM","Großfeld",IF(F16="U23","Großfeld",IF(F16="U16","Großfeld",IF(F16="U15","Großfeld",IF(F16="U14","Großfeld",IF(F16="U12_1","55*40",IF(F16="U12_2","55x40",IF(F16="U11","55x40",IF(F16="U10","40x25",IF(F16="U9","40x25",IF(F16="U8","29x22",IF(F16="U7","25x20","16x15"))))))))))))</f>
        <v>Großfeld</v>
      </c>
      <c r="H16" s="57" t="str">
        <f>IF(F16="KM","7,32x2,44",IF(F16="U23","7,32x2,44",IF(F16="U16","7,32x2,44",IF(F16="U15","7,32x2,44",IF(F16="U14","7,32x2,44",IF(F16="U13","5x2",IF(F16="U12_1","7,32x2,44",IF(F16="U12_2","7,32x2,44",IF(F16="U11","5x2",IF(F16="U10","5x2
",IF(F16="U9","5x2","4 Minitore")))))))))))</f>
        <v>7,32x2,44</v>
      </c>
      <c r="I16" s="57" t="str">
        <f>IF(F16="KM","5",IF(F16="U23",5,IF(F16="U16","5",IF(F16="U15","5",IF(F16="U14","4",IF(F16="U13","4",IF(F16="U12_1","4",IF(F16="U12_2","4",IF(F16="U11","4",IF(F16="U10","4",IF(F16="U9","4","3")))))))))))</f>
        <v>5</v>
      </c>
      <c r="J16" s="57" t="str">
        <f>IF(F16="KM","Pleninger Stefan &amp; Matthias Wachter",IF(F16="U23","Egzon Gentiani &amp; Dinges Stefan",IF(F16="U16","Serdar Ekinci &amp; Gernot Sevelda &amp; Hubi Oberhofer",IF(F16="U15","",IF(F16="U14","Christian Neckamm  &amp; Thomas Pöschl",IF(F16="U13","",IF(F16="U12_1","Tobias Berger &amp; Mario Magler",IF(F16="U12_2","Tobias Berger &amp; Mario Magler",IF(F16="U11","Christian Wirth",IF(F16="U10","Thomas Brandl",IF(F16="U9","Tobias Berger &amp; Sebastian Putric",IF(F16="U8","Ömer Türkes &amp; Taha Mahsumi",IF(F16="U7","Alexander Zax &amp; Jürgen Joszt",IF(F16="FKG","Ronny Archam &amp; Florian Rac",IF(A16="Camp","Berger Dieter",IF(A16="Turnier","Berger Dieter","FEHLER"))))))))))))))))</f>
        <v>Pleninger Stefan &amp; Matthias Wachter</v>
      </c>
      <c r="K16" s="57" t="str">
        <f>IF(F16="KM","+43 664 415 99 09 &amp; +43 699 119 70 312",IF(F16="U23","+43 670 18 59 080 &amp; +43 664 451 22 16",IF(F16="U16","+43 690 104 20 129 &amp; +43 676 401 09 13 &amp; +43 699 181 68 504",IF(F16="U15","",IF(F16="U14","+43 699 192 49 527 &amp; +43 677 613 55 114",IF(F16="U13","",IF(F16="U12_1","+43 66 199 13 52 &amp;  +43 664 762 09 93",IF(F16="U12_2","+43 66 199 13 52 &amp;  +43 664 762 09 93",IF(F16="U11","+43 660 423 93 83",IF(F16="U10","+43 676 377 16 30",IF(F16="U9","+43 66 199 13 52 &amp;  +43 660 914 92 36",IF(F16="U8","+43 676 661 62 26 &amp;  +43 681 208 11 599",IF(F16="U7","+43 664 458 88 84 &amp;  +43 660 549 82 40",IF(F16="FKG","+43 699 111 93 828 &amp;  +43 660 600 25 06",IF(A16="Camp","+43 660 77 39 500",IF(A16="Turnier","+43 660 77 39 500","FEHLER"))))))))))))))))</f>
        <v>+43 664 415 99 09 &amp; +43 699 119 70 312</v>
      </c>
    </row>
    <row r="17" spans="1:11" ht="15.75" hidden="1" x14ac:dyDescent="0.25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>A17</f>
        <v>KM</v>
      </c>
      <c r="G17" s="57" t="str">
        <f>IF(F17="KM","Großfeld",IF(F17="U23","Großfeld",IF(F17="U16","Großfeld",IF(F17="U15","Großfeld",IF(F17="U14","Großfeld",IF(F17="U12_1","55*40",IF(F17="U12_2","55x40",IF(F17="U11","55x40",IF(F17="U10","40x25",IF(F17="U9","40x25",IF(F17="U8","29x22",IF(F17="U7","25x20","16x15"))))))))))))</f>
        <v>Großfeld</v>
      </c>
      <c r="H17" s="57" t="str">
        <f>IF(F17="KM","7,32x2,44",IF(F17="U23","7,32x2,44",IF(F17="U16","7,32x2,44",IF(F17="U15","7,32x2,44",IF(F17="U14","7,32x2,44",IF(F17="U13","5x2",IF(F17="U12_1","7,32x2,44",IF(F17="U12_2","7,32x2,44",IF(F17="U11","5x2",IF(F17="U10","5x2
",IF(F17="U9","5x2","4 Minitore")))))))))))</f>
        <v>7,32x2,44</v>
      </c>
      <c r="I17" s="57" t="str">
        <f>IF(F17="KM","5",IF(F17="U23",5,IF(F17="U16","5",IF(F17="U15","5",IF(F17="U14","4",IF(F17="U13","4",IF(F17="U12_1","4",IF(F17="U12_2","4",IF(F17="U11","4",IF(F17="U10","4",IF(F17="U9","4","3")))))))))))</f>
        <v>5</v>
      </c>
      <c r="J17" s="57" t="str">
        <f>IF(F17="KM","Pleninger Stefan &amp; Matthias Wachter",IF(F17="U23","Egzon Gentiani &amp; Dinges Stefan",IF(F17="U16","Serdar Ekinci &amp; Gernot Sevelda &amp; Hubi Oberhofer",IF(F17="U15","",IF(F17="U14","Christian Neckamm  &amp; Thomas Pöschl",IF(F17="U13","",IF(F17="U12_1","Tobias Berger &amp; Mario Magler",IF(F17="U12_2","Tobias Berger &amp; Mario Magler",IF(F17="U11","Christian Wirth",IF(F17="U10","Thomas Brandl",IF(F17="U9","Tobias Berger &amp; Sebastian Putric",IF(F17="U8","Ömer Türkes &amp; Taha Mahsumi",IF(F17="U7","Alexander Zax &amp; Jürgen Joszt",IF(F17="FKG","Ronny Archam &amp; Florian Rac",IF(A17="Camp","Berger Dieter",IF(A17="Turnier","Berger Dieter","FEHLER"))))))))))))))))</f>
        <v>Pleninger Stefan &amp; Matthias Wachter</v>
      </c>
      <c r="K17" s="57" t="str">
        <f>IF(F17="KM","+43 664 415 99 09 &amp; +43 699 119 70 312",IF(F17="U23","+43 670 18 59 080 &amp; +43 664 451 22 16",IF(F17="U16","+43 690 104 20 129 &amp; +43 676 401 09 13 &amp; +43 699 181 68 504",IF(F17="U15","",IF(F17="U14","+43 699 192 49 527 &amp; +43 677 613 55 114",IF(F17="U13","",IF(F17="U12_1","+43 66 199 13 52 &amp;  +43 664 762 09 93",IF(F17="U12_2","+43 66 199 13 52 &amp;  +43 664 762 09 93",IF(F17="U11","+43 660 423 93 83",IF(F17="U10","+43 676 377 16 30",IF(F17="U9","+43 66 199 13 52 &amp;  +43 660 914 92 36",IF(F17="U8","+43 676 661 62 26 &amp;  +43 681 208 11 599",IF(F17="U7","+43 664 458 88 84 &amp;  +43 660 549 82 40",IF(F17="FKG","+43 699 111 93 828 &amp;  +43 660 600 25 06",IF(A17="Camp","+43 660 77 39 500",IF(A17="Turnier","+43 660 77 39 500","FEHLER"))))))))))))))))</f>
        <v>+43 664 415 99 09 &amp; +43 699 119 70 312</v>
      </c>
    </row>
    <row r="18" spans="1:11" ht="15.75" hidden="1" x14ac:dyDescent="0.25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>A18</f>
        <v>KM</v>
      </c>
      <c r="G18" s="57" t="str">
        <f>IF(F18="KM","Großfeld",IF(F18="U23","Großfeld",IF(F18="U16","Großfeld",IF(F18="U15","Großfeld",IF(F18="U14","Großfeld",IF(F18="U12_1","55*40",IF(F18="U12_2","55x40",IF(F18="U11","55x40",IF(F18="U10","40x25",IF(F18="U9","40x25",IF(F18="U8","29x22",IF(F18="U7","25x20","16x15"))))))))))))</f>
        <v>Großfeld</v>
      </c>
      <c r="H18" s="57" t="str">
        <f>IF(F18="KM","7,32x2,44",IF(F18="U23","7,32x2,44",IF(F18="U16","7,32x2,44",IF(F18="U15","7,32x2,44",IF(F18="U14","7,32x2,44",IF(F18="U13","5x2",IF(F18="U12_1","7,32x2,44",IF(F18="U12_2","7,32x2,44",IF(F18="U11","5x2",IF(F18="U10","5x2
",IF(F18="U9","5x2","4 Minitore")))))))))))</f>
        <v>7,32x2,44</v>
      </c>
      <c r="I18" s="57" t="str">
        <f>IF(F18="KM","5",IF(F18="U23",5,IF(F18="U16","5",IF(F18="U15","5",IF(F18="U14","4",IF(F18="U13","4",IF(F18="U12_1","4",IF(F18="U12_2","4",IF(F18="U11","4",IF(F18="U10","4",IF(F18="U9","4","3")))))))))))</f>
        <v>5</v>
      </c>
      <c r="J18" s="57" t="str">
        <f>IF(F18="KM","Pleninger Stefan &amp; Matthias Wachter",IF(F18="U23","Egzon Gentiani &amp; Dinges Stefan",IF(F18="U16","Serdar Ekinci &amp; Gernot Sevelda &amp; Hubi Oberhofer",IF(F18="U15","",IF(F18="U14","Christian Neckamm  &amp; Thomas Pöschl",IF(F18="U13","",IF(F18="U12_1","Tobias Berger &amp; Mario Magler",IF(F18="U12_2","Tobias Berger &amp; Mario Magler",IF(F18="U11","Christian Wirth",IF(F18="U10","Thomas Brandl",IF(F18="U9","Tobias Berger &amp; Sebastian Putric",IF(F18="U8","Ömer Türkes &amp; Taha Mahsumi",IF(F18="U7","Alexander Zax &amp; Jürgen Joszt",IF(F18="FKG","Ronny Archam &amp; Florian Rac",IF(A18="Camp","Berger Dieter",IF(A18="Turnier","Berger Dieter","FEHLER"))))))))))))))))</f>
        <v>Pleninger Stefan &amp; Matthias Wachter</v>
      </c>
      <c r="K18" s="57" t="str">
        <f>IF(F18="KM","+43 664 415 99 09 &amp; +43 699 119 70 312",IF(F18="U23","+43 670 18 59 080 &amp; +43 664 451 22 16",IF(F18="U16","+43 690 104 20 129 &amp; +43 676 401 09 13 &amp; +43 699 181 68 504",IF(F18="U15","",IF(F18="U14","+43 699 192 49 527 &amp; +43 677 613 55 114",IF(F18="U13","",IF(F18="U12_1","+43 66 199 13 52 &amp;  +43 664 762 09 93",IF(F18="U12_2","+43 66 199 13 52 &amp;  +43 664 762 09 93",IF(F18="U11","+43 660 423 93 83",IF(F18="U10","+43 676 377 16 30",IF(F18="U9","+43 66 199 13 52 &amp;  +43 660 914 92 36",IF(F18="U8","+43 676 661 62 26 &amp;  +43 681 208 11 599",IF(F18="U7","+43 664 458 88 84 &amp;  +43 660 549 82 40",IF(F18="FKG","+43 699 111 93 828 &amp;  +43 660 600 25 06",IF(A18="Camp","+43 660 77 39 500",IF(A18="Turnier","+43 660 77 39 500","FEHLER"))))))))))))))))</f>
        <v>+43 664 415 99 09 &amp; +43 699 119 70 312</v>
      </c>
    </row>
    <row r="19" spans="1:11" ht="15.75" x14ac:dyDescent="0.25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>A19</f>
        <v>KM</v>
      </c>
      <c r="G19" s="57" t="str">
        <f>IF(F19="KM","Großfeld",IF(F19="U23","Großfeld",IF(F19="U16","Großfeld",IF(F19="U15","Großfeld",IF(F19="U14","Großfeld",IF(F19="U12_1","55*40",IF(F19="U12_2","55x40",IF(F19="U11","55x40",IF(F19="U10","40x25",IF(F19="U9","40x25",IF(F19="U8","29x22",IF(F19="U7","25x20","16x15"))))))))))))</f>
        <v>Großfeld</v>
      </c>
      <c r="H19" s="57" t="str">
        <f>IF(F19="KM","7,32x2,44",IF(F19="U23","7,32x2,44",IF(F19="U16","7,32x2,44",IF(F19="U15","7,32x2,44",IF(F19="U14","7,32x2,44",IF(F19="U13","5x2",IF(F19="U12_1","7,32x2,44",IF(F19="U12_2","7,32x2,44",IF(F19="U11","5x2",IF(F19="U10","5x2
",IF(F19="U9","5x2","4 Minitore")))))))))))</f>
        <v>7,32x2,44</v>
      </c>
      <c r="I19" s="57" t="str">
        <f>IF(F19="KM","5",IF(F19="U23",5,IF(F19="U16","5",IF(F19="U15","5",IF(F19="U14","4",IF(F19="U13","4",IF(F19="U12_1","4",IF(F19="U12_2","4",IF(F19="U11","4",IF(F19="U10","4",IF(F19="U9","4","3")))))))))))</f>
        <v>5</v>
      </c>
      <c r="J19" s="57" t="str">
        <f>IF(F19="KM","Pleninger Stefan &amp; Matthias Wachter",IF(F19="U23","Egzon Gentiani &amp; Dinges Stefan",IF(F19="U16","Serdar Ekinci &amp; Gernot Sevelda &amp; Hubi Oberhofer",IF(F19="U15","",IF(F19="U14","Christian Neckamm  &amp; Thomas Pöschl",IF(F19="U13","",IF(F19="U12_1","Tobias Berger &amp; Mario Magler",IF(F19="U12_2","Tobias Berger &amp; Mario Magler",IF(F19="U11","Christian Wirth",IF(F19="U10","Thomas Brandl",IF(F19="U9","Tobias Berger &amp; Sebastian Putric",IF(F19="U8","Ömer Türkes &amp; Taha Mahsumi",IF(F19="U7","Alexander Zax &amp; Jürgen Joszt",IF(F19="FKG","Ronny Archam &amp; Florian Rac",IF(A19="Camp","Berger Dieter",IF(A19="Turnier","Berger Dieter","FEHLER"))))))))))))))))</f>
        <v>Pleninger Stefan &amp; Matthias Wachter</v>
      </c>
      <c r="K19" s="57" t="str">
        <f>IF(F19="KM","+43 664 415 99 09 &amp; +43 699 119 70 312",IF(F19="U23","+43 670 18 59 080 &amp; +43 664 451 22 16",IF(F19="U16","+43 690 104 20 129 &amp; +43 676 401 09 13 &amp; +43 699 181 68 504",IF(F19="U15","",IF(F19="U14","+43 699 192 49 527 &amp; +43 677 613 55 114",IF(F19="U13","",IF(F19="U12_1","+43 66 199 13 52 &amp;  +43 664 762 09 93",IF(F19="U12_2","+43 66 199 13 52 &amp;  +43 664 762 09 93",IF(F19="U11","+43 660 423 93 83",IF(F19="U10","+43 676 377 16 30",IF(F19="U9","+43 66 199 13 52 &amp;  +43 660 914 92 36",IF(F19="U8","+43 676 661 62 26 &amp;  +43 681 208 11 599",IF(F19="U7","+43 664 458 88 84 &amp;  +43 660 549 82 40",IF(F19="FKG","+43 699 111 93 828 &amp;  +43 660 600 25 06",IF(A19="Camp","+43 660 77 39 500",IF(A19="Turnier","+43 660 77 39 500","FEHLER"))))))))))))))))</f>
        <v>+43 664 415 99 09 &amp; +43 699 119 70 312</v>
      </c>
    </row>
    <row r="20" spans="1:11" ht="15.75" hidden="1" x14ac:dyDescent="0.25">
      <c r="A20" s="57" t="str">
        <f>'ICS2'!I22</f>
        <v>KM</v>
      </c>
      <c r="B20" s="103">
        <f>'ICS2'!B22</f>
        <v>46250</v>
      </c>
      <c r="C20" s="104">
        <f>'ICS2'!C22</f>
        <v>0.72916666666666663</v>
      </c>
      <c r="D20" s="57" t="str">
        <f>'ICS2'!E22</f>
        <v>KITTSEE</v>
      </c>
      <c r="E20" s="57" t="str">
        <f>'ICS2'!H22</f>
        <v>Kittsee</v>
      </c>
      <c r="F20" s="57" t="str">
        <f>A20</f>
        <v>KM</v>
      </c>
      <c r="G20" s="57" t="str">
        <f>IF(F20="KM","Großfeld",IF(F20="U23","Großfeld",IF(F20="U16","Großfeld",IF(F20="U15","Großfeld",IF(F20="U14","Großfeld",IF(F20="U12_1","55*40",IF(F20="U12_2","55x40",IF(F20="U11","55x40",IF(F20="U10","40x25",IF(F20="U9","40x25",IF(F20="U8","29x22",IF(F20="U7","25x20","16x15"))))))))))))</f>
        <v>Großfeld</v>
      </c>
      <c r="H20" s="57" t="str">
        <f>IF(F20="KM","7,32x2,44",IF(F20="U23","7,32x2,44",IF(F20="U16","7,32x2,44",IF(F20="U15","7,32x2,44",IF(F20="U14","7,32x2,44",IF(F20="U13","5x2",IF(F20="U12_1","7,32x2,44",IF(F20="U12_2","7,32x2,44",IF(F20="U11","5x2",IF(F20="U10","5x2
",IF(F20="U9","5x2","4 Minitore")))))))))))</f>
        <v>7,32x2,44</v>
      </c>
      <c r="I20" s="57" t="str">
        <f>IF(F20="KM","5",IF(F20="U23",5,IF(F20="U16","5",IF(F20="U15","5",IF(F20="U14","4",IF(F20="U13","4",IF(F20="U12_1","4",IF(F20="U12_2","4",IF(F20="U11","4",IF(F20="U10","4",IF(F20="U9","4","3")))))))))))</f>
        <v>5</v>
      </c>
      <c r="J20" s="57" t="str">
        <f>IF(F20="KM","Pleninger Stefan &amp; Matthias Wachter",IF(F20="U23","Egzon Gentiani &amp; Dinges Stefan",IF(F20="U16","Serdar Ekinci &amp; Gernot Sevelda &amp; Hubi Oberhofer",IF(F20="U15","",IF(F20="U14","Christian Neckamm  &amp; Thomas Pöschl",IF(F20="U13","",IF(F20="U12_1","Tobias Berger &amp; Mario Magler",IF(F20="U12_2","Tobias Berger &amp; Mario Magler",IF(F20="U11","Christian Wirth",IF(F20="U10","Thomas Brandl",IF(F20="U9","Tobias Berger &amp; Sebastian Putric",IF(F20="U8","Ömer Türkes &amp; Taha Mahsumi",IF(F20="U7","Alexander Zax &amp; Jürgen Joszt",IF(F20="FKG","Ronny Archam &amp; Florian Rac",IF(A20="Camp","Berger Dieter",IF(A20="Turnier","Berger Dieter","FEHLER"))))))))))))))))</f>
        <v>Pleninger Stefan &amp; Matthias Wachter</v>
      </c>
      <c r="K20" s="57" t="str">
        <f>IF(F20="KM","+43 664 415 99 09 &amp; +43 699 119 70 312",IF(F20="U23","+43 670 18 59 080 &amp; +43 664 451 22 16",IF(F20="U16","+43 690 104 20 129 &amp; +43 676 401 09 13 &amp; +43 699 181 68 504",IF(F20="U15","",IF(F20="U14","+43 699 192 49 527 &amp; +43 677 613 55 114",IF(F20="U13","",IF(F20="U12_1","+43 66 199 13 52 &amp;  +43 664 762 09 93",IF(F20="U12_2","+43 66 199 13 52 &amp;  +43 664 762 09 93",IF(F20="U11","+43 660 423 93 83",IF(F20="U10","+43 676 377 16 30",IF(F20="U9","+43 66 199 13 52 &amp;  +43 660 914 92 36",IF(F20="U8","+43 676 661 62 26 &amp;  +43 681 208 11 599",IF(F20="U7","+43 664 458 88 84 &amp;  +43 660 549 82 40",IF(F20="FKG","+43 699 111 93 828 &amp;  +43 660 600 25 06",IF(A20="Camp","+43 660 77 39 500",IF(A20="Turnier","+43 660 77 39 500","FEHLER"))))))))))))))))</f>
        <v>+43 664 415 99 09 &amp; +43 699 119 70 312</v>
      </c>
    </row>
    <row r="21" spans="1:11" ht="15.75" hidden="1" x14ac:dyDescent="0.25">
      <c r="A21" s="57" t="str">
        <f>'ICS2'!I23</f>
        <v>KM</v>
      </c>
      <c r="B21" s="103">
        <f>'ICS2'!B23</f>
        <v>46255</v>
      </c>
      <c r="C21" s="104">
        <f>'ICS2'!C23</f>
        <v>0.83333333333333337</v>
      </c>
      <c r="D21" s="57" t="str">
        <f>'ICS2'!E23</f>
        <v>DEUTSCH JAHRNDORF</v>
      </c>
      <c r="E21" s="57" t="str">
        <f>'ICS2'!H23</f>
        <v>Deutsch Jahrndorf</v>
      </c>
      <c r="F21" s="57" t="str">
        <f>A21</f>
        <v>KM</v>
      </c>
      <c r="G21" s="57" t="str">
        <f>IF(F21="KM","Großfeld",IF(F21="U23","Großfeld",IF(F21="U16","Großfeld",IF(F21="U15","Großfeld",IF(F21="U14","Großfeld",IF(F21="U12_1","55*40",IF(F21="U12_2","55x40",IF(F21="U11","55x40",IF(F21="U10","40x25",IF(F21="U9","40x25",IF(F21="U8","29x22",IF(F21="U7","25x20","16x15"))))))))))))</f>
        <v>Großfeld</v>
      </c>
      <c r="H21" s="57" t="str">
        <f>IF(F21="KM","7,32x2,44",IF(F21="U23","7,32x2,44",IF(F21="U16","7,32x2,44",IF(F21="U15","7,32x2,44",IF(F21="U14","7,32x2,44",IF(F21="U13","5x2",IF(F21="U12_1","7,32x2,44",IF(F21="U12_2","7,32x2,44",IF(F21="U11","5x2",IF(F21="U10","5x2
",IF(F21="U9","5x2","4 Minitore")))))))))))</f>
        <v>7,32x2,44</v>
      </c>
      <c r="I21" s="57" t="str">
        <f>IF(F21="KM","5",IF(F21="U23",5,IF(F21="U16","5",IF(F21="U15","5",IF(F21="U14","4",IF(F21="U13","4",IF(F21="U12_1","4",IF(F21="U12_2","4",IF(F21="U11","4",IF(F21="U10","4",IF(F21="U9","4","3")))))))))))</f>
        <v>5</v>
      </c>
      <c r="J21" s="57" t="str">
        <f>IF(F21="KM","Pleninger Stefan &amp; Matthias Wachter",IF(F21="U23","Egzon Gentiani &amp; Dinges Stefan",IF(F21="U16","Serdar Ekinci &amp; Gernot Sevelda &amp; Hubi Oberhofer",IF(F21="U15","",IF(F21="U14","Christian Neckamm  &amp; Thomas Pöschl",IF(F21="U13","",IF(F21="U12_1","Tobias Berger &amp; Mario Magler",IF(F21="U12_2","Tobias Berger &amp; Mario Magler",IF(F21="U11","Christian Wirth",IF(F21="U10","Thomas Brandl",IF(F21="U9","Tobias Berger &amp; Sebastian Putric",IF(F21="U8","Ömer Türkes &amp; Taha Mahsumi",IF(F21="U7","Alexander Zax &amp; Jürgen Joszt",IF(F21="FKG","Ronny Archam &amp; Florian Rac",IF(A21="Camp","Berger Dieter",IF(A21="Turnier","Berger Dieter","FEHLER"))))))))))))))))</f>
        <v>Pleninger Stefan &amp; Matthias Wachter</v>
      </c>
      <c r="K21" s="57" t="str">
        <f>IF(F21="KM","+43 664 415 99 09 &amp; +43 699 119 70 312",IF(F21="U23","+43 670 18 59 080 &amp; +43 664 451 22 16",IF(F21="U16","+43 690 104 20 129 &amp; +43 676 401 09 13 &amp; +43 699 181 68 504",IF(F21="U15","",IF(F21="U14","+43 699 192 49 527 &amp; +43 677 613 55 114",IF(F21="U13","",IF(F21="U12_1","+43 66 199 13 52 &amp;  +43 664 762 09 93",IF(F21="U12_2","+43 66 199 13 52 &amp;  +43 664 762 09 93",IF(F21="U11","+43 660 423 93 83",IF(F21="U10","+43 676 377 16 30",IF(F21="U9","+43 66 199 13 52 &amp;  +43 660 914 92 36",IF(F21="U8","+43 676 661 62 26 &amp;  +43 681 208 11 599",IF(F21="U7","+43 664 458 88 84 &amp;  +43 660 549 82 40",IF(F21="FKG","+43 699 111 93 828 &amp;  +43 660 600 25 06",IF(A21="Camp","+43 660 77 39 500",IF(A21="Turnier","+43 660 77 39 500","FEHLER"))))))))))))))))</f>
        <v>+43 664 415 99 09 &amp; +43 699 119 70 312</v>
      </c>
    </row>
    <row r="22" spans="1:11" ht="15.75" x14ac:dyDescent="0.25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>A22</f>
        <v>U14</v>
      </c>
      <c r="G22" s="57" t="str">
        <f>IF(F22="KM","Großfeld",IF(F22="U23","Großfeld",IF(F22="U16","Großfeld",IF(F22="U15","Großfeld",IF(F22="U14","Großfeld",IF(F22="U12_1","55*40",IF(F22="U12_2","55x40",IF(F22="U11","55x40",IF(F22="U10","40x25",IF(F22="U9","40x25",IF(F22="U8","29x22",IF(F22="U7","25x20","16x15"))))))))))))</f>
        <v>Großfeld</v>
      </c>
      <c r="H22" s="57" t="str">
        <f>IF(F22="KM","7,32x2,44",IF(F22="U23","7,32x2,44",IF(F22="U16","7,32x2,44",IF(F22="U15","7,32x2,44",IF(F22="U14","7,32x2,44",IF(F22="U13","5x2",IF(F22="U12_1","7,32x2,44",IF(F22="U12_2","7,32x2,44",IF(F22="U11","5x2",IF(F22="U10","5x2
",IF(F22="U9","5x2","4 Minitore")))))))))))</f>
        <v>7,32x2,44</v>
      </c>
      <c r="I22" s="57" t="str">
        <f>IF(F22="KM","5",IF(F22="U23",5,IF(F22="U16","5",IF(F22="U15","5",IF(F22="U14","4",IF(F22="U13","4",IF(F22="U12_1","4",IF(F22="U12_2","4",IF(F22="U11","4",IF(F22="U10","4",IF(F22="U9","4","3")))))))))))</f>
        <v>4</v>
      </c>
      <c r="J22" s="57" t="str">
        <f>IF(F22="KM","Pleninger Stefan &amp; Matthias Wachter",IF(F22="U23","Egzon Gentiani &amp; Dinges Stefan",IF(F22="U16","Serdar Ekinci &amp; Gernot Sevelda &amp; Hubi Oberhofer",IF(F22="U15","",IF(F22="U14","Christian Neckamm  &amp; Thomas Pöschl",IF(F22="U13","",IF(F22="U12_1","Tobias Berger &amp; Mario Magler",IF(F22="U12_2","Tobias Berger &amp; Mario Magler",IF(F22="U11","Christian Wirth",IF(F22="U10","Thomas Brandl",IF(F22="U9","Tobias Berger &amp; Sebastian Putric",IF(F22="U8","Ömer Türkes &amp; Taha Mahsumi",IF(F22="U7","Alexander Zax &amp; Jürgen Joszt",IF(F22="FKG","Ronny Archam &amp; Florian Rac",IF(A22="Camp","Berger Dieter",IF(A22="Turnier","Berger Dieter","FEHLER"))))))))))))))))</f>
        <v>Christian Neckamm  &amp; Thomas Pöschl</v>
      </c>
      <c r="K22" s="57" t="str">
        <f>IF(F22="KM","+43 664 415 99 09 &amp; +43 699 119 70 312",IF(F22="U23","+43 670 18 59 080 &amp; +43 664 451 22 16",IF(F22="U16","+43 690 104 20 129 &amp; +43 676 401 09 13 &amp; +43 699 181 68 504",IF(F22="U15","",IF(F22="U14","+43 699 192 49 527 &amp; +43 677 613 55 114",IF(F22="U13","",IF(F22="U12_1","+43 66 199 13 52 &amp;  +43 664 762 09 93",IF(F22="U12_2","+43 66 199 13 52 &amp;  +43 664 762 09 93",IF(F22="U11","+43 660 423 93 83",IF(F22="U10","+43 676 377 16 30",IF(F22="U9","+43 66 199 13 52 &amp;  +43 660 914 92 36",IF(F22="U8","+43 676 661 62 26 &amp;  +43 681 208 11 599",IF(F22="U7","+43 664 458 88 84 &amp;  +43 660 549 82 40",IF(F22="FKG","+43 699 111 93 828 &amp;  +43 660 600 25 06",IF(A22="Camp","+43 660 77 39 500",IF(A22="Turnier","+43 660 77 39 500","FEHLER"))))))))))))))))</f>
        <v>+43 699 192 49 527 &amp; +43 677 613 55 114</v>
      </c>
    </row>
    <row r="23" spans="1:11" ht="15.75" hidden="1" x14ac:dyDescent="0.25">
      <c r="A23" s="57" t="str">
        <f>'ICS2'!I25</f>
        <v>KM</v>
      </c>
      <c r="B23" s="103">
        <f>'ICS2'!B25</f>
        <v>46270</v>
      </c>
      <c r="C23" s="104">
        <f>'ICS2'!C25</f>
        <v>0.6875</v>
      </c>
      <c r="D23" s="57" t="str">
        <f>'ICS2'!E25</f>
        <v>MÖNCHHOF</v>
      </c>
      <c r="E23" s="57" t="str">
        <f>'ICS2'!H25</f>
        <v>Mönchhof</v>
      </c>
      <c r="F23" s="57" t="str">
        <f>A23</f>
        <v>KM</v>
      </c>
      <c r="G23" s="57" t="str">
        <f>IF(F23="KM","Großfeld",IF(F23="U23","Großfeld",IF(F23="U16","Großfeld",IF(F23="U15","Großfeld",IF(F23="U14","Großfeld",IF(F23="U12_1","55*40",IF(F23="U12_2","55x40",IF(F23="U11","55x40",IF(F23="U10","40x25",IF(F23="U9","40x25",IF(F23="U8","29x22",IF(F23="U7","25x20","16x15"))))))))))))</f>
        <v>Großfeld</v>
      </c>
      <c r="H23" s="57" t="str">
        <f>IF(F23="KM","7,32x2,44",IF(F23="U23","7,32x2,44",IF(F23="U16","7,32x2,44",IF(F23="U15","7,32x2,44",IF(F23="U14","7,32x2,44",IF(F23="U13","5x2",IF(F23="U12_1","7,32x2,44",IF(F23="U12_2","7,32x2,44",IF(F23="U11","5x2",IF(F23="U10","5x2
",IF(F23="U9","5x2","4 Minitore")))))))))))</f>
        <v>7,32x2,44</v>
      </c>
      <c r="I23" s="57" t="str">
        <f>IF(F23="KM","5",IF(F23="U23",5,IF(F23="U16","5",IF(F23="U15","5",IF(F23="U14","4",IF(F23="U13","4",IF(F23="U12_1","4",IF(F23="U12_2","4",IF(F23="U11","4",IF(F23="U10","4",IF(F23="U9","4","3")))))))))))</f>
        <v>5</v>
      </c>
      <c r="J23" s="57" t="str">
        <f>IF(F23="KM","Pleninger Stefan &amp; Matthias Wachter",IF(F23="U23","Egzon Gentiani &amp; Dinges Stefan",IF(F23="U16","Serdar Ekinci &amp; Gernot Sevelda &amp; Hubi Oberhofer",IF(F23="U15","",IF(F23="U14","Christian Neckamm  &amp; Thomas Pöschl",IF(F23="U13","",IF(F23="U12_1","Tobias Berger &amp; Mario Magler",IF(F23="U12_2","Tobias Berger &amp; Mario Magler",IF(F23="U11","Christian Wirth",IF(F23="U10","Thomas Brandl",IF(F23="U9","Tobias Berger &amp; Sebastian Putric",IF(F23="U8","Ömer Türkes &amp; Taha Mahsumi",IF(F23="U7","Alexander Zax &amp; Jürgen Joszt",IF(F23="FKG","Ronny Archam &amp; Florian Rac",IF(A23="Camp","Berger Dieter",IF(A23="Turnier","Berger Dieter","FEHLER"))))))))))))))))</f>
        <v>Pleninger Stefan &amp; Matthias Wachter</v>
      </c>
      <c r="K23" s="57" t="str">
        <f>IF(F23="KM","+43 664 415 99 09 &amp; +43 699 119 70 312",IF(F23="U23","+43 670 18 59 080 &amp; +43 664 451 22 16",IF(F23="U16","+43 690 104 20 129 &amp; +43 676 401 09 13 &amp; +43 699 181 68 504",IF(F23="U15","",IF(F23="U14","+43 699 192 49 527 &amp; +43 677 613 55 114",IF(F23="U13","",IF(F23="U12_1","+43 66 199 13 52 &amp;  +43 664 762 09 93",IF(F23="U12_2","+43 66 199 13 52 &amp;  +43 664 762 09 93",IF(F23="U11","+43 660 423 93 83",IF(F23="U10","+43 676 377 16 30",IF(F23="U9","+43 66 199 13 52 &amp;  +43 660 914 92 36",IF(F23="U8","+43 676 661 62 26 &amp;  +43 681 208 11 599",IF(F23="U7","+43 664 458 88 84 &amp;  +43 660 549 82 40",IF(F23="FKG","+43 699 111 93 828 &amp;  +43 660 600 25 06",IF(A23="Camp","+43 660 77 39 500",IF(A23="Turnier","+43 660 77 39 500","FEHLER"))))))))))))))))</f>
        <v>+43 664 415 99 09 &amp; +43 699 119 70 312</v>
      </c>
    </row>
    <row r="24" spans="1:11" ht="15.75" x14ac:dyDescent="0.25">
      <c r="A24" s="57" t="str">
        <f>'ICS2'!I15</f>
        <v>U14</v>
      </c>
      <c r="B24" s="103">
        <f>'ICS2'!B15</f>
        <v>46255</v>
      </c>
      <c r="C24" s="104">
        <f>'ICS2'!C15</f>
        <v>0.75</v>
      </c>
      <c r="D24" s="57" t="str">
        <f>'ICS2'!E15</f>
        <v>GROßHÖFLEIN</v>
      </c>
      <c r="E24" s="57" t="str">
        <f>'ICS2'!H15</f>
        <v>Bad Erlach</v>
      </c>
      <c r="F24" s="57" t="str">
        <f>A24</f>
        <v>U14</v>
      </c>
      <c r="G24" s="57" t="str">
        <f>IF(F24="KM","Großfeld",IF(F24="U23","Großfeld",IF(F24="U16","Großfeld",IF(F24="U15","Großfeld",IF(F24="U14","Großfeld",IF(F24="U12_1","55*40",IF(F24="U12_2","55x40",IF(F24="U11","55x40",IF(F24="U10","40x25",IF(F24="U9","40x25",IF(F24="U8","29x22",IF(F24="U7","25x20","16x15"))))))))))))</f>
        <v>Großfeld</v>
      </c>
      <c r="H24" s="57" t="str">
        <f>IF(F24="KM","7,32x2,44",IF(F24="U23","7,32x2,44",IF(F24="U16","7,32x2,44",IF(F24="U15","7,32x2,44",IF(F24="U14","7,32x2,44",IF(F24="U13","5x2",IF(F24="U12_1","7,32x2,44",IF(F24="U12_2","7,32x2,44",IF(F24="U11","5x2",IF(F24="U10","5x2
",IF(F24="U9","5x2","4 Minitore")))))))))))</f>
        <v>7,32x2,44</v>
      </c>
      <c r="I24" s="57" t="str">
        <f>IF(F24="KM","5",IF(F24="U23",5,IF(F24="U16","5",IF(F24="U15","5",IF(F24="U14","4",IF(F24="U13","4",IF(F24="U12_1","4",IF(F24="U12_2","4",IF(F24="U11","4",IF(F24="U10","4",IF(F24="U9","4","3")))))))))))</f>
        <v>4</v>
      </c>
      <c r="J24" s="57" t="str">
        <f>IF(F24="KM","Pleninger Stefan &amp; Matthias Wachter",IF(F24="U23","Egzon Gentiani &amp; Dinges Stefan",IF(F24="U16","Serdar Ekinci &amp; Gernot Sevelda &amp; Hubi Oberhofer",IF(F24="U15","",IF(F24="U14","Christian Neckamm  &amp; Thomas Pöschl",IF(F24="U13","",IF(F24="U12_1","Tobias Berger &amp; Mario Magler",IF(F24="U12_2","Tobias Berger &amp; Mario Magler",IF(F24="U11","Christian Wirth",IF(F24="U10","Thomas Brandl",IF(F24="U9","Tobias Berger &amp; Sebastian Putric",IF(F24="U8","Ömer Türkes &amp; Taha Mahsumi",IF(F24="U7","Alexander Zax &amp; Jürgen Joszt",IF(F24="FKG","Ronny Archam &amp; Florian Rac",IF(A24="Camp","Berger Dieter",IF(A24="Turnier","Berger Dieter","FEHLER"))))))))))))))))</f>
        <v>Christian Neckamm  &amp; Thomas Pöschl</v>
      </c>
      <c r="K24" s="57" t="str">
        <f>IF(F24="KM","+43 664 415 99 09 &amp; +43 699 119 70 312",IF(F24="U23","+43 670 18 59 080 &amp; +43 664 451 22 16",IF(F24="U16","+43 690 104 20 129 &amp; +43 676 401 09 13 &amp; +43 699 181 68 504",IF(F24="U15","",IF(F24="U14","+43 699 192 49 527 &amp; +43 677 613 55 114",IF(F24="U13","",IF(F24="U12_1","+43 66 199 13 52 &amp;  +43 664 762 09 93",IF(F24="U12_2","+43 66 199 13 52 &amp;  +43 664 762 09 93",IF(F24="U11","+43 660 423 93 83",IF(F24="U10","+43 676 377 16 30",IF(F24="U9","+43 66 199 13 52 &amp;  +43 660 914 92 36",IF(F24="U8","+43 676 661 62 26 &amp;  +43 681 208 11 599",IF(F24="U7","+43 664 458 88 84 &amp;  +43 660 549 82 40",IF(F24="FKG","+43 699 111 93 828 &amp;  +43 660 600 25 06",IF(A24="Camp","+43 660 77 39 500",IF(A24="Turnier","+43 660 77 39 500","FEHLER"))))))))))))))))</f>
        <v>+43 699 192 49 527 &amp; +43 677 613 55 114</v>
      </c>
    </row>
    <row r="25" spans="1:11" ht="15.75" hidden="1" x14ac:dyDescent="0.25">
      <c r="A25" s="57" t="str">
        <f>'ICS2'!I27</f>
        <v>KM</v>
      </c>
      <c r="B25" s="103">
        <f>'ICS2'!B27</f>
        <v>46284</v>
      </c>
      <c r="C25" s="104">
        <f>'ICS2'!C27</f>
        <v>0.66666666666666663</v>
      </c>
      <c r="D25" s="57" t="str">
        <f>'ICS2'!E27</f>
        <v>GATTENDORF</v>
      </c>
      <c r="E25" s="57" t="str">
        <f>'ICS2'!H27</f>
        <v>Gattendorf</v>
      </c>
      <c r="F25" s="57" t="str">
        <f>A25</f>
        <v>KM</v>
      </c>
      <c r="G25" s="57" t="str">
        <f>IF(F25="KM","Großfeld",IF(F25="U23","Großfeld",IF(F25="U16","Großfeld",IF(F25="U15","Großfeld",IF(F25="U14","Großfeld",IF(F25="U12_1","55*40",IF(F25="U12_2","55x40",IF(F25="U11","55x40",IF(F25="U10","40x25",IF(F25="U9","40x25",IF(F25="U8","29x22",IF(F25="U7","25x20","16x15"))))))))))))</f>
        <v>Großfeld</v>
      </c>
      <c r="H25" s="57" t="str">
        <f>IF(F25="KM","7,32x2,44",IF(F25="U23","7,32x2,44",IF(F25="U16","7,32x2,44",IF(F25="U15","7,32x2,44",IF(F25="U14","7,32x2,44",IF(F25="U13","5x2",IF(F25="U12_1","7,32x2,44",IF(F25="U12_2","7,32x2,44",IF(F25="U11","5x2",IF(F25="U10","5x2
",IF(F25="U9","5x2","4 Minitore")))))))))))</f>
        <v>7,32x2,44</v>
      </c>
      <c r="I25" s="57" t="str">
        <f>IF(F25="KM","5",IF(F25="U23",5,IF(F25="U16","5",IF(F25="U15","5",IF(F25="U14","4",IF(F25="U13","4",IF(F25="U12_1","4",IF(F25="U12_2","4",IF(F25="U11","4",IF(F25="U10","4",IF(F25="U9","4","3")))))))))))</f>
        <v>5</v>
      </c>
      <c r="J25" s="57" t="str">
        <f>IF(F25="KM","Pleninger Stefan &amp; Matthias Wachter",IF(F25="U23","Egzon Gentiani &amp; Dinges Stefan",IF(F25="U16","Serdar Ekinci &amp; Gernot Sevelda &amp; Hubi Oberhofer",IF(F25="U15","",IF(F25="U14","Christian Neckamm  &amp; Thomas Pöschl",IF(F25="U13","",IF(F25="U12_1","Tobias Berger &amp; Mario Magler",IF(F25="U12_2","Tobias Berger &amp; Mario Magler",IF(F25="U11","Christian Wirth",IF(F25="U10","Thomas Brandl",IF(F25="U9","Tobias Berger &amp; Sebastian Putric",IF(F25="U8","Ömer Türkes &amp; Taha Mahsumi",IF(F25="U7","Alexander Zax &amp; Jürgen Joszt",IF(F25="FKG","Ronny Archam &amp; Florian Rac",IF(A25="Camp","Berger Dieter",IF(A25="Turnier","Berger Dieter","FEHLER"))))))))))))))))</f>
        <v>Pleninger Stefan &amp; Matthias Wachter</v>
      </c>
      <c r="K25" s="57" t="str">
        <f>IF(F25="KM","+43 664 415 99 09 &amp; +43 699 119 70 312",IF(F25="U23","+43 670 18 59 080 &amp; +43 664 451 22 16",IF(F25="U16","+43 690 104 20 129 &amp; +43 676 401 09 13 &amp; +43 699 181 68 504",IF(F25="U15","",IF(F25="U14","+43 699 192 49 527 &amp; +43 677 613 55 114",IF(F25="U13","",IF(F25="U12_1","+43 66 199 13 52 &amp;  +43 664 762 09 93",IF(F25="U12_2","+43 66 199 13 52 &amp;  +43 664 762 09 93",IF(F25="U11","+43 660 423 93 83",IF(F25="U10","+43 676 377 16 30",IF(F25="U9","+43 66 199 13 52 &amp;  +43 660 914 92 36",IF(F25="U8","+43 676 661 62 26 &amp;  +43 681 208 11 599",IF(F25="U7","+43 664 458 88 84 &amp;  +43 660 549 82 40",IF(F25="FKG","+43 699 111 93 828 &amp;  +43 660 600 25 06",IF(A25="Camp","+43 660 77 39 500",IF(A25="Turnier","+43 660 77 39 500","FEHLER"))))))))))))))))</f>
        <v>+43 664 415 99 09 &amp; +43 699 119 70 312</v>
      </c>
    </row>
    <row r="26" spans="1:11" ht="15.75" x14ac:dyDescent="0.25">
      <c r="A26" s="57" t="str">
        <f>'ICS2'!I133</f>
        <v>Turnier</v>
      </c>
      <c r="B26" s="103">
        <f>'ICS2'!B133</f>
        <v>46256</v>
      </c>
      <c r="C26" s="104">
        <f>'ICS2'!C133</f>
        <v>0.375</v>
      </c>
      <c r="D26" s="57" t="str">
        <f>'ICS2'!E133</f>
        <v>NEUFELD</v>
      </c>
      <c r="E26" s="57" t="str">
        <f>'ICS2'!H133</f>
        <v>viele Gegner</v>
      </c>
      <c r="F26" s="57" t="str">
        <f>A26</f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>IF(F26="KM","Pleninger Stefan &amp; Matthias Wachter",IF(F26="U23","Egzon Gentiani &amp; Dinges Stefan",IF(F26="U16","Serdar Ekinci &amp; Gernot Sevelda &amp; Hubi Oberhofer",IF(F26="U15","",IF(F26="U14","Christian Neckamm  &amp; Thomas Pöschl",IF(F26="U13","",IF(F26="U12_1","Tobias Berger &amp; Mario Magler",IF(F26="U12_2","Tobias Berger &amp; Mario Magler",IF(F26="U11","Christian Wirth",IF(F26="U10","Thomas Brandl",IF(F26="U9","Tobias Berger &amp; Sebastian Putric",IF(F26="U8","Ömer Türkes &amp; Taha Mahsumi",IF(F26="U7","Alexander Zax &amp; Jürgen Joszt",IF(F26="FKG","Ronny Archam &amp; Florian Rac",IF(A26="Camp","Berger Dieter",IF(A26="Turnier","Berger Dieter","FEHLER"))))))))))))))))</f>
        <v>Berger Dieter</v>
      </c>
      <c r="K26" s="57" t="str">
        <f>IF(F26="KM","+43 664 415 99 09 &amp; +43 699 119 70 312",IF(F26="U23","+43 670 18 59 080 &amp; +43 664 451 22 16",IF(F26="U16","+43 690 104 20 129 &amp; +43 676 401 09 13 &amp; +43 699 181 68 504",IF(F26="U15","",IF(F26="U14","+43 699 192 49 527 &amp; +43 677 613 55 114",IF(F26="U13","",IF(F26="U12_1","+43 66 199 13 52 &amp;  +43 664 762 09 93",IF(F26="U12_2","+43 66 199 13 52 &amp;  +43 664 762 09 93",IF(F26="U11","+43 660 423 93 83",IF(F26="U10","+43 676 377 16 30",IF(F26="U9","+43 66 199 13 52 &amp;  +43 660 914 92 36",IF(F26="U8","+43 676 661 62 26 &amp;  +43 681 208 11 599",IF(F26="U7","+43 664 458 88 84 &amp;  +43 660 549 82 40",IF(F26="FKG","+43 699 111 93 828 &amp;  +43 660 600 25 06",IF(A26="Camp","+43 660 77 39 500",IF(A26="Turnier","+43 660 77 39 500","FEHLER"))))))))))))))))</f>
        <v>+43 660 77 39 500</v>
      </c>
    </row>
    <row r="27" spans="1:11" ht="15.75" hidden="1" x14ac:dyDescent="0.25">
      <c r="A27" s="57" t="str">
        <f>'ICS2'!I29</f>
        <v>KM</v>
      </c>
      <c r="B27" s="103">
        <f>'ICS2'!B29</f>
        <v>46297</v>
      </c>
      <c r="C27" s="104">
        <f>'ICS2'!C29</f>
        <v>0.79166666666666663</v>
      </c>
      <c r="D27" s="57" t="str">
        <f>'ICS2'!E29</f>
        <v>SIEGENDORF</v>
      </c>
      <c r="E27" s="57" t="str">
        <f>'ICS2'!H29</f>
        <v>Siegendorf</v>
      </c>
      <c r="F27" s="57" t="str">
        <f>A27</f>
        <v>KM</v>
      </c>
      <c r="G27" s="57" t="str">
        <f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>IF(F27="KM","5",IF(F27="U23",5,IF(F27="U16","5",IF(F27="U15","5",IF(F27="U14","4",IF(F27="U13","4",IF(F27="U12_1","4",IF(F27="U12_2","4",IF(F27="U11","4",IF(F27="U10","4",IF(F27="U9","4","3")))))))))))</f>
        <v>5</v>
      </c>
      <c r="J27" s="57" t="str">
        <f>IF(F27="KM","Pleninger Stefan &amp; Matthias Wachter",IF(F27="U23","Egzon Gentiani &amp; Dinges Stefan",IF(F27="U16","Serdar Ekinci &amp; Gernot Sevelda &amp; Hubi Oberhofer",IF(F27="U15","",IF(F27="U14","Christian Neckamm  &amp; Thomas Pöschl",IF(F27="U13","",IF(F27="U12_1","Tobias Berger &amp; Mario Magler",IF(F27="U12_2","Tobias Berger &amp; Mario Magler",IF(F27="U11","Christian Wirth",IF(F27="U10","Thomas Brandl",IF(F27="U9","Tobias Berger &amp; Sebastian Putric",IF(F27="U8","Ömer Türkes &amp; Taha Mahsumi",IF(F27="U7","Alexander Zax &amp; Jürgen Joszt",IF(F27="FKG","Ronny Archam &amp; Florian Rac",IF(A27="Camp","Berger Dieter",IF(A27="Turnier","Berger Dieter","FEHLER"))))))))))))))))</f>
        <v>Pleninger Stefan &amp; Matthias Wachter</v>
      </c>
      <c r="K27" s="57" t="str">
        <f>IF(F27="KM","+43 664 415 99 09 &amp; +43 699 119 70 312",IF(F27="U23","+43 670 18 59 080 &amp; +43 664 451 22 16",IF(F27="U16","+43 690 104 20 129 &amp; +43 676 401 09 13 &amp; +43 699 181 68 504",IF(F27="U15","",IF(F27="U14","+43 699 192 49 527 &amp; +43 677 613 55 114",IF(F27="U13","",IF(F27="U12_1","+43 66 199 13 52 &amp;  +43 664 762 09 93",IF(F27="U12_2","+43 66 199 13 52 &amp;  +43 664 762 09 93",IF(F27="U11","+43 660 423 93 83",IF(F27="U10","+43 676 377 16 30",IF(F27="U9","+43 66 199 13 52 &amp;  +43 660 914 92 36",IF(F27="U8","+43 676 661 62 26 &amp;  +43 681 208 11 599",IF(F27="U7","+43 664 458 88 84 &amp;  +43 660 549 82 40",IF(F27="FKG","+43 699 111 93 828 &amp;  +43 660 600 25 06",IF(A27="Camp","+43 660 77 39 500",IF(A27="Turnier","+43 660 77 39 500","FEHLER"))))))))))))))))</f>
        <v>+43 664 415 99 09 &amp; +43 699 119 70 312</v>
      </c>
    </row>
    <row r="28" spans="1:11" ht="15.75" x14ac:dyDescent="0.25">
      <c r="A28" s="57" t="str">
        <f>'ICS2'!I17</f>
        <v>U16</v>
      </c>
      <c r="B28" s="103">
        <f>'ICS2'!B17</f>
        <v>46260</v>
      </c>
      <c r="C28" s="104">
        <f>'ICS2'!C17</f>
        <v>0.41666666666666669</v>
      </c>
      <c r="D28" s="57" t="str">
        <f>'ICS2'!E17</f>
        <v>NEUFELD</v>
      </c>
      <c r="E28" s="57" t="str">
        <f>'ICS2'!H17</f>
        <v>Traiskirchen</v>
      </c>
      <c r="F28" s="57" t="str">
        <f>A28</f>
        <v>U16</v>
      </c>
      <c r="G28" s="57" t="str">
        <f>IF(F28="KM","Großfeld",IF(F28="U23","Großfeld",IF(F28="U16","Großfeld",IF(F28="U15","Großfeld",IF(F28="U14","Großfeld",IF(F28="U12_1","55*40",IF(F28="U12_2","55x40",IF(F28="U11","55x40",IF(F28="U10","40x25",IF(F28="U9","40x25",IF(F28="U8","29x22",IF(F28="U7","25x20","16x15"))))))))))))</f>
        <v>Großfeld</v>
      </c>
      <c r="H28" s="57" t="str">
        <f>IF(F28="KM","7,32x2,44",IF(F28="U23","7,32x2,44",IF(F28="U16","7,32x2,44",IF(F28="U15","7,32x2,44",IF(F28="U14","7,32x2,44",IF(F28="U13","5x2",IF(F28="U12_1","7,32x2,44",IF(F28="U12_2","7,32x2,44",IF(F28="U11","5x2",IF(F28="U10","5x2
",IF(F28="U9","5x2","4 Minitore")))))))))))</f>
        <v>7,32x2,44</v>
      </c>
      <c r="I28" s="57" t="str">
        <f>IF(F28="KM","5",IF(F28="U23",5,IF(F28="U16","5",IF(F28="U15","5",IF(F28="U14","4",IF(F28="U13","4",IF(F28="U12_1","4",IF(F28="U12_2","4",IF(F28="U11","4",IF(F28="U10","4",IF(F28="U9","4","3")))))))))))</f>
        <v>5</v>
      </c>
      <c r="J28" s="57" t="str">
        <f>IF(F28="KM","Pleninger Stefan &amp; Matthias Wachter",IF(F28="U23","Egzon Gentiani &amp; Dinges Stefan",IF(F28="U16","Serdar Ekinci &amp; Gernot Sevelda &amp; Hubi Oberhofer",IF(F28="U15","",IF(F28="U14","Christian Neckamm  &amp; Thomas Pöschl",IF(F28="U13","",IF(F28="U12_1","Tobias Berger &amp; Mario Magler",IF(F28="U12_2","Tobias Berger &amp; Mario Magler",IF(F28="U11","Christian Wirth",IF(F28="U10","Thomas Brandl",IF(F28="U9","Tobias Berger &amp; Sebastian Putric",IF(F28="U8","Ömer Türkes &amp; Taha Mahsumi",IF(F28="U7","Alexander Zax &amp; Jürgen Joszt",IF(F28="FKG","Ronny Archam &amp; Florian Rac",IF(A28="Camp","Berger Dieter",IF(A28="Turnier","Berger Dieter","FEHLER"))))))))))))))))</f>
        <v>Serdar Ekinci &amp; Gernot Sevelda &amp; Hubi Oberhofer</v>
      </c>
      <c r="K28" s="57" t="str">
        <f>IF(F28="KM","+43 664 415 99 09 &amp; +43 699 119 70 312",IF(F28="U23","+43 670 18 59 080 &amp; +43 664 451 22 16",IF(F28="U16","+43 690 104 20 129 &amp; +43 676 401 09 13 &amp; +43 699 181 68 504",IF(F28="U15","",IF(F28="U14","+43 699 192 49 527 &amp; +43 677 613 55 114",IF(F28="U13","",IF(F28="U12_1","+43 66 199 13 52 &amp;  +43 664 762 09 93",IF(F28="U12_2","+43 66 199 13 52 &amp;  +43 664 762 09 93",IF(F28="U11","+43 660 423 93 83",IF(F28="U10","+43 676 377 16 30",IF(F28="U9","+43 66 199 13 52 &amp;  +43 660 914 92 36",IF(F28="U8","+43 676 661 62 26 &amp;  +43 681 208 11 599",IF(F28="U7","+43 664 458 88 84 &amp;  +43 660 549 82 40",IF(F28="FKG","+43 699 111 93 828 &amp;  +43 660 600 25 06",IF(A28="Camp","+43 660 77 39 500",IF(A28="Turnier","+43 660 77 39 500","FEHLER"))))))))))))))))</f>
        <v>+43 690 104 20 129 &amp; +43 676 401 09 13 &amp; +43 699 181 68 504</v>
      </c>
    </row>
    <row r="29" spans="1:11" ht="15.75" hidden="1" x14ac:dyDescent="0.25">
      <c r="A29" s="57" t="str">
        <f>'ICS2'!I31</f>
        <v>KM</v>
      </c>
      <c r="B29" s="103">
        <f>'ICS2'!B31</f>
        <v>46311</v>
      </c>
      <c r="C29" s="104">
        <f>'ICS2'!C31</f>
        <v>0.8125</v>
      </c>
      <c r="D29" s="57" t="str">
        <f>'ICS2'!E31</f>
        <v>HORNSTEIN</v>
      </c>
      <c r="E29" s="57" t="str">
        <f>'ICS2'!H31</f>
        <v>Hornstein</v>
      </c>
      <c r="F29" s="57" t="str">
        <f>A29</f>
        <v>KM</v>
      </c>
      <c r="G29" s="57" t="str">
        <f>IF(F29="KM","Großfeld",IF(F29="U23","Großfeld",IF(F29="U16","Großfeld",IF(F29="U15","Großfeld",IF(F29="U14","Großfeld",IF(F29="U12_1","55*40",IF(F29="U12_2","55x40",IF(F29="U11","55x40",IF(F29="U10","40x25",IF(F29="U9","40x25",IF(F29="U8","29x22",IF(F29="U7","25x20","16x15"))))))))))))</f>
        <v>Großfeld</v>
      </c>
      <c r="H29" s="57" t="str">
        <f>IF(F29="KM","7,32x2,44",IF(F29="U23","7,32x2,44",IF(F29="U16","7,32x2,44",IF(F29="U15","7,32x2,44",IF(F29="U14","7,32x2,44",IF(F29="U13","5x2",IF(F29="U12_1","7,32x2,44",IF(F29="U12_2","7,32x2,44",IF(F29="U11","5x2",IF(F29="U10","5x2
",IF(F29="U9","5x2","4 Minitore")))))))))))</f>
        <v>7,32x2,44</v>
      </c>
      <c r="I29" s="57" t="str">
        <f>IF(F29="KM","5",IF(F29="U23",5,IF(F29="U16","5",IF(F29="U15","5",IF(F29="U14","4",IF(F29="U13","4",IF(F29="U12_1","4",IF(F29="U12_2","4",IF(F29="U11","4",IF(F29="U10","4",IF(F29="U9","4","3")))))))))))</f>
        <v>5</v>
      </c>
      <c r="J29" s="57" t="str">
        <f>IF(F29="KM","Pleninger Stefan &amp; Matthias Wachter",IF(F29="U23","Egzon Gentiani &amp; Dinges Stefan",IF(F29="U16","Serdar Ekinci &amp; Gernot Sevelda &amp; Hubi Oberhofer",IF(F29="U15","",IF(F29="U14","Christian Neckamm  &amp; Thomas Pöschl",IF(F29="U13","",IF(F29="U12_1","Tobias Berger &amp; Mario Magler",IF(F29="U12_2","Tobias Berger &amp; Mario Magler",IF(F29="U11","Christian Wirth",IF(F29="U10","Thomas Brandl",IF(F29="U9","Tobias Berger &amp; Sebastian Putric",IF(F29="U8","Ömer Türkes &amp; Taha Mahsumi",IF(F29="U7","Alexander Zax &amp; Jürgen Joszt",IF(F29="FKG","Ronny Archam &amp; Florian Rac",IF(A29="Camp","Berger Dieter",IF(A29="Turnier","Berger Dieter","FEHLER"))))))))))))))))</f>
        <v>Pleninger Stefan &amp; Matthias Wachter</v>
      </c>
      <c r="K29" s="57" t="str">
        <f>IF(F29="KM","+43 664 415 99 09 &amp; +43 699 119 70 312",IF(F29="U23","+43 670 18 59 080 &amp; +43 664 451 22 16",IF(F29="U16","+43 690 104 20 129 &amp; +43 676 401 09 13 &amp; +43 699 181 68 504",IF(F29="U15","",IF(F29="U14","+43 699 192 49 527 &amp; +43 677 613 55 114",IF(F29="U13","",IF(F29="U12_1","+43 66 199 13 52 &amp;  +43 664 762 09 93",IF(F29="U12_2","+43 66 199 13 52 &amp;  +43 664 762 09 93",IF(F29="U11","+43 660 423 93 83",IF(F29="U10","+43 676 377 16 30",IF(F29="U9","+43 66 199 13 52 &amp;  +43 660 914 92 36",IF(F29="U8","+43 676 661 62 26 &amp;  +43 681 208 11 599",IF(F29="U7","+43 664 458 88 84 &amp;  +43 660 549 82 40",IF(F29="FKG","+43 699 111 93 828 &amp;  +43 660 600 25 06",IF(A29="Camp","+43 660 77 39 500",IF(A29="Turnier","+43 660 77 39 500","FEHLER"))))))))))))))))</f>
        <v>+43 664 415 99 09 &amp; +43 699 119 70 312</v>
      </c>
    </row>
    <row r="30" spans="1:11" ht="15.75" x14ac:dyDescent="0.25">
      <c r="A30" s="57" t="str">
        <f>'ICS2'!I18</f>
        <v>U14</v>
      </c>
      <c r="B30" s="103">
        <f>'ICS2'!B18</f>
        <v>46260</v>
      </c>
      <c r="C30" s="104">
        <f>'ICS2'!C18</f>
        <v>0.79166666666666663</v>
      </c>
      <c r="D30" s="57" t="str">
        <f>'ICS2'!E18</f>
        <v>GROßHÖFLEIN</v>
      </c>
      <c r="E30" s="57" t="str">
        <f>'ICS2'!H18</f>
        <v>SPG Leitha/Stotzing</v>
      </c>
      <c r="F30" s="57" t="str">
        <f>A30</f>
        <v>U14</v>
      </c>
      <c r="G30" s="57" t="str">
        <f>IF(F30="KM","Großfeld",IF(F30="U23","Großfeld",IF(F30="U16","Großfeld",IF(F30="U15","Großfeld",IF(F30="U14","Großfeld",IF(F30="U12_1","55*40",IF(F30="U12_2","55x40",IF(F30="U11","55x40",IF(F30="U10","40x25",IF(F30="U9","40x25",IF(F30="U8","29x22",IF(F30="U7","25x20","16x15"))))))))))))</f>
        <v>Großfeld</v>
      </c>
      <c r="H30" s="57" t="str">
        <f>IF(F30="KM","7,32x2,44",IF(F30="U23","7,32x2,44",IF(F30="U16","7,32x2,44",IF(F30="U15","7,32x2,44",IF(F30="U14","7,32x2,44",IF(F30="U13","5x2",IF(F30="U12_1","7,32x2,44",IF(F30="U12_2","7,32x2,44",IF(F30="U11","5x2",IF(F30="U10","5x2
",IF(F30="U9","5x2","4 Minitore")))))))))))</f>
        <v>7,32x2,44</v>
      </c>
      <c r="I30" s="57" t="str">
        <f>IF(F30="KM","5",IF(F30="U23",5,IF(F30="U16","5",IF(F30="U15","5",IF(F30="U14","4",IF(F30="U13","4",IF(F30="U12_1","4",IF(F30="U12_2","4",IF(F30="U11","4",IF(F30="U10","4",IF(F30="U9","4","3")))))))))))</f>
        <v>4</v>
      </c>
      <c r="J30" s="57" t="str">
        <f>IF(F30="KM","Pleninger Stefan &amp; Matthias Wachter",IF(F30="U23","Egzon Gentiani &amp; Dinges Stefan",IF(F30="U16","Serdar Ekinci &amp; Gernot Sevelda &amp; Hubi Oberhofer",IF(F30="U15","",IF(F30="U14","Christian Neckamm  &amp; Thomas Pöschl",IF(F30="U13","",IF(F30="U12_1","Tobias Berger &amp; Mario Magler",IF(F30="U12_2","Tobias Berger &amp; Mario Magler",IF(F30="U11","Christian Wirth",IF(F30="U10","Thomas Brandl",IF(F30="U9","Tobias Berger &amp; Sebastian Putric",IF(F30="U8","Ömer Türkes &amp; Taha Mahsumi",IF(F30="U7","Alexander Zax &amp; Jürgen Joszt",IF(F30="FKG","Ronny Archam &amp; Florian Rac",IF(A30="Camp","Berger Dieter",IF(A30="Turnier","Berger Dieter","FEHLER"))))))))))))))))</f>
        <v>Christian Neckamm  &amp; Thomas Pöschl</v>
      </c>
      <c r="K30" s="57" t="str">
        <f>IF(F30="KM","+43 664 415 99 09 &amp; +43 699 119 70 312",IF(F30="U23","+43 670 18 59 080 &amp; +43 664 451 22 16",IF(F30="U16","+43 690 104 20 129 &amp; +43 676 401 09 13 &amp; +43 699 181 68 504",IF(F30="U15","",IF(F30="U14","+43 699 192 49 527 &amp; +43 677 613 55 114",IF(F30="U13","",IF(F30="U12_1","+43 66 199 13 52 &amp;  +43 664 762 09 93",IF(F30="U12_2","+43 66 199 13 52 &amp;  +43 664 762 09 93",IF(F30="U11","+43 660 423 93 83",IF(F30="U10","+43 676 377 16 30",IF(F30="U9","+43 66 199 13 52 &amp;  +43 660 914 92 36",IF(F30="U8","+43 676 661 62 26 &amp;  +43 681 208 11 599",IF(F30="U7","+43 664 458 88 84 &amp;  +43 660 549 82 40",IF(F30="FKG","+43 699 111 93 828 &amp;  +43 660 600 25 06",IF(A30="Camp","+43 660 77 39 500",IF(A30="Turnier","+43 660 77 39 500","FEHLER"))))))))))))))))</f>
        <v>+43 699 192 49 527 &amp; +43 677 613 55 114</v>
      </c>
    </row>
    <row r="31" spans="1:11" ht="15.75" hidden="1" x14ac:dyDescent="0.25">
      <c r="A31" s="57" t="str">
        <f>'ICS2'!I33</f>
        <v>KM</v>
      </c>
      <c r="B31" s="103">
        <f>'ICS2'!B33</f>
        <v>46326</v>
      </c>
      <c r="C31" s="104">
        <f>'ICS2'!C33</f>
        <v>0.75</v>
      </c>
      <c r="D31" s="57" t="str">
        <f>'ICS2'!E33</f>
        <v>ILLMITZ</v>
      </c>
      <c r="E31" s="57" t="str">
        <f>'ICS2'!H33</f>
        <v>Illmitz</v>
      </c>
      <c r="F31" s="57" t="str">
        <f>A31</f>
        <v>KM</v>
      </c>
      <c r="G31" s="57" t="str">
        <f>IF(F31="KM","Großfeld",IF(F31="U23","Großfeld",IF(F31="U16","Großfeld",IF(F31="U15","Großfeld",IF(F31="U14","Großfeld",IF(F31="U12_1","55*40",IF(F31="U12_2","55x40",IF(F31="U11","55x40",IF(F31="U10","40x25",IF(F31="U9","40x25",IF(F31="U8","29x22",IF(F31="U7","25x20","16x15"))))))))))))</f>
        <v>Großfeld</v>
      </c>
      <c r="H31" s="57" t="str">
        <f>IF(F31="KM","7,32x2,44",IF(F31="U23","7,32x2,44",IF(F31="U16","7,32x2,44",IF(F31="U15","7,32x2,44",IF(F31="U14","7,32x2,44",IF(F31="U13","5x2",IF(F31="U12_1","7,32x2,44",IF(F31="U12_2","7,32x2,44",IF(F31="U11","5x2",IF(F31="U10","5x2
",IF(F31="U9","5x2","4 Minitore")))))))))))</f>
        <v>7,32x2,44</v>
      </c>
      <c r="I31" s="57" t="str">
        <f>IF(F31="KM","5",IF(F31="U23",5,IF(F31="U16","5",IF(F31="U15","5",IF(F31="U14","4",IF(F31="U13","4",IF(F31="U12_1","4",IF(F31="U12_2","4",IF(F31="U11","4",IF(F31="U10","4",IF(F31="U9","4","3")))))))))))</f>
        <v>5</v>
      </c>
      <c r="J31" s="57" t="str">
        <f>IF(F31="KM","Pleninger Stefan &amp; Matthias Wachter",IF(F31="U23","Egzon Gentiani &amp; Dinges Stefan",IF(F31="U16","Serdar Ekinci &amp; Gernot Sevelda &amp; Hubi Oberhofer",IF(F31="U15","",IF(F31="U14","Christian Neckamm  &amp; Thomas Pöschl",IF(F31="U13","",IF(F31="U12_1","Tobias Berger &amp; Mario Magler",IF(F31="U12_2","Tobias Berger &amp; Mario Magler",IF(F31="U11","Christian Wirth",IF(F31="U10","Thomas Brandl",IF(F31="U9","Tobias Berger &amp; Sebastian Putric",IF(F31="U8","Ömer Türkes &amp; Taha Mahsumi",IF(F31="U7","Alexander Zax &amp; Jürgen Joszt",IF(F31="FKG","Ronny Archam &amp; Florian Rac",IF(A31="Camp","Berger Dieter",IF(A31="Turnier","Berger Dieter","FEHLER"))))))))))))))))</f>
        <v>Pleninger Stefan &amp; Matthias Wachter</v>
      </c>
      <c r="K31" s="57" t="str">
        <f>IF(F31="KM","+43 664 415 99 09 &amp; +43 699 119 70 312",IF(F31="U23","+43 670 18 59 080 &amp; +43 664 451 22 16",IF(F31="U16","+43 690 104 20 129 &amp; +43 676 401 09 13 &amp; +43 699 181 68 504",IF(F31="U15","",IF(F31="U14","+43 699 192 49 527 &amp; +43 677 613 55 114",IF(F31="U13","",IF(F31="U12_1","+43 66 199 13 52 &amp;  +43 664 762 09 93",IF(F31="U12_2","+43 66 199 13 52 &amp;  +43 664 762 09 93",IF(F31="U11","+43 660 423 93 83",IF(F31="U10","+43 676 377 16 30",IF(F31="U9","+43 66 199 13 52 &amp;  +43 660 914 92 36",IF(F31="U8","+43 676 661 62 26 &amp;  +43 681 208 11 599",IF(F31="U7","+43 664 458 88 84 &amp;  +43 660 549 82 40",IF(F31="FKG","+43 699 111 93 828 &amp;  +43 660 600 25 06",IF(A31="Camp","+43 660 77 39 500",IF(A31="Turnier","+43 660 77 39 500","FEHLER"))))))))))))))))</f>
        <v>+43 664 415 99 09 &amp; +43 699 119 70 312</v>
      </c>
    </row>
    <row r="32" spans="1:11" ht="15.75" x14ac:dyDescent="0.25">
      <c r="A32" s="57" t="str">
        <f>'ICS2'!I19</f>
        <v>U14</v>
      </c>
      <c r="B32" s="103">
        <f>'ICS2'!B19</f>
        <v>46263</v>
      </c>
      <c r="C32" s="104">
        <f>'ICS2'!C19</f>
        <v>0.4375</v>
      </c>
      <c r="D32" s="57" t="str">
        <f>'ICS2'!E19</f>
        <v>GROßHÖFLEIN</v>
      </c>
      <c r="E32" s="57" t="str">
        <f>'ICS2'!H19</f>
        <v>Oggau</v>
      </c>
      <c r="F32" s="57" t="str">
        <f>A32</f>
        <v>U14</v>
      </c>
      <c r="G32" s="57" t="str">
        <f>IF(F32="KM","Großfeld",IF(F32="U23","Großfeld",IF(F32="U16","Großfeld",IF(F32="U15","Großfeld",IF(F32="U14","Großfeld",IF(F32="U12_1","55*40",IF(F32="U12_2","55x40",IF(F32="U11","55x40",IF(F32="U10","40x25",IF(F32="U9","40x25",IF(F32="U8","29x22",IF(F32="U7","25x20","16x15"))))))))))))</f>
        <v>Großfeld</v>
      </c>
      <c r="H32" s="57" t="str">
        <f>IF(F32="KM","7,32x2,44",IF(F32="U23","7,32x2,44",IF(F32="U16","7,32x2,44",IF(F32="U15","7,32x2,44",IF(F32="U14","7,32x2,44",IF(F32="U13","5x2",IF(F32="U12_1","7,32x2,44",IF(F32="U12_2","7,32x2,44",IF(F32="U11","5x2",IF(F32="U10","5x2
",IF(F32="U9","5x2","4 Minitore")))))))))))</f>
        <v>7,32x2,44</v>
      </c>
      <c r="I32" s="57" t="str">
        <f>IF(F32="KM","5",IF(F32="U23",5,IF(F32="U16","5",IF(F32="U15","5",IF(F32="U14","4",IF(F32="U13","4",IF(F32="U12_1","4",IF(F32="U12_2","4",IF(F32="U11","4",IF(F32="U10","4",IF(F32="U9","4","3")))))))))))</f>
        <v>4</v>
      </c>
      <c r="J32" s="57" t="str">
        <f>IF(F32="KM","Pleninger Stefan &amp; Matthias Wachter",IF(F32="U23","Egzon Gentiani &amp; Dinges Stefan",IF(F32="U16","Serdar Ekinci &amp; Gernot Sevelda &amp; Hubi Oberhofer",IF(F32="U15","",IF(F32="U14","Christian Neckamm  &amp; Thomas Pöschl",IF(F32="U13","",IF(F32="U12_1","Tobias Berger &amp; Mario Magler",IF(F32="U12_2","Tobias Berger &amp; Mario Magler",IF(F32="U11","Christian Wirth",IF(F32="U10","Thomas Brandl",IF(F32="U9","Tobias Berger &amp; Sebastian Putric",IF(F32="U8","Ömer Türkes &amp; Taha Mahsumi",IF(F32="U7","Alexander Zax &amp; Jürgen Joszt",IF(F32="FKG","Ronny Archam &amp; Florian Rac",IF(A32="Camp","Berger Dieter",IF(A32="Turnier","Berger Dieter","FEHLER"))))))))))))))))</f>
        <v>Christian Neckamm  &amp; Thomas Pöschl</v>
      </c>
      <c r="K32" s="57" t="str">
        <f>IF(F32="KM","+43 664 415 99 09 &amp; +43 699 119 70 312",IF(F32="U23","+43 670 18 59 080 &amp; +43 664 451 22 16",IF(F32="U16","+43 690 104 20 129 &amp; +43 676 401 09 13 &amp; +43 699 181 68 504",IF(F32="U15","",IF(F32="U14","+43 699 192 49 527 &amp; +43 677 613 55 114",IF(F32="U13","",IF(F32="U12_1","+43 66 199 13 52 &amp;  +43 664 762 09 93",IF(F32="U12_2","+43 66 199 13 52 &amp;  +43 664 762 09 93",IF(F32="U11","+43 660 423 93 83",IF(F32="U10","+43 676 377 16 30",IF(F32="U9","+43 66 199 13 52 &amp;  +43 660 914 92 36",IF(F32="U8","+43 676 661 62 26 &amp;  +43 681 208 11 599",IF(F32="U7","+43 664 458 88 84 &amp;  +43 660 549 82 40",IF(F32="FKG","+43 699 111 93 828 &amp;  +43 660 600 25 06",IF(A32="Camp","+43 660 77 39 500",IF(A32="Turnier","+43 660 77 39 500","FEHLER"))))))))))))))))</f>
        <v>+43 699 192 49 527 &amp; +43 677 613 55 114</v>
      </c>
    </row>
    <row r="33" spans="1:11" ht="15.75" hidden="1" x14ac:dyDescent="0.25">
      <c r="A33" s="57" t="str">
        <f>'ICS2'!I21</f>
        <v>KM</v>
      </c>
      <c r="B33" s="103">
        <f>'ICS2'!B21</f>
        <v>46445</v>
      </c>
      <c r="C33" s="104">
        <f>'ICS2'!C21</f>
        <v>0.5</v>
      </c>
      <c r="D33" s="57" t="str">
        <f>'ICS2'!E21</f>
        <v>BAD ERLACH</v>
      </c>
      <c r="E33" s="57" t="str">
        <f>'ICS2'!H21</f>
        <v>Bad Erlach</v>
      </c>
      <c r="F33" s="57" t="str">
        <f>A33</f>
        <v>KM</v>
      </c>
      <c r="G33" s="57" t="str">
        <f>IF(F33="KM","Großfeld",IF(F33="U23","Großfeld",IF(F33="U16","Großfeld",IF(F33="U15","Großfeld",IF(F33="U14","Großfeld",IF(F33="U12_1","55*40",IF(F33="U12_2","55x40",IF(F33="U11","55x40",IF(F33="U10","40x25",IF(F33="U9","40x25",IF(F33="U8","29x22",IF(F33="U7","25x20","16x15"))))))))))))</f>
        <v>Großfeld</v>
      </c>
      <c r="H33" s="57" t="str">
        <f>IF(F33="KM","7,32x2,44",IF(F33="U23","7,32x2,44",IF(F33="U16","7,32x2,44",IF(F33="U15","7,32x2,44",IF(F33="U14","7,32x2,44",IF(F33="U13","5x2",IF(F33="U12_1","7,32x2,44",IF(F33="U12_2","7,32x2,44",IF(F33="U11","5x2",IF(F33="U10","5x2
",IF(F33="U9","5x2","4 Minitore")))))))))))</f>
        <v>7,32x2,44</v>
      </c>
      <c r="I33" s="57" t="str">
        <f>IF(F33="KM","5",IF(F33="U23",5,IF(F33="U16","5",IF(F33="U15","5",IF(F33="U14","4",IF(F33="U13","4",IF(F33="U12_1","4",IF(F33="U12_2","4",IF(F33="U11","4",IF(F33="U10","4",IF(F33="U9","4","3")))))))))))</f>
        <v>5</v>
      </c>
      <c r="J33" s="57" t="str">
        <f>IF(F33="KM","Pleninger Stefan &amp; Matthias Wachter",IF(F33="U23","Egzon Gentiani &amp; Dinges Stefan",IF(F33="U16","Serdar Ekinci &amp; Gernot Sevelda &amp; Hubi Oberhofer",IF(F33="U15","",IF(F33="U14","Christian Neckamm  &amp; Thomas Pöschl",IF(F33="U13","",IF(F33="U12_1","Tobias Berger &amp; Mario Magler",IF(F33="U12_2","Tobias Berger &amp; Mario Magler",IF(F33="U11","Christian Wirth",IF(F33="U10","Thomas Brandl",IF(F33="U9","Tobias Berger &amp; Sebastian Putric",IF(F33="U8","Ömer Türkes &amp; Taha Mahsumi",IF(F33="U7","Alexander Zax &amp; Jürgen Joszt",IF(F33="FKG","Ronny Archam &amp; Florian Rac",IF(A33="Camp","Berger Dieter",IF(A33="Turnier","Berger Dieter","FEHLER"))))))))))))))))</f>
        <v>Pleninger Stefan &amp; Matthias Wachter</v>
      </c>
      <c r="K33" s="57" t="str">
        <f>IF(F33="KM","+43 664 415 99 09 &amp; +43 699 119 70 312",IF(F33="U23","+43 670 18 59 080 &amp; +43 664 451 22 16",IF(F33="U16","+43 690 104 20 129 &amp; +43 676 401 09 13 &amp; +43 699 181 68 504",IF(F33="U15","",IF(F33="U14","+43 699 192 49 527 &amp; +43 677 613 55 114",IF(F33="U13","",IF(F33="U12_1","+43 66 199 13 52 &amp;  +43 664 762 09 93",IF(F33="U12_2","+43 66 199 13 52 &amp;  +43 664 762 09 93",IF(F33="U11","+43 660 423 93 83",IF(F33="U10","+43 676 377 16 30",IF(F33="U9","+43 66 199 13 52 &amp;  +43 660 914 92 36",IF(F33="U8","+43 676 661 62 26 &amp;  +43 681 208 11 599",IF(F33="U7","+43 664 458 88 84 &amp;  +43 660 549 82 40",IF(F33="FKG","+43 699 111 93 828 &amp;  +43 660 600 25 06",IF(A33="Camp","+43 660 77 39 500",IF(A33="Turnier","+43 660 77 39 500","FEHLER"))))))))))))))))</f>
        <v>+43 664 415 99 09 &amp; +43 699 119 70 312</v>
      </c>
    </row>
    <row r="34" spans="1:11" ht="15.75" x14ac:dyDescent="0.25">
      <c r="A34" s="57" t="str">
        <f>'ICS2'!I37</f>
        <v>U23</v>
      </c>
      <c r="B34" s="103">
        <f>'ICS2'!B37</f>
        <v>46263</v>
      </c>
      <c r="C34" s="104">
        <f>'ICS2'!C37</f>
        <v>0.66666666666666663</v>
      </c>
      <c r="D34" s="57" t="str">
        <f>'ICS2'!E37</f>
        <v>NEUFELD</v>
      </c>
      <c r="E34" s="57" t="str">
        <f>'ICS2'!H37</f>
        <v>Tadten</v>
      </c>
      <c r="F34" s="57" t="str">
        <f>A34</f>
        <v>U23</v>
      </c>
      <c r="G34" s="57" t="str">
        <f>IF(F34="KM","Großfeld",IF(F34="U23","Großfeld",IF(F34="U16","Großfeld",IF(F34="U15","Großfeld",IF(F34="U14","Großfeld",IF(F34="U12_1","55*40",IF(F34="U12_2","55x40",IF(F34="U11","55x40",IF(F34="U10","40x25",IF(F34="U9","40x25",IF(F34="U8","29x22",IF(F34="U7","25x20","16x15"))))))))))))</f>
        <v>Großfeld</v>
      </c>
      <c r="H34" s="57" t="str">
        <f>IF(F34="KM","7,32x2,44",IF(F34="U23","7,32x2,44",IF(F34="U16","7,32x2,44",IF(F34="U15","7,32x2,44",IF(F34="U14","7,32x2,44",IF(F34="U13","5x2",IF(F34="U12_1","7,32x2,44",IF(F34="U12_2","7,32x2,44",IF(F34="U11","5x2",IF(F34="U10","5x2
",IF(F34="U9","5x2","4 Minitore")))))))))))</f>
        <v>7,32x2,44</v>
      </c>
      <c r="I34" s="57">
        <f>IF(F34="KM","5",IF(F34="U23",5,IF(F34="U16","5",IF(F34="U15","5",IF(F34="U14","4",IF(F34="U13","4",IF(F34="U12_1","4",IF(F34="U12_2","4",IF(F34="U11","4",IF(F34="U10","4",IF(F34="U9","4","3")))))))))))</f>
        <v>5</v>
      </c>
      <c r="J34" s="57" t="str">
        <f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75" x14ac:dyDescent="0.25">
      <c r="A35" s="57" t="str">
        <f>'ICS2'!I24</f>
        <v>KM</v>
      </c>
      <c r="B35" s="103">
        <f>'ICS2'!B24</f>
        <v>46263</v>
      </c>
      <c r="C35" s="104">
        <f>'ICS2'!C24</f>
        <v>0.75</v>
      </c>
      <c r="D35" s="57" t="str">
        <f>'ICS2'!E24</f>
        <v>NEUFELD</v>
      </c>
      <c r="E35" s="57" t="str">
        <f>'ICS2'!H24</f>
        <v>Tadten</v>
      </c>
      <c r="F35" s="57" t="str">
        <f>A35</f>
        <v>KM</v>
      </c>
      <c r="G35" s="57" t="str">
        <f>IF(F35="KM","Großfeld",IF(F35="U23","Großfeld",IF(F35="U16","Großfeld",IF(F35="U15","Großfeld",IF(F35="U14","Großfeld",IF(F35="U12_1","55*40",IF(F35="U12_2","55x40",IF(F35="U11","55x40",IF(F35="U10","40x25",IF(F35="U9","40x25",IF(F35="U8","29x22",IF(F35="U7","25x20","16x15"))))))))))))</f>
        <v>Großfeld</v>
      </c>
      <c r="H35" s="57" t="str">
        <f>IF(F35="KM","7,32x2,44",IF(F35="U23","7,32x2,44",IF(F35="U16","7,32x2,44",IF(F35="U15","7,32x2,44",IF(F35="U14","7,32x2,44",IF(F35="U13","5x2",IF(F35="U12_1","7,32x2,44",IF(F35="U12_2","7,32x2,44",IF(F35="U11","5x2",IF(F35="U10","5x2
",IF(F35="U9","5x2","4 Minitore")))))))))))</f>
        <v>7,32x2,44</v>
      </c>
      <c r="I35" s="57" t="str">
        <f>IF(F35="KM","5",IF(F35="U23",5,IF(F35="U16","5",IF(F35="U15","5",IF(F35="U14","4",IF(F35="U13","4",IF(F35="U12_1","4",IF(F35="U12_2","4",IF(F35="U11","4",IF(F35="U10","4",IF(F35="U9","4","3")))))))))))</f>
        <v>5</v>
      </c>
      <c r="J35" s="57" t="str">
        <f>IF(F35="KM","Pleninger Stefan &amp; Matthias Wachter",IF(F35="U23","Egzon Gentiani &amp; Dinges Stefan",IF(F35="U16","Serdar Ekinci &amp; Gernot Sevelda &amp; Hubi Oberhofer",IF(F35="U15","",IF(F35="U14","Christian Neckamm  &amp; Thomas Pöschl",IF(F35="U13","",IF(F35="U12_1","Tobias Berger &amp; Mario Magler",IF(F35="U12_2","Tobias Berger &amp; Mario Magler",IF(F35="U11","Christian Wirth",IF(F35="U10","Thomas Brandl",IF(F35="U9","Tobias Berger &amp; Sebastian Putric",IF(F35="U8","Ömer Türkes &amp; Taha Mahsumi",IF(F35="U7","Alexander Zax &amp; Jürgen Joszt",IF(F35="FKG","Ronny Archam &amp; Florian Rac",IF(A35="Camp","Berger Dieter",IF(A35="Turnier","Berger Dieter","FEHLER"))))))))))))))))</f>
        <v>Pleninger Stefan &amp; Matthias Wachter</v>
      </c>
      <c r="K35" s="57" t="str">
        <f>IF(F35="KM","+43 664 415 99 09 &amp; +43 699 119 70 312",IF(F35="U23","+43 670 18 59 080 &amp; +43 664 451 22 16",IF(F35="U16","+43 690 104 20 129 &amp; +43 676 401 09 13 &amp; +43 699 181 68 504",IF(F35="U15","",IF(F35="U14","+43 699 192 49 527 &amp; +43 677 613 55 114",IF(F35="U13","",IF(F35="U12_1","+43 66 199 13 52 &amp;  +43 664 762 09 93",IF(F35="U12_2","+43 66 199 13 52 &amp;  +43 664 762 09 93",IF(F35="U11","+43 660 423 93 83",IF(F35="U10","+43 676 377 16 30",IF(F35="U9","+43 66 199 13 52 &amp;  +43 660 914 92 36",IF(F35="U8","+43 676 661 62 26 &amp;  +43 681 208 11 599",IF(F35="U7","+43 664 458 88 84 &amp;  +43 660 549 82 40",IF(F35="FKG","+43 699 111 93 828 &amp;  +43 660 600 25 06",IF(A35="Camp","+43 660 77 39 500",IF(A35="Turnier","+43 660 77 39 500","FEHLER"))))))))))))))))</f>
        <v>+43 664 415 99 09 &amp; +43 699 119 70 312</v>
      </c>
    </row>
    <row r="36" spans="1:11" ht="15.75" x14ac:dyDescent="0.25">
      <c r="A36" s="117" t="str">
        <f>'ICS2'!I68</f>
        <v>U12_1</v>
      </c>
      <c r="B36" s="118">
        <f>'ICS2'!B68</f>
        <v>46269</v>
      </c>
      <c r="C36" s="119">
        <f>'ICS2'!C68</f>
        <v>0</v>
      </c>
      <c r="D36" s="117" t="str">
        <f>'ICS2'!E68</f>
        <v>STEINBRUNN</v>
      </c>
      <c r="E36" s="117" t="str">
        <f>'ICS2'!H68</f>
        <v>Stotzing</v>
      </c>
      <c r="F36" s="117" t="str">
        <f>A36</f>
        <v>U12_1</v>
      </c>
      <c r="G36" s="117" t="str">
        <f>IF(F36="KM","Großfeld",IF(F36="U23","Großfeld",IF(F36="U16","Großfeld",IF(F36="U15","Großfeld",IF(F36="U14","Großfeld",IF(F36="U12_1","55*40",IF(F36="U12_2","55x40",IF(F36="U11","55x40",IF(F36="U10","40x25",IF(F36="U9","40x25",IF(F36="U8","29x22",IF(F36="U7","25x20","16x15"))))))))))))</f>
        <v>55*40</v>
      </c>
      <c r="H36" s="117" t="str">
        <f>IF(F36="KM","7,32x2,44",IF(F36="U23","7,32x2,44",IF(F36="U16","7,32x2,44",IF(F36="U15","7,32x2,44",IF(F36="U14","7,32x2,44",IF(F36="U13","5x2",IF(F36="U12_1","7,32x2,44",IF(F36="U12_2","7,32x2,44",IF(F36="U11","5x2",IF(F36="U10","5x2
",IF(F36="U9","5x2","4 Minitore")))))))))))</f>
        <v>7,32x2,44</v>
      </c>
      <c r="I36" s="117" t="str">
        <f>IF(F36="KM","5",IF(F36="U23",5,IF(F36="U16","5",IF(F36="U15","5",IF(F36="U14","4",IF(F36="U13","4",IF(F36="U12_1","4",IF(F36="U12_2","4",IF(F36="U11","4",IF(F36="U10","4",IF(F36="U9","4","3")))))))))))</f>
        <v>4</v>
      </c>
      <c r="J36" s="117" t="str">
        <f>IF(F36="KM","Pleninger Stefan &amp; Matthias Wachter",IF(F36="U23","Egzon Gentiani &amp; Dinges Stefan",IF(F36="U16","Serdar Ekinci &amp; Gernot Sevelda &amp; Hubi Oberhofer",IF(F36="U15","",IF(F36="U14","Christian Neckamm  &amp; Thomas Pöschl",IF(F36="U13","",IF(F36="U12_1","Tobias Berger &amp; Mario Magler",IF(F36="U12_2","Tobias Berger &amp; Mario Magler",IF(F36="U11","Christian Wirth",IF(F36="U10","Thomas Brandl",IF(F36="U9","Tobias Berger &amp; Sebastian Putric",IF(F36="U8","Ömer Türkes &amp; Taha Mahsumi",IF(F36="U7","Alexander Zax &amp; Jürgen Joszt",IF(F36="FKG","Ronny Archam &amp; Florian Rac",IF(A36="Camp","Berger Dieter",IF(A36="Turnier","Berger Dieter","FEHLER"))))))))))))))))</f>
        <v>Tobias Berger &amp; Mario Magler</v>
      </c>
      <c r="K36" s="117" t="str">
        <f>IF(F36="KM","+43 664 415 99 09 &amp; +43 699 119 70 312",IF(F36="U23","+43 670 18 59 080 &amp; +43 664 451 22 16",IF(F36="U16","+43 690 104 20 129 &amp; +43 676 401 09 13 &amp; +43 699 181 68 504",IF(F36="U15","",IF(F36="U14","+43 699 192 49 527 &amp; +43 677 613 55 114",IF(F36="U13","",IF(F36="U12_1","+43 66 199 13 52 &amp;  +43 664 762 09 93",IF(F36="U12_2","+43 66 199 13 52 &amp;  +43 664 762 09 93",IF(F36="U11","+43 660 423 93 83",IF(F36="U10","+43 676 377 16 30",IF(F36="U9","+43 66 199 13 52 &amp;  +43 660 914 92 36",IF(F36="U8","+43 676 661 62 26 &amp;  +43 681 208 11 599",IF(F36="U7","+43 664 458 88 84 &amp;  +43 660 549 82 40",IF(F36="FKG","+43 699 111 93 828 &amp;  +43 660 600 25 06",IF(A36="Camp","+43 660 77 39 500",IF(A36="Turnier","+43 660 77 39 500","FEHLER"))))))))))))))))</f>
        <v>+43 66 199 13 52 &amp;  +43 664 762 09 93</v>
      </c>
    </row>
    <row r="37" spans="1:11" ht="15.75" x14ac:dyDescent="0.25">
      <c r="A37" s="109" t="str">
        <f>'ICS2'!I102</f>
        <v>U9</v>
      </c>
      <c r="B37" s="110">
        <f>'ICS2'!B102</f>
        <v>46269</v>
      </c>
      <c r="C37" s="111">
        <f>'ICS2'!C102</f>
        <v>0</v>
      </c>
      <c r="D37" s="109" t="str">
        <f>'ICS2'!E102</f>
        <v>GROßHÖFLEIN</v>
      </c>
      <c r="E37" s="109" t="str">
        <f>'ICS2'!H102</f>
        <v>Großhöflein</v>
      </c>
      <c r="F37" s="109" t="str">
        <f>A37</f>
        <v>U9</v>
      </c>
      <c r="G37" s="109" t="str">
        <f>IF(F37="KM","Großfeld",IF(F37="U23","Großfeld",IF(F37="U16","Großfeld",IF(F37="U15","Großfeld",IF(F37="U14","Großfeld",IF(F37="U12_1","55*40",IF(F37="U12_2","55x40",IF(F37="U11","55x40",IF(F37="U10","40x25",IF(F37="U9","40x25",IF(F37="U8","29x22",IF(F37="U7","25x20","16x15"))))))))))))</f>
        <v>40x25</v>
      </c>
      <c r="H37" s="109" t="str">
        <f>IF(F37="KM","7,32x2,44",IF(F37="U23","7,32x2,44",IF(F37="U16","7,32x2,44",IF(F37="U15","7,32x2,44",IF(F37="U14","7,32x2,44",IF(F37="U13","5x2",IF(F37="U12_1","7,32x2,44",IF(F37="U12_2","7,32x2,44",IF(F37="U11","5x2",IF(F37="U10","5x2
",IF(F37="U9","5x2","4 Minitore")))))))))))</f>
        <v>5x2</v>
      </c>
      <c r="I37" s="109" t="str">
        <f>IF(F37="KM","5",IF(F37="U23",5,IF(F37="U16","5",IF(F37="U15","5",IF(F37="U14","4",IF(F37="U13","4",IF(F37="U12_1","4",IF(F37="U12_2","4",IF(F37="U11","4",IF(F37="U10","4",IF(F37="U9","4","3")))))))))))</f>
        <v>4</v>
      </c>
      <c r="J37" s="109" t="str">
        <f>IF(F37="KM","Pleninger Stefan &amp; Matthias Wachter",IF(F37="U23","Egzon Gentiani &amp; Dinges Stefan",IF(F37="U16","Serdar Ekinci &amp; Gernot Sevelda &amp; Hubi Oberhofer",IF(F37="U15","",IF(F37="U14","Christian Neckamm  &amp; Thomas Pöschl",IF(F37="U13","",IF(F37="U12_1","Tobias Berger &amp; Mario Magler",IF(F37="U12_2","Tobias Berger &amp; Mario Magler",IF(F37="U11","Christian Wirth",IF(F37="U10","Thomas Brandl",IF(F37="U9","Tobias Berger &amp; Sebastian Putric",IF(F37="U8","Ömer Türkes &amp; Taha Mahsumi",IF(F37="U7","Alexander Zax &amp; Jürgen Joszt",IF(F37="FKG","Ronny Archam &amp; Florian Rac",IF(A37="Camp","Berger Dieter",IF(A37="Turnier","Berger Dieter","FEHLER"))))))))))))))))</f>
        <v>Tobias Berger &amp; Sebastian Putric</v>
      </c>
      <c r="K37" s="109" t="str">
        <f>IF(F37="KM","+43 664 415 99 09 &amp; +43 699 119 70 312",IF(F37="U23","+43 670 18 59 080 &amp; +43 664 451 22 16",IF(F37="U16","+43 690 104 20 129 &amp; +43 676 401 09 13 &amp; +43 699 181 68 504",IF(F37="U15","",IF(F37="U14","+43 699 192 49 527 &amp; +43 677 613 55 114",IF(F37="U13","",IF(F37="U12_1","+43 66 199 13 52 &amp;  +43 664 762 09 93",IF(F37="U12_2","+43 66 199 13 52 &amp;  +43 664 762 09 93",IF(F37="U11","+43 660 423 93 83",IF(F37="U10","+43 676 377 16 30",IF(F37="U9","+43 66 199 13 52 &amp;  +43 660 914 92 36",IF(F37="U8","+43 676 661 62 26 &amp;  +43 681 208 11 599",IF(F37="U7","+43 664 458 88 84 &amp;  +43 660 549 82 40",IF(F37="FKG","+43 699 111 93 828 &amp;  +43 660 600 25 06",IF(A37="Camp","+43 660 77 39 500",IF(A37="Turnier","+43 660 77 39 500","FEHLER"))))))))))))))))</f>
        <v>+43 66 199 13 52 &amp;  +43 660 914 92 36</v>
      </c>
    </row>
    <row r="38" spans="1:11" ht="15.75" x14ac:dyDescent="0.25">
      <c r="A38" s="109" t="str">
        <f>'ICS2'!I88</f>
        <v>U11</v>
      </c>
      <c r="B38" s="110">
        <f>'ICS2'!B88</f>
        <v>46270</v>
      </c>
      <c r="C38" s="111">
        <f>'ICS2'!C88</f>
        <v>0.41666666666666669</v>
      </c>
      <c r="D38" s="109" t="str">
        <f>'ICS2'!E88</f>
        <v>STEINBRUNN</v>
      </c>
      <c r="E38" s="109" t="str">
        <f>'ICS2'!H88</f>
        <v>Leithaprodersdorf</v>
      </c>
      <c r="F38" s="109" t="str">
        <f>A38</f>
        <v>U11</v>
      </c>
      <c r="G38" s="109" t="str">
        <f>IF(F38="KM","Großfeld",IF(F38="U23","Großfeld",IF(F38="U16","Großfeld",IF(F38="U15","Großfeld",IF(F38="U14","Großfeld",IF(F38="U12_1","55*40",IF(F38="U12_2","55x40",IF(F38="U11","55x40",IF(F38="U10","40x25",IF(F38="U9","40x25",IF(F38="U8","29x22",IF(F38="U7","25x20","16x15"))))))))))))</f>
        <v>55x40</v>
      </c>
      <c r="H38" s="109" t="str">
        <f>IF(F38="KM","7,32x2,44",IF(F38="U23","7,32x2,44",IF(F38="U16","7,32x2,44",IF(F38="U15","7,32x2,44",IF(F38="U14","7,32x2,44",IF(F38="U13","5x2",IF(F38="U12_1","7,32x2,44",IF(F38="U12_2","7,32x2,44",IF(F38="U11","5x2",IF(F38="U10","5x2
",IF(F38="U9","5x2","4 Minitore")))))))))))</f>
        <v>5x2</v>
      </c>
      <c r="I38" s="109" t="str">
        <f>IF(F38="KM","5",IF(F38="U23",5,IF(F38="U16","5",IF(F38="U15","5",IF(F38="U14","4",IF(F38="U13","4",IF(F38="U12_1","4",IF(F38="U12_2","4",IF(F38="U11","4",IF(F38="U10","4",IF(F38="U9","4","3")))))))))))</f>
        <v>4</v>
      </c>
      <c r="J38" s="109" t="str">
        <f>IF(F38="KM","Pleninger Stefan &amp; Matthias Wachter",IF(F38="U23","Egzon Gentiani &amp; Dinges Stefan",IF(F38="U16","Serdar Ekinci &amp; Gernot Sevelda &amp; Hubi Oberhofer",IF(F38="U15","",IF(F38="U14","Christian Neckamm  &amp; Thomas Pöschl",IF(F38="U13","",IF(F38="U12_1","Tobias Berger &amp; Mario Magler",IF(F38="U12_2","Tobias Berger &amp; Mario Magler",IF(F38="U11","Christian Wirth",IF(F38="U10","Thomas Brandl",IF(F38="U9","Tobias Berger &amp; Sebastian Putric",IF(F38="U8","Ömer Türkes &amp; Taha Mahsumi",IF(F38="U7","Alexander Zax &amp; Jürgen Joszt",IF(F38="FKG","Ronny Archam &amp; Florian Rac",IF(A38="Camp","Berger Dieter",IF(A38="Turnier","Berger Dieter","FEHLER"))))))))))))))))</f>
        <v>Christian Wirth</v>
      </c>
      <c r="K38" s="109" t="str">
        <f>IF(F38="KM","+43 664 415 99 09 &amp; +43 699 119 70 312",IF(F38="U23","+43 670 18 59 080 &amp; +43 664 451 22 16",IF(F38="U16","+43 690 104 20 129 &amp; +43 676 401 09 13 &amp; +43 699 181 68 504",IF(F38="U15","",IF(F38="U14","+43 699 192 49 527 &amp; +43 677 613 55 114",IF(F38="U13","",IF(F38="U12_1","+43 66 199 13 52 &amp;  +43 664 762 09 93",IF(F38="U12_2","+43 66 199 13 52 &amp;  +43 664 762 09 93",IF(F38="U11","+43 660 423 93 83",IF(F38="U10","+43 676 377 16 30",IF(F38="U9","+43 66 199 13 52 &amp;  +43 660 914 92 36",IF(F38="U8","+43 676 661 62 26 &amp;  +43 681 208 11 599",IF(F38="U7","+43 664 458 88 84 &amp;  +43 660 549 82 40",IF(F38="FKG","+43 699 111 93 828 &amp;  +43 660 600 25 06",IF(A38="Camp","+43 660 77 39 500",IF(A38="Turnier","+43 660 77 39 500","FEHLER"))))))))))))))))</f>
        <v>+43 660 423 93 83</v>
      </c>
    </row>
    <row r="39" spans="1:11" ht="15.75" x14ac:dyDescent="0.25">
      <c r="A39" s="109" t="str">
        <f>'ICS2'!I78</f>
        <v>U12_2</v>
      </c>
      <c r="B39" s="110">
        <f>'ICS2'!B78</f>
        <v>46270</v>
      </c>
      <c r="C39" s="111">
        <f>'ICS2'!C78</f>
        <v>0.5</v>
      </c>
      <c r="D39" s="109" t="str">
        <f>'ICS2'!E78</f>
        <v>STEINBRUNN</v>
      </c>
      <c r="E39" s="109" t="str">
        <f>'ICS2'!H78</f>
        <v>St. Margarethen</v>
      </c>
      <c r="F39" s="109" t="str">
        <f>A39</f>
        <v>U12_2</v>
      </c>
      <c r="G39" s="109" t="str">
        <f>IF(F39="KM","Großfeld",IF(F39="U23","Großfeld",IF(F39="U16","Großfeld",IF(F39="U15","Großfeld",IF(F39="U14","Großfeld",IF(F39="U12_1","55*40",IF(F39="U12_2","55x40",IF(F39="U11","55x40",IF(F39="U10","40x25",IF(F39="U9","40x25",IF(F39="U8","29x22",IF(F39="U7","25x20","16x15"))))))))))))</f>
        <v>55x40</v>
      </c>
      <c r="H39" s="109" t="str">
        <f>IF(F39="KM","7,32x2,44",IF(F39="U23","7,32x2,44",IF(F39="U16","7,32x2,44",IF(F39="U15","7,32x2,44",IF(F39="U14","7,32x2,44",IF(F39="U13","5x2",IF(F39="U12_1","7,32x2,44",IF(F39="U12_2","7,32x2,44",IF(F39="U11","5x2",IF(F39="U10","5x2
",IF(F39="U9","5x2","4 Minitore")))))))))))</f>
        <v>7,32x2,44</v>
      </c>
      <c r="I39" s="109" t="str">
        <f>IF(F39="KM","5",IF(F39="U23",5,IF(F39="U16","5",IF(F39="U15","5",IF(F39="U14","4",IF(F39="U13","4",IF(F39="U12_1","4",IF(F39="U12_2","4",IF(F39="U11","4",IF(F39="U10","4",IF(F39="U9","4","3")))))))))))</f>
        <v>4</v>
      </c>
      <c r="J39" s="109" t="str">
        <f>IF(F39="KM","Pleninger Stefan &amp; Matthias Wachter",IF(F39="U23","Egzon Gentiani &amp; Dinges Stefan",IF(F39="U16","Serdar Ekinci &amp; Gernot Sevelda &amp; Hubi Oberhofer",IF(F39="U15","",IF(F39="U14","Christian Neckamm  &amp; Thomas Pöschl",IF(F39="U13","",IF(F39="U12_1","Tobias Berger &amp; Mario Magler",IF(F39="U12_2","Tobias Berger &amp; Mario Magler",IF(F39="U11","Christian Wirth",IF(F39="U10","Thomas Brandl",IF(F39="U9","Tobias Berger &amp; Sebastian Putric",IF(F39="U8","Ömer Türkes &amp; Taha Mahsumi",IF(F39="U7","Alexander Zax &amp; Jürgen Joszt",IF(F39="FKG","Ronny Archam &amp; Florian Rac",IF(A39="Camp","Berger Dieter",IF(A39="Turnier","Berger Dieter","FEHLER"))))))))))))))))</f>
        <v>Tobias Berger &amp; Mario Magler</v>
      </c>
      <c r="K39" s="109" t="str">
        <f>IF(F39="KM","+43 664 415 99 09 &amp; +43 699 119 70 312",IF(F39="U23","+43 670 18 59 080 &amp; +43 664 451 22 16",IF(F39="U16","+43 690 104 20 129 &amp; +43 676 401 09 13 &amp; +43 699 181 68 504",IF(F39="U15","",IF(F39="U14","+43 699 192 49 527 &amp; +43 677 613 55 114",IF(F39="U13","",IF(F39="U12_1","+43 66 199 13 52 &amp;  +43 664 762 09 93",IF(F39="U12_2","+43 66 199 13 52 &amp;  +43 664 762 09 93",IF(F39="U11","+43 660 423 93 83",IF(F39="U10","+43 676 377 16 30",IF(F39="U9","+43 66 199 13 52 &amp;  +43 660 914 92 36",IF(F39="U8","+43 676 661 62 26 &amp;  +43 681 208 11 599",IF(F39="U7","+43 664 458 88 84 &amp;  +43 660 549 82 40",IF(F39="FKG","+43 699 111 93 828 &amp;  +43 660 600 25 06",IF(A39="Camp","+43 660 77 39 500",IF(A39="Turnier","+43 660 77 39 500","FEHLER"))))))))))))))))</f>
        <v>+43 66 199 13 52 &amp;  +43 664 762 09 93</v>
      </c>
    </row>
    <row r="40" spans="1:11" ht="15.75" x14ac:dyDescent="0.25">
      <c r="A40" s="117" t="str">
        <f>'ICS2'!I59</f>
        <v>U14</v>
      </c>
      <c r="B40" s="118">
        <f>'ICS2'!B59</f>
        <v>46271</v>
      </c>
      <c r="C40" s="119">
        <f>'ICS2'!C59</f>
        <v>0.625</v>
      </c>
      <c r="D40" s="117" t="str">
        <f>'ICS2'!E59</f>
        <v>GROßHÖFLEIN</v>
      </c>
      <c r="E40" s="117" t="str">
        <f>'ICS2'!H59</f>
        <v>St. Georgen/Eisenstadt</v>
      </c>
      <c r="F40" s="117" t="str">
        <f>A40</f>
        <v>U14</v>
      </c>
      <c r="G40" s="117" t="str">
        <f>IF(F40="KM","Großfeld",IF(F40="U23","Großfeld",IF(F40="U16","Großfeld",IF(F40="U15","Großfeld",IF(F40="U14","Großfeld",IF(F40="U12_1","55*40",IF(F40="U12_2","55x40",IF(F40="U11","55x40",IF(F40="U10","40x25",IF(F40="U9","40x25",IF(F40="U8","29x22",IF(F40="U7","25x20","16x15"))))))))))))</f>
        <v>Großfeld</v>
      </c>
      <c r="H40" s="117" t="str">
        <f>IF(F40="KM","7,32x2,44",IF(F40="U23","7,32x2,44",IF(F40="U16","7,32x2,44",IF(F40="U15","7,32x2,44",IF(F40="U14","7,32x2,44",IF(F40="U13","5x2",IF(F40="U12_1","7,32x2,44",IF(F40="U12_2","7,32x2,44",IF(F40="U11","5x2",IF(F40="U10","5x2
",IF(F40="U9","5x2","4 Minitore")))))))))))</f>
        <v>7,32x2,44</v>
      </c>
      <c r="I40" s="117" t="str">
        <f>IF(F40="KM","5",IF(F40="U23",5,IF(F40="U16","5",IF(F40="U15","5",IF(F40="U14","4",IF(F40="U13","4",IF(F40="U12_1","4",IF(F40="U12_2","4",IF(F40="U11","4",IF(F40="U10","4",IF(F40="U9","4","3")))))))))))</f>
        <v>4</v>
      </c>
      <c r="J40" s="117" t="str">
        <f>IF(F40="KM","Pleninger Stefan &amp; Matthias Wachter",IF(F40="U23","Egzon Gentiani &amp; Dinges Stefan",IF(F40="U16","Serdar Ekinci &amp; Gernot Sevelda &amp; Hubi Oberhofer",IF(F40="U15","",IF(F40="U14","Christian Neckamm  &amp; Thomas Pöschl",IF(F40="U13","",IF(F40="U12_1","Tobias Berger &amp; Mario Magler",IF(F40="U12_2","Tobias Berger &amp; Mario Magler",IF(F40="U11","Christian Wirth",IF(F40="U10","Thomas Brandl",IF(F40="U9","Tobias Berger &amp; Sebastian Putric",IF(F40="U8","Ömer Türkes &amp; Taha Mahsumi",IF(F40="U7","Alexander Zax &amp; Jürgen Joszt",IF(F40="FKG","Ronny Archam &amp; Florian Rac",IF(A40="Camp","Berger Dieter",IF(A40="Turnier","Berger Dieter","FEHLER"))))))))))))))))</f>
        <v>Christian Neckamm  &amp; Thomas Pöschl</v>
      </c>
      <c r="K40" s="117" t="str">
        <f>IF(F40="KM","+43 664 415 99 09 &amp; +43 699 119 70 312",IF(F40="U23","+43 670 18 59 080 &amp; +43 664 451 22 16",IF(F40="U16","+43 690 104 20 129 &amp; +43 676 401 09 13 &amp; +43 699 181 68 504",IF(F40="U15","",IF(F40="U14","+43 699 192 49 527 &amp; +43 677 613 55 114",IF(F40="U13","",IF(F40="U12_1","+43 66 199 13 52 &amp;  +43 664 762 09 93",IF(F40="U12_2","+43 66 199 13 52 &amp;  +43 664 762 09 93",IF(F40="U11","+43 660 423 93 83",IF(F40="U10","+43 676 377 16 30",IF(F40="U9","+43 66 199 13 52 &amp;  +43 660 914 92 36",IF(F40="U8","+43 676 661 62 26 &amp;  +43 681 208 11 599",IF(F40="U7","+43 664 458 88 84 &amp;  +43 660 549 82 40",IF(F40="FKG","+43 699 111 93 828 &amp;  +43 660 600 25 06",IF(A40="Camp","+43 660 77 39 500",IF(A40="Turnier","+43 660 77 39 500","FEHLER"))))))))))))))))</f>
        <v>+43 699 192 49 527 &amp; +43 677 613 55 114</v>
      </c>
    </row>
    <row r="41" spans="1:11" ht="15.75" hidden="1" x14ac:dyDescent="0.25">
      <c r="A41" s="109" t="str">
        <f>'ICS2'!I98</f>
        <v>U10</v>
      </c>
      <c r="B41" s="110">
        <f>'ICS2'!B98</f>
        <v>46277</v>
      </c>
      <c r="C41" s="111">
        <f>'ICS2'!C98</f>
        <v>0</v>
      </c>
      <c r="D41" s="109" t="str">
        <f>'ICS2'!E98</f>
        <v>SIEGENDORF</v>
      </c>
      <c r="E41" s="109" t="str">
        <f>'ICS2'!H98</f>
        <v>Turnier</v>
      </c>
      <c r="F41" s="109" t="str">
        <f>A41</f>
        <v>U10</v>
      </c>
      <c r="G41" s="109" t="str">
        <f>IF(F41="KM","Großfeld",IF(F41="U23","Großfeld",IF(F41="U16","Großfeld",IF(F41="U15","Großfeld",IF(F41="U14","Großfeld",IF(F41="U12_1","55*40",IF(F41="U12_2","55x40",IF(F41="U11","55x40",IF(F41="U10","40x25",IF(F41="U9","40x25",IF(F41="U8","29x22",IF(F41="U7","25x20","16x15"))))))))))))</f>
        <v>40x25</v>
      </c>
      <c r="H41" s="109" t="str">
        <f>IF(F41="KM","7,32x2,44",IF(F41="U23","7,32x2,44",IF(F41="U16","7,32x2,44",IF(F41="U15","7,32x2,44",IF(F41="U14","7,32x2,44",IF(F41="U13","5x2",IF(F41="U12_1","7,32x2,44",IF(F41="U12_2","7,32x2,44",IF(F41="U11","5x2",IF(F41="U10","5x2
",IF(F41="U9","5x2","4 Minitore")))))))))))</f>
        <v xml:space="preserve">5x2
</v>
      </c>
      <c r="I41" s="109" t="str">
        <f>IF(F41="KM","5",IF(F41="U23",5,IF(F41="U16","5",IF(F41="U15","5",IF(F41="U14","4",IF(F41="U13","4",IF(F41="U12_1","4",IF(F41="U12_2","4",IF(F41="U11","4",IF(F41="U10","4",IF(F41="U9","4","3")))))))))))</f>
        <v>4</v>
      </c>
      <c r="J41" s="109" t="str">
        <f>IF(F41="KM","Pleninger Stefan &amp; Matthias Wachter",IF(F41="U23","Egzon Gentiani &amp; Dinges Stefan",IF(F41="U16","Serdar Ekinci &amp; Gernot Sevelda &amp; Hubi Oberhofer",IF(F41="U15","",IF(F41="U14","Christian Neckamm  &amp; Thomas Pöschl",IF(F41="U13","",IF(F41="U12_1","Tobias Berger &amp; Mario Magler",IF(F41="U12_2","Tobias Berger &amp; Mario Magler",IF(F41="U11","Christian Wirth",IF(F41="U10","Thomas Brandl",IF(F41="U9","Tobias Berger &amp; Sebastian Putric",IF(F41="U8","Ömer Türkes &amp; Taha Mahsumi",IF(F41="U7","Alexander Zax &amp; Jürgen Joszt",IF(F41="FKG","Ronny Archam &amp; Florian Rac",IF(A41="Camp","Berger Dieter",IF(A41="Turnier","Berger Dieter","FEHLER"))))))))))))))))</f>
        <v>Thomas Brandl</v>
      </c>
      <c r="K41" s="109" t="str">
        <f>IF(F41="KM","+43 664 415 99 09 &amp; +43 699 119 70 312",IF(F41="U23","+43 670 18 59 080 &amp; +43 664 451 22 16",IF(F41="U16","+43 690 104 20 129 &amp; +43 676 401 09 13 &amp; +43 699 181 68 504",IF(F41="U15","",IF(F41="U14","+43 699 192 49 527 &amp; +43 677 613 55 114",IF(F41="U13","",IF(F41="U12_1","+43 66 199 13 52 &amp;  +43 664 762 09 93",IF(F41="U12_2","+43 66 199 13 52 &amp;  +43 664 762 09 93",IF(F41="U11","+43 660 423 93 83",IF(F41="U10","+43 676 377 16 30",IF(F41="U9","+43 66 199 13 52 &amp;  +43 660 914 92 36",IF(F41="U8","+43 676 661 62 26 &amp;  +43 681 208 11 599",IF(F41="U7","+43 664 458 88 84 &amp;  +43 660 549 82 40",IF(F41="FKG","+43 699 111 93 828 &amp;  +43 660 600 25 06",IF(A41="Camp","+43 660 77 39 500",IF(A41="Turnier","+43 660 77 39 500","FEHLER"))))))))))))))))</f>
        <v>+43 676 377 16 30</v>
      </c>
    </row>
    <row r="42" spans="1:11" ht="15.75" hidden="1" x14ac:dyDescent="0.25">
      <c r="A42" s="57" t="str">
        <f>'ICS2'!I99</f>
        <v>U10</v>
      </c>
      <c r="B42" s="103">
        <f>'ICS2'!B99</f>
        <v>46305</v>
      </c>
      <c r="C42" s="104">
        <f>'ICS2'!C99</f>
        <v>0</v>
      </c>
      <c r="D42" s="57" t="str">
        <f>'ICS2'!E99</f>
        <v>TRAUSDORF</v>
      </c>
      <c r="E42" s="57" t="str">
        <f>'ICS2'!H99</f>
        <v>Turnier</v>
      </c>
      <c r="F42" s="57" t="str">
        <f>A42</f>
        <v>U10</v>
      </c>
      <c r="G42" s="57" t="str">
        <f>IF(F42="KM","Großfeld",IF(F42="U23","Großfeld",IF(F42="U16","Großfeld",IF(F42="U15","Großfeld",IF(F42="U14","Großfeld",IF(F42="U12_1","55*40",IF(F42="U12_2","55x40",IF(F42="U11","55x40",IF(F42="U10","40x25",IF(F42="U9","40x25",IF(F42="U8","29x22",IF(F42="U7","25x20","16x15"))))))))))))</f>
        <v>40x25</v>
      </c>
      <c r="H42" s="57" t="str">
        <f>IF(F42="KM","7,32x2,44",IF(F42="U23","7,32x2,44",IF(F42="U16","7,32x2,44",IF(F42="U15","7,32x2,44",IF(F42="U14","7,32x2,44",IF(F42="U13","5x2",IF(F42="U12_1","7,32x2,44",IF(F42="U12_2","7,32x2,44",IF(F42="U11","5x2",IF(F42="U10","5x2
",IF(F42="U9","5x2","4 Minitore")))))))))))</f>
        <v xml:space="preserve">5x2
</v>
      </c>
      <c r="I42" s="57" t="str">
        <f>IF(F42="KM","5",IF(F42="U23",5,IF(F42="U16","5",IF(F42="U15","5",IF(F42="U14","4",IF(F42="U13","4",IF(F42="U12_1","4",IF(F42="U12_2","4",IF(F42="U11","4",IF(F42="U10","4",IF(F42="U9","4","3")))))))))))</f>
        <v>4</v>
      </c>
      <c r="J42" s="57" t="str">
        <f>IF(F42="KM","Pleninger Stefan &amp; Matthias Wachter",IF(F42="U23","Egzon Gentiani &amp; Dinges Stefan",IF(F42="U16","Serdar Ekinci &amp; Gernot Sevelda &amp; Hubi Oberhofer",IF(F42="U15","",IF(F42="U14","Christian Neckamm  &amp; Thomas Pöschl",IF(F42="U13","",IF(F42="U12_1","Tobias Berger &amp; Mario Magler",IF(F42="U12_2","Tobias Berger &amp; Mario Magler",IF(F42="U11","Christian Wirth",IF(F42="U10","Thomas Brandl",IF(F42="U9","Tobias Berger &amp; Sebastian Putric",IF(F42="U8","Ömer Türkes &amp; Taha Mahsumi",IF(F42="U7","Alexander Zax &amp; Jürgen Joszt",IF(F42="FKG","Ronny Archam &amp; Florian Rac",IF(A42="Camp","Berger Dieter",IF(A42="Turnier","Berger Dieter","FEHLER"))))))))))))))))</f>
        <v>Thomas Brandl</v>
      </c>
      <c r="K42" s="57" t="str">
        <f>IF(F42="KM","+43 664 415 99 09 &amp; +43 699 119 70 312",IF(F42="U23","+43 670 18 59 080 &amp; +43 664 451 22 16",IF(F42="U16","+43 690 104 20 129 &amp; +43 676 401 09 13 &amp; +43 699 181 68 504",IF(F42="U15","",IF(F42="U14","+43 699 192 49 527 &amp; +43 677 613 55 114",IF(F42="U13","",IF(F42="U12_1","+43 66 199 13 52 &amp;  +43 664 762 09 93",IF(F42="U12_2","+43 66 199 13 52 &amp;  +43 664 762 09 93",IF(F42="U11","+43 660 423 93 83",IF(F42="U10","+43 676 377 16 30",IF(F42="U9","+43 66 199 13 52 &amp;  +43 660 914 92 36",IF(F42="U8","+43 676 661 62 26 &amp;  +43 681 208 11 599",IF(F42="U7","+43 664 458 88 84 &amp;  +43 660 549 82 40",IF(F42="FKG","+43 699 111 93 828 &amp;  +43 660 600 25 06",IF(A42="Camp","+43 660 77 39 500",IF(A42="Turnier","+43 660 77 39 500","FEHLER"))))))))))))))))</f>
        <v>+43 676 377 16 30</v>
      </c>
    </row>
    <row r="43" spans="1:11" ht="15.75" x14ac:dyDescent="0.25">
      <c r="A43" s="57" t="str">
        <f>'ICS2'!I59</f>
        <v>U14</v>
      </c>
      <c r="B43" s="103">
        <f>'ICS2'!B59</f>
        <v>46271</v>
      </c>
      <c r="C43" s="104">
        <f>'ICS2'!C59</f>
        <v>0.625</v>
      </c>
      <c r="D43" s="57" t="str">
        <f>'ICS2'!E59</f>
        <v>GROßHÖFLEIN</v>
      </c>
      <c r="E43" s="57" t="str">
        <f>'ICS2'!H59</f>
        <v>St. Georgen/Eisenstadt</v>
      </c>
      <c r="F43" s="57" t="str">
        <f>A43</f>
        <v>U14</v>
      </c>
      <c r="G43" s="57" t="str">
        <f>IF(F43="KM","Großfeld",IF(F43="U23","Großfeld",IF(F43="U16","Großfeld",IF(F43="U15","Großfeld",IF(F43="U14","Großfeld",IF(F43="U12_1","55*40",IF(F43="U12_2","55x40",IF(F43="U11","55x40",IF(F43="U10","40x25",IF(F43="U9","40x25",IF(F43="U8","29x22",IF(F43="U7","25x20","16x15"))))))))))))</f>
        <v>Großfeld</v>
      </c>
      <c r="H43" s="57" t="str">
        <f>IF(F43="KM","7,32x2,44",IF(F43="U23","7,32x2,44",IF(F43="U16","7,32x2,44",IF(F43="U15","7,32x2,44",IF(F43="U14","7,32x2,44",IF(F43="U13","5x2",IF(F43="U12_1","7,32x2,44",IF(F43="U12_2","7,32x2,44",IF(F43="U11","5x2",IF(F43="U10","5x2
",IF(F43="U9","5x2","4 Minitore")))))))))))</f>
        <v>7,32x2,44</v>
      </c>
      <c r="I43" s="57" t="str">
        <f>IF(F43="KM","5",IF(F43="U23",5,IF(F43="U16","5",IF(F43="U15","5",IF(F43="U14","4",IF(F43="U13","4",IF(F43="U12_1","4",IF(F43="U12_2","4",IF(F43="U11","4",IF(F43="U10","4",IF(F43="U9","4","3")))))))))))</f>
        <v>4</v>
      </c>
      <c r="J43" s="57" t="str">
        <f>IF(F43="KM","Pleninger Stefan &amp; Matthias Wachter",IF(F43="U23","Egzon Gentiani &amp; Dinges Stefan",IF(F43="U16","Serdar Ekinci &amp; Gernot Sevelda &amp; Hubi Oberhofer",IF(F43="U15","",IF(F43="U14","Christian Neckamm  &amp; Thomas Pöschl",IF(F43="U13","",IF(F43="U12_1","Tobias Berger &amp; Mario Magler",IF(F43="U12_2","Tobias Berger &amp; Mario Magler",IF(F43="U11","Christian Wirth",IF(F43="U10","Thomas Brandl",IF(F43="U9","Tobias Berger &amp; Sebastian Putric",IF(F43="U8","Ömer Türkes &amp; Taha Mahsumi",IF(F43="U7","Alexander Zax &amp; Jürgen Joszt",IF(F43="FKG","Ronny Archam &amp; Florian Rac",IF(A43="Camp","Berger Dieter",IF(A43="Turnier","Berger Dieter","FEHLER"))))))))))))))))</f>
        <v>Christian Neckamm  &amp; Thomas Pöschl</v>
      </c>
      <c r="K43" s="57" t="str">
        <f>IF(F43="KM","+43 664 415 99 09 &amp; +43 699 119 70 312",IF(F43="U23","+43 670 18 59 080 &amp; +43 664 451 22 16",IF(F43="U16","+43 690 104 20 129 &amp; +43 676 401 09 13 &amp; +43 699 181 68 504",IF(F43="U15","",IF(F43="U14","+43 699 192 49 527 &amp; +43 677 613 55 114",IF(F43="U13","",IF(F43="U12_1","+43 66 199 13 52 &amp;  +43 664 762 09 93",IF(F43="U12_2","+43 66 199 13 52 &amp;  +43 664 762 09 93",IF(F43="U11","+43 660 423 93 83",IF(F43="U10","+43 676 377 16 30",IF(F43="U9","+43 66 199 13 52 &amp;  +43 660 914 92 36",IF(F43="U8","+43 676 661 62 26 &amp;  +43 681 208 11 599",IF(F43="U7","+43 664 458 88 84 &amp;  +43 660 549 82 40",IF(F43="FKG","+43 699 111 93 828 &amp;  +43 660 600 25 06",IF(A43="Camp","+43 660 77 39 500",IF(A43="Turnier","+43 660 77 39 500","FEHLER"))))))))))))))))</f>
        <v>+43 699 192 49 527 &amp; +43 677 613 55 114</v>
      </c>
    </row>
    <row r="44" spans="1:11" ht="15.75" hidden="1" x14ac:dyDescent="0.25">
      <c r="A44" s="57" t="str">
        <f>'ICS2'!I100</f>
        <v>U10</v>
      </c>
      <c r="B44" s="103" t="str">
        <f>'ICS2'!B100</f>
        <v>XXX</v>
      </c>
      <c r="C44" s="104">
        <f>'ICS2'!C100</f>
        <v>0</v>
      </c>
      <c r="D44" s="57" t="str">
        <f>'ICS2'!E100</f>
        <v>RUST</v>
      </c>
      <c r="E44" s="57" t="str">
        <f>'ICS2'!H100</f>
        <v>Turnier</v>
      </c>
      <c r="F44" s="57" t="str">
        <f>A44</f>
        <v>U10</v>
      </c>
      <c r="G44" s="57" t="str">
        <f>IF(F44="KM","Großfeld",IF(F44="U23","Großfeld",IF(F44="U16","Großfeld",IF(F44="U15","Großfeld",IF(F44="U14","Großfeld",IF(F44="U12_1","55*40",IF(F44="U12_2","55x40",IF(F44="U11","55x40",IF(F44="U10","40x25",IF(F44="U9","40x25",IF(F44="U8","29x22",IF(F44="U7","25x20","16x15"))))))))))))</f>
        <v>40x25</v>
      </c>
      <c r="H44" s="57" t="str">
        <f>IF(F44="KM","7,32x2,44",IF(F44="U23","7,32x2,44",IF(F44="U16","7,32x2,44",IF(F44="U15","7,32x2,44",IF(F44="U14","7,32x2,44",IF(F44="U13","5x2",IF(F44="U12_1","7,32x2,44",IF(F44="U12_2","7,32x2,44",IF(F44="U11","5x2",IF(F44="U10","5x2
",IF(F44="U9","5x2","4 Minitore")))))))))))</f>
        <v xml:space="preserve">5x2
</v>
      </c>
      <c r="I44" s="57" t="str">
        <f>IF(F44="KM","5",IF(F44="U23",5,IF(F44="U16","5",IF(F44="U15","5",IF(F44="U14","4",IF(F44="U13","4",IF(F44="U12_1","4",IF(F44="U12_2","4",IF(F44="U11","4",IF(F44="U10","4",IF(F44="U9","4","3")))))))))))</f>
        <v>4</v>
      </c>
      <c r="J44" s="57" t="str">
        <f>IF(F44="KM","Pleninger Stefan &amp; Matthias Wachter",IF(F44="U23","Egzon Gentiani &amp; Dinges Stefan",IF(F44="U16","Serdar Ekinci &amp; Gernot Sevelda &amp; Hubi Oberhofer",IF(F44="U15","",IF(F44="U14","Christian Neckamm  &amp; Thomas Pöschl",IF(F44="U13","",IF(F44="U12_1","Tobias Berger &amp; Mario Magler",IF(F44="U12_2","Tobias Berger &amp; Mario Magler",IF(F44="U11","Christian Wirth",IF(F44="U10","Thomas Brandl",IF(F44="U9","Tobias Berger &amp; Sebastian Putric",IF(F44="U8","Ömer Türkes &amp; Taha Mahsumi",IF(F44="U7","Alexander Zax &amp; Jürgen Joszt",IF(F44="FKG","Ronny Archam &amp; Florian Rac",IF(A44="Camp","Berger Dieter",IF(A44="Turnier","Berger Dieter","FEHLER"))))))))))))))))</f>
        <v>Thomas Brandl</v>
      </c>
      <c r="K44" s="57" t="str">
        <f>IF(F44="KM","+43 664 415 99 09 &amp; +43 699 119 70 312",IF(F44="U23","+43 670 18 59 080 &amp; +43 664 451 22 16",IF(F44="U16","+43 690 104 20 129 &amp; +43 676 401 09 13 &amp; +43 699 181 68 504",IF(F44="U15","",IF(F44="U14","+43 699 192 49 527 &amp; +43 677 613 55 114",IF(F44="U13","",IF(F44="U12_1","+43 66 199 13 52 &amp;  +43 664 762 09 93",IF(F44="U12_2","+43 66 199 13 52 &amp;  +43 664 762 09 93",IF(F44="U11","+43 660 423 93 83",IF(F44="U10","+43 676 377 16 30",IF(F44="U9","+43 66 199 13 52 &amp;  +43 660 914 92 36",IF(F44="U8","+43 676 661 62 26 &amp;  +43 681 208 11 599",IF(F44="U7","+43 664 458 88 84 &amp;  +43 660 549 82 40",IF(F44="FKG","+43 699 111 93 828 &amp;  +43 660 600 25 06",IF(A44="Camp","+43 660 77 39 500",IF(A44="Turnier","+43 660 77 39 500","FEHLER"))))))))))))))))</f>
        <v>+43 676 377 16 30</v>
      </c>
    </row>
    <row r="45" spans="1:11" ht="15.75" hidden="1" x14ac:dyDescent="0.25">
      <c r="A45" s="57" t="str">
        <f>'ICS2'!I101</f>
        <v>U10</v>
      </c>
      <c r="B45" s="103" t="str">
        <f>'ICS2'!B101</f>
        <v>XXX</v>
      </c>
      <c r="C45" s="104">
        <f>'ICS2'!C101</f>
        <v>0</v>
      </c>
      <c r="D45" s="57" t="str">
        <f>'ICS2'!E101</f>
        <v>ST.GEORGEN</v>
      </c>
      <c r="E45" s="57" t="str">
        <f>'ICS2'!H101</f>
        <v>Turnier</v>
      </c>
      <c r="F45" s="57" t="str">
        <f>A45</f>
        <v>U10</v>
      </c>
      <c r="G45" s="57" t="str">
        <f>IF(F45="KM","Großfeld",IF(F45="U23","Großfeld",IF(F45="U16","Großfeld",IF(F45="U15","Großfeld",IF(F45="U14","Großfeld",IF(F45="U12_1","55*40",IF(F45="U12_2","55x40",IF(F45="U11","55x40",IF(F45="U10","40x25",IF(F45="U9","40x25",IF(F45="U8","29x22",IF(F45="U7","25x20","16x15"))))))))))))</f>
        <v>40x25</v>
      </c>
      <c r="H45" s="57" t="str">
        <f>IF(F45="KM","7,32x2,44",IF(F45="U23","7,32x2,44",IF(F45="U16","7,32x2,44",IF(F45="U15","7,32x2,44",IF(F45="U14","7,32x2,44",IF(F45="U13","5x2",IF(F45="U12_1","7,32x2,44",IF(F45="U12_2","7,32x2,44",IF(F45="U11","5x2",IF(F45="U10","5x2
",IF(F45="U9","5x2","4 Minitore")))))))))))</f>
        <v xml:space="preserve">5x2
</v>
      </c>
      <c r="I45" s="57" t="str">
        <f>IF(F45="KM","5",IF(F45="U23",5,IF(F45="U16","5",IF(F45="U15","5",IF(F45="U14","4",IF(F45="U13","4",IF(F45="U12_1","4",IF(F45="U12_2","4",IF(F45="U11","4",IF(F45="U10","4",IF(F45="U9","4","3")))))))))))</f>
        <v>4</v>
      </c>
      <c r="J45" s="57" t="str">
        <f>IF(F45="KM","Pleninger Stefan &amp; Matthias Wachter",IF(F45="U23","Egzon Gentiani &amp; Dinges Stefan",IF(F45="U16","Serdar Ekinci &amp; Gernot Sevelda &amp; Hubi Oberhofer",IF(F45="U15","",IF(F45="U14","Christian Neckamm  &amp; Thomas Pöschl",IF(F45="U13","",IF(F45="U12_1","Tobias Berger &amp; Mario Magler",IF(F45="U12_2","Tobias Berger &amp; Mario Magler",IF(F45="U11","Christian Wirth",IF(F45="U10","Thomas Brandl",IF(F45="U9","Tobias Berger &amp; Sebastian Putric",IF(F45="U8","Ömer Türkes &amp; Taha Mahsumi",IF(F45="U7","Alexander Zax &amp; Jürgen Joszt",IF(F45="FKG","Ronny Archam &amp; Florian Rac",IF(A45="Camp","Berger Dieter",IF(A45="Turnier","Berger Dieter","FEHLER"))))))))))))))))</f>
        <v>Thomas Brandl</v>
      </c>
      <c r="K45" s="57" t="str">
        <f>IF(F45="KM","+43 664 415 99 09 &amp; +43 699 119 70 312",IF(F45="U23","+43 670 18 59 080 &amp; +43 664 451 22 16",IF(F45="U16","+43 690 104 20 129 &amp; +43 676 401 09 13 &amp; +43 699 181 68 504",IF(F45="U15","",IF(F45="U14","+43 699 192 49 527 &amp; +43 677 613 55 114",IF(F45="U13","",IF(F45="U12_1","+43 66 199 13 52 &amp;  +43 664 762 09 93",IF(F45="U12_2","+43 66 199 13 52 &amp;  +43 664 762 09 93",IF(F45="U11","+43 660 423 93 83",IF(F45="U10","+43 676 377 16 30",IF(F45="U9","+43 66 199 13 52 &amp;  +43 660 914 92 36",IF(F45="U8","+43 676 661 62 26 &amp;  +43 681 208 11 599",IF(F45="U7","+43 664 458 88 84 &amp;  +43 660 549 82 40",IF(F45="FKG","+43 699 111 93 828 &amp;  +43 660 600 25 06",IF(A45="Camp","+43 660 77 39 500",IF(A45="Turnier","+43 660 77 39 500","FEHLER"))))))))))))))))</f>
        <v>+43 676 377 16 30</v>
      </c>
    </row>
    <row r="46" spans="1:11" ht="15.75" x14ac:dyDescent="0.25">
      <c r="A46" s="120" t="str">
        <f>'ICS2'!I39</f>
        <v>U23</v>
      </c>
      <c r="B46" s="121">
        <f>'ICS2'!B39</f>
        <v>46276</v>
      </c>
      <c r="C46" s="122">
        <f>'ICS2'!C39</f>
        <v>0.72916666666666663</v>
      </c>
      <c r="D46" s="120" t="str">
        <f>'ICS2'!E39</f>
        <v>NEUFELD</v>
      </c>
      <c r="E46" s="120" t="str">
        <f>'ICS2'!H39</f>
        <v>Winden</v>
      </c>
      <c r="F46" s="120" t="str">
        <f>A46</f>
        <v>U23</v>
      </c>
      <c r="G46" s="120" t="str">
        <f>IF(F46="KM","Großfeld",IF(F46="U23","Großfeld",IF(F46="U16","Großfeld",IF(F46="U15","Großfeld",IF(F46="U14","Großfeld",IF(F46="U12_1","55*40",IF(F46="U12_2","55x40",IF(F46="U11","55x40",IF(F46="U10","40x25",IF(F46="U9","40x25",IF(F46="U8","29x22",IF(F46="U7","25x20","16x15"))))))))))))</f>
        <v>Großfeld</v>
      </c>
      <c r="H46" s="120" t="str">
        <f>IF(F46="KM","7,32x2,44",IF(F46="U23","7,32x2,44",IF(F46="U16","7,32x2,44",IF(F46="U15","7,32x2,44",IF(F46="U14","7,32x2,44",IF(F46="U13","5x2",IF(F46="U12_1","7,32x2,44",IF(F46="U12_2","7,32x2,44",IF(F46="U11","5x2",IF(F46="U10","5x2
",IF(F46="U9","5x2","4 Minitore")))))))))))</f>
        <v>7,32x2,44</v>
      </c>
      <c r="I46" s="120">
        <f>IF(F46="KM","5",IF(F46="U23",5,IF(F46="U16","5",IF(F46="U15","5",IF(F46="U14","4",IF(F46="U13","4",IF(F46="U12_1","4",IF(F46="U12_2","4",IF(F46="U11","4",IF(F46="U10","4",IF(F46="U9","4","3")))))))))))</f>
        <v>5</v>
      </c>
      <c r="J46" s="120" t="str">
        <f>IF(F46="KM","Pleninger Stefan &amp; Matthias Wachter",IF(F46="U23","Egzon Gentiani &amp; Dinges Stefan",IF(F46="U16","Serdar Ekinci &amp; Gernot Sevelda &amp; Hubi Oberhofer",IF(F46="U15","",IF(F46="U14","Christian Neckamm  &amp; Thomas Pöschl",IF(F46="U13","",IF(F46="U12_1","Tobias Berger &amp; Mario Magler",IF(F46="U12_2","Tobias Berger &amp; Mario Magler",IF(F46="U11","Christian Wirth",IF(F46="U10","Thomas Brandl",IF(F46="U9","Tobias Berger &amp; Sebastian Putric",IF(F46="U8","Ömer Türkes &amp; Taha Mahsumi",IF(F46="U7","Alexander Zax &amp; Jürgen Joszt",IF(F46="FKG","Ronny Archam &amp; Florian Rac",IF(A46="Camp","Berger Dieter",IF(A46="Turnier","Berger Dieter","FEHLER"))))))))))))))))</f>
        <v>Egzon Gentiani &amp; Dinges Stefan</v>
      </c>
      <c r="K46" s="120" t="str">
        <f>IF(F46="KM","+43 664 415 99 09 &amp; +43 699 119 70 312",IF(F46="U23","+43 670 18 59 080 &amp; +43 664 451 22 16",IF(F46="U16","+43 690 104 20 129 &amp; +43 676 401 09 13 &amp; +43 699 181 68 504",IF(F46="U15","",IF(F46="U14","+43 699 192 49 527 &amp; +43 677 613 55 114",IF(F46="U13","",IF(F46="U12_1","+43 66 199 13 52 &amp;  +43 664 762 09 93",IF(F46="U12_2","+43 66 199 13 52 &amp;  +43 664 762 09 93",IF(F46="U11","+43 660 423 93 83",IF(F46="U10","+43 676 377 16 30",IF(F46="U9","+43 66 199 13 52 &amp;  +43 660 914 92 36",IF(F46="U8","+43 676 661 62 26 &amp;  +43 681 208 11 599",IF(F46="U7","+43 664 458 88 84 &amp;  +43 660 549 82 40",IF(F46="FKG","+43 699 111 93 828 &amp;  +43 660 600 25 06",IF(A46="Camp","+43 660 77 39 500",IF(A46="Turnier","+43 660 77 39 500","FEHLER"))))))))))))))))</f>
        <v>+43 670 18 59 080 &amp; +43 664 451 22 16</v>
      </c>
    </row>
    <row r="47" spans="1:11" s="108" customFormat="1" ht="15.75" hidden="1" x14ac:dyDescent="0.25">
      <c r="A47" s="105" t="str">
        <f>'ICS2'!I89</f>
        <v>U11</v>
      </c>
      <c r="B47" s="106">
        <f>'ICS2'!B89</f>
        <v>46276</v>
      </c>
      <c r="C47" s="107">
        <f>'ICS2'!C89</f>
        <v>0</v>
      </c>
      <c r="D47" s="105" t="str">
        <f>'ICS2'!E89</f>
        <v>HORNSTEIN</v>
      </c>
      <c r="E47" s="105" t="str">
        <f>'ICS2'!H89</f>
        <v>Hornstein</v>
      </c>
      <c r="F47" s="105" t="str">
        <f>A47</f>
        <v>U11</v>
      </c>
      <c r="G47" s="105" t="str">
        <f>IF(F47="KM","Großfeld",IF(F47="U23","Großfeld",IF(F47="U16","Großfeld",IF(F47="U15","Großfeld",IF(F47="U14","Großfeld",IF(F47="U12_1","55*40",IF(F47="U12_2","55x40",IF(F47="U11","55x40",IF(F47="U10","40x25",IF(F47="U9","40x25",IF(F47="U8","29x22",IF(F47="U7","25x20","16x15"))))))))))))</f>
        <v>55x40</v>
      </c>
      <c r="H47" s="105" t="str">
        <f>IF(F47="KM","7,32x2,44",IF(F47="U23","7,32x2,44",IF(F47="U16","7,32x2,44",IF(F47="U15","7,32x2,44",IF(F47="U14","7,32x2,44",IF(F47="U13","5x2",IF(F47="U12_1","7,32x2,44",IF(F47="U12_2","7,32x2,44",IF(F47="U11","5x2",IF(F47="U10","5x2
",IF(F47="U9","5x2","4 Minitore")))))))))))</f>
        <v>5x2</v>
      </c>
      <c r="I47" s="105" t="str">
        <f>IF(F47="KM","5",IF(F47="U23",5,IF(F47="U16","5",IF(F47="U15","5",IF(F47="U14","4",IF(F47="U13","4",IF(F47="U12_1","4",IF(F47="U12_2","4",IF(F47="U11","4",IF(F47="U10","4",IF(F47="U9","4","3")))))))))))</f>
        <v>4</v>
      </c>
      <c r="J47" s="105" t="str">
        <f>IF(F47="KM","Pleninger Stefan &amp; Matthias Wachter",IF(F47="U23","Egzon Gentiani &amp; Dinges Stefan",IF(F47="U16","Serdar Ekinci &amp; Gernot Sevelda &amp; Hubi Oberhofer",IF(F47="U15","",IF(F47="U14","Christian Neckamm  &amp; Thomas Pöschl",IF(F47="U13","",IF(F47="U12_1","Tobias Berger &amp; Mario Magler",IF(F47="U12_2","Tobias Berger &amp; Mario Magler",IF(F47="U11","Christian Wirth",IF(F47="U10","Thomas Brandl",IF(F47="U9","Tobias Berger &amp; Sebastian Putric",IF(F47="U8","Ömer Türkes &amp; Taha Mahsumi",IF(F47="U7","Alexander Zax &amp; Jürgen Joszt",IF(F47="FKG","Ronny Archam &amp; Florian Rac",IF(A47="Camp","Berger Dieter",IF(A47="Turnier","Berger Dieter","FEHLER"))))))))))))))))</f>
        <v>Christian Wirth</v>
      </c>
      <c r="K47" s="105" t="str">
        <f>IF(F47="KM","+43 664 415 99 09 &amp; +43 699 119 70 312",IF(F47="U23","+43 670 18 59 080 &amp; +43 664 451 22 16",IF(F47="U16","+43 690 104 20 129 &amp; +43 676 401 09 13 &amp; +43 699 181 68 504",IF(F47="U15","",IF(F47="U14","+43 699 192 49 527 &amp; +43 677 613 55 114",IF(F47="U13","",IF(F47="U12_1","+43 66 199 13 52 &amp;  +43 664 762 09 93",IF(F47="U12_2","+43 66 199 13 52 &amp;  +43 664 762 09 93",IF(F47="U11","+43 660 423 93 83",IF(F47="U10","+43 676 377 16 30",IF(F47="U9","+43 66 199 13 52 &amp;  +43 660 914 92 36",IF(F47="U8","+43 676 661 62 26 &amp;  +43 681 208 11 599",IF(F47="U7","+43 664 458 88 84 &amp;  +43 660 549 82 40",IF(F47="FKG","+43 699 111 93 828 &amp;  +43 660 600 25 06",IF(A47="Camp","+43 660 77 39 500",IF(A47="Turnier","+43 660 77 39 500","FEHLER"))))))))))))))))</f>
        <v>+43 660 423 93 83</v>
      </c>
    </row>
    <row r="48" spans="1:11" ht="15.75" hidden="1" x14ac:dyDescent="0.25">
      <c r="A48" s="57" t="str">
        <f>'ICS2'!I90</f>
        <v>U11</v>
      </c>
      <c r="B48" s="103">
        <f>'ICS2'!B90</f>
        <v>46283</v>
      </c>
      <c r="C48" s="104">
        <f>'ICS2'!C90</f>
        <v>0</v>
      </c>
      <c r="D48" s="57" t="str">
        <f>'ICS2'!E90</f>
        <v>WULKAPRODERSDORF</v>
      </c>
      <c r="E48" s="57" t="str">
        <f>'ICS2'!H90</f>
        <v>Wulkaprodersdorf</v>
      </c>
      <c r="F48" s="57" t="str">
        <f>A48</f>
        <v>U11</v>
      </c>
      <c r="G48" s="57" t="str">
        <f>IF(F48="KM","Großfeld",IF(F48="U23","Großfeld",IF(F48="U16","Großfeld",IF(F48="U15","Großfeld",IF(F48="U14","Großfeld",IF(F48="U12_1","55*40",IF(F48="U12_2","55x40",IF(F48="U11","55x40",IF(F48="U10","40x25",IF(F48="U9","40x25",IF(F48="U8","29x22",IF(F48="U7","25x20","16x15"))))))))))))</f>
        <v>55x40</v>
      </c>
      <c r="H48" s="57" t="str">
        <f>IF(F48="KM","7,32x2,44",IF(F48="U23","7,32x2,44",IF(F48="U16","7,32x2,44",IF(F48="U15","7,32x2,44",IF(F48="U14","7,32x2,44",IF(F48="U13","5x2",IF(F48="U12_1","7,32x2,44",IF(F48="U12_2","7,32x2,44",IF(F48="U11","5x2",IF(F48="U10","5x2
",IF(F48="U9","5x2","4 Minitore")))))))))))</f>
        <v>5x2</v>
      </c>
      <c r="I48" s="57" t="str">
        <f>IF(F48="KM","5",IF(F48="U23",5,IF(F48="U16","5",IF(F48="U15","5",IF(F48="U14","4",IF(F48="U13","4",IF(F48="U12_1","4",IF(F48="U12_2","4",IF(F48="U11","4",IF(F48="U10","4",IF(F48="U9","4","3")))))))))))</f>
        <v>4</v>
      </c>
      <c r="J48" s="57" t="str">
        <f>IF(F48="KM","Pleninger Stefan &amp; Matthias Wachter",IF(F48="U23","Egzon Gentiani &amp; Dinges Stefan",IF(F48="U16","Serdar Ekinci &amp; Gernot Sevelda &amp; Hubi Oberhofer",IF(F48="U15","",IF(F48="U14","Christian Neckamm  &amp; Thomas Pöschl",IF(F48="U13","",IF(F48="U12_1","Tobias Berger &amp; Mario Magler",IF(F48="U12_2","Tobias Berger &amp; Mario Magler",IF(F48="U11","Christian Wirth",IF(F48="U10","Thomas Brandl",IF(F48="U9","Tobias Berger &amp; Sebastian Putric",IF(F48="U8","Ömer Türkes &amp; Taha Mahsumi",IF(F48="U7","Alexander Zax &amp; Jürgen Joszt",IF(F48="FKG","Ronny Archam &amp; Florian Rac",IF(A48="Camp","Berger Dieter",IF(A48="Turnier","Berger Dieter","FEHLER"))))))))))))))))</f>
        <v>Christian Wirth</v>
      </c>
      <c r="K48" s="57" t="str">
        <f>IF(F48="KM","+43 664 415 99 09 &amp; +43 699 119 70 312",IF(F48="U23","+43 670 18 59 080 &amp; +43 664 451 22 16",IF(F48="U16","+43 690 104 20 129 &amp; +43 676 401 09 13 &amp; +43 699 181 68 504",IF(F48="U15","",IF(F48="U14","+43 699 192 49 527 &amp; +43 677 613 55 114",IF(F48="U13","",IF(F48="U12_1","+43 66 199 13 52 &amp;  +43 664 762 09 93",IF(F48="U12_2","+43 66 199 13 52 &amp;  +43 664 762 09 93",IF(F48="U11","+43 660 423 93 83",IF(F48="U10","+43 676 377 16 30",IF(F48="U9","+43 66 199 13 52 &amp;  +43 660 914 92 36",IF(F48="U8","+43 676 661 62 26 &amp;  +43 681 208 11 599",IF(F48="U7","+43 664 458 88 84 &amp;  +43 660 549 82 40",IF(F48="FKG","+43 699 111 93 828 &amp;  +43 660 600 25 06",IF(A48="Camp","+43 660 77 39 500",IF(A48="Turnier","+43 660 77 39 500","FEHLER"))))))))))))))))</f>
        <v>+43 660 423 93 83</v>
      </c>
    </row>
    <row r="49" spans="1:11" ht="15.75" x14ac:dyDescent="0.25">
      <c r="A49" s="120" t="str">
        <f>'ICS2'!I26</f>
        <v>KM</v>
      </c>
      <c r="B49" s="121">
        <f>'ICS2'!B26</f>
        <v>46276</v>
      </c>
      <c r="C49" s="122">
        <f>'ICS2'!C26</f>
        <v>0.8125</v>
      </c>
      <c r="D49" s="120" t="str">
        <f>'ICS2'!E26</f>
        <v>NEUFELD</v>
      </c>
      <c r="E49" s="120" t="str">
        <f>'ICS2'!H26</f>
        <v>Winden</v>
      </c>
      <c r="F49" s="120" t="str">
        <f>A49</f>
        <v>KM</v>
      </c>
      <c r="G49" s="120" t="str">
        <f>IF(F49="KM","Großfeld",IF(F49="U23","Großfeld",IF(F49="U16","Großfeld",IF(F49="U15","Großfeld",IF(F49="U14","Großfeld",IF(F49="U12_1","55*40",IF(F49="U12_2","55x40",IF(F49="U11","55x40",IF(F49="U10","40x25",IF(F49="U9","40x25",IF(F49="U8","29x22",IF(F49="U7","25x20","16x15"))))))))))))</f>
        <v>Großfeld</v>
      </c>
      <c r="H49" s="120" t="str">
        <f>IF(F49="KM","7,32x2,44",IF(F49="U23","7,32x2,44",IF(F49="U16","7,32x2,44",IF(F49="U15","7,32x2,44",IF(F49="U14","7,32x2,44",IF(F49="U13","5x2",IF(F49="U12_1","7,32x2,44",IF(F49="U12_2","7,32x2,44",IF(F49="U11","5x2",IF(F49="U10","5x2
",IF(F49="U9","5x2","4 Minitore")))))))))))</f>
        <v>7,32x2,44</v>
      </c>
      <c r="I49" s="120" t="str">
        <f>IF(F49="KM","5",IF(F49="U23",5,IF(F49="U16","5",IF(F49="U15","5",IF(F49="U14","4",IF(F49="U13","4",IF(F49="U12_1","4",IF(F49="U12_2","4",IF(F49="U11","4",IF(F49="U10","4",IF(F49="U9","4","3")))))))))))</f>
        <v>5</v>
      </c>
      <c r="J49" s="120" t="str">
        <f>IF(F49="KM","Pleninger Stefan &amp; Matthias Wachter",IF(F49="U23","Egzon Gentiani &amp; Dinges Stefan",IF(F49="U16","Serdar Ekinci &amp; Gernot Sevelda &amp; Hubi Oberhofer",IF(F49="U15","",IF(F49="U14","Christian Neckamm  &amp; Thomas Pöschl",IF(F49="U13","",IF(F49="U12_1","Tobias Berger &amp; Mario Magler",IF(F49="U12_2","Tobias Berger &amp; Mario Magler",IF(F49="U11","Christian Wirth",IF(F49="U10","Thomas Brandl",IF(F49="U9","Tobias Berger &amp; Sebastian Putric",IF(F49="U8","Ömer Türkes &amp; Taha Mahsumi",IF(F49="U7","Alexander Zax &amp; Jürgen Joszt",IF(F49="FKG","Ronny Archam &amp; Florian Rac",IF(A49="Camp","Berger Dieter",IF(A49="Turnier","Berger Dieter","FEHLER"))))))))))))))))</f>
        <v>Pleninger Stefan &amp; Matthias Wachter</v>
      </c>
      <c r="K49" s="120" t="str">
        <f>IF(F49="KM","+43 664 415 99 09 &amp; +43 699 119 70 312",IF(F49="U23","+43 670 18 59 080 &amp; +43 664 451 22 16",IF(F49="U16","+43 690 104 20 129 &amp; +43 676 401 09 13 &amp; +43 699 181 68 504",IF(F49="U15","",IF(F49="U14","+43 699 192 49 527 &amp; +43 677 613 55 114",IF(F49="U13","",IF(F49="U12_1","+43 66 199 13 52 &amp;  +43 664 762 09 93",IF(F49="U12_2","+43 66 199 13 52 &amp;  +43 664 762 09 93",IF(F49="U11","+43 660 423 93 83",IF(F49="U10","+43 676 377 16 30",IF(F49="U9","+43 66 199 13 52 &amp;  +43 660 914 92 36",IF(F49="U8","+43 676 661 62 26 &amp;  +43 681 208 11 599",IF(F49="U7","+43 664 458 88 84 &amp;  +43 660 549 82 40",IF(F49="FKG","+43 699 111 93 828 &amp;  +43 660 600 25 06",IF(A49="Camp","+43 660 77 39 500",IF(A49="Turnier","+43 660 77 39 500","FEHLER"))))))))))))))))</f>
        <v>+43 664 415 99 09 &amp; +43 699 119 70 312</v>
      </c>
    </row>
    <row r="50" spans="1:11" s="108" customFormat="1" ht="15.75" x14ac:dyDescent="0.25">
      <c r="A50" s="120" t="str">
        <f>'ICS2'!I103</f>
        <v>U9</v>
      </c>
      <c r="B50" s="121">
        <f>'ICS2'!B103</f>
        <v>46278</v>
      </c>
      <c r="C50" s="122">
        <f>'ICS2'!C103</f>
        <v>0.45833333333333331</v>
      </c>
      <c r="D50" s="120" t="str">
        <f>'ICS2'!E103</f>
        <v>NEUFELD</v>
      </c>
      <c r="E50" s="120" t="str">
        <f>'ICS2'!H103</f>
        <v>Steinbrunn</v>
      </c>
      <c r="F50" s="120" t="str">
        <f>A50</f>
        <v>U9</v>
      </c>
      <c r="G50" s="120" t="str">
        <f>IF(F50="KM","Großfeld",IF(F50="U23","Großfeld",IF(F50="U16","Großfeld",IF(F50="U15","Großfeld",IF(F50="U14","Großfeld",IF(F50="U12_1","55*40",IF(F50="U12_2","55x40",IF(F50="U11","55x40",IF(F50="U10","40x25",IF(F50="U9","40x25",IF(F50="U8","29x22",IF(F50="U7","25x20","16x15"))))))))))))</f>
        <v>40x25</v>
      </c>
      <c r="H50" s="120" t="str">
        <f>IF(F50="KM","7,32x2,44",IF(F50="U23","7,32x2,44",IF(F50="U16","7,32x2,44",IF(F50="U15","7,32x2,44",IF(F50="U14","7,32x2,44",IF(F50="U13","5x2",IF(F50="U12_1","7,32x2,44",IF(F50="U12_2","7,32x2,44",IF(F50="U11","5x2",IF(F50="U10","5x2
",IF(F50="U9","5x2","4 Minitore")))))))))))</f>
        <v>5x2</v>
      </c>
      <c r="I50" s="120" t="str">
        <f>IF(F50="KM","5",IF(F50="U23",5,IF(F50="U16","5",IF(F50="U15","5",IF(F50="U14","4",IF(F50="U13","4",IF(F50="U12_1","4",IF(F50="U12_2","4",IF(F50="U11","4",IF(F50="U10","4",IF(F50="U9","4","3")))))))))))</f>
        <v>4</v>
      </c>
      <c r="J50" s="120" t="str">
        <f>IF(F50="KM","Pleninger Stefan &amp; Matthias Wachter",IF(F50="U23","Egzon Gentiani &amp; Dinges Stefan",IF(F50="U16","Serdar Ekinci &amp; Gernot Sevelda &amp; Hubi Oberhofer",IF(F50="U15","",IF(F50="U14","Christian Neckamm  &amp; Thomas Pöschl",IF(F50="U13","",IF(F50="U12_1","Tobias Berger &amp; Mario Magler",IF(F50="U12_2","Tobias Berger &amp; Mario Magler",IF(F50="U11","Christian Wirth",IF(F50="U10","Thomas Brandl",IF(F50="U9","Tobias Berger &amp; Sebastian Putric",IF(F50="U8","Ömer Türkes &amp; Taha Mahsumi",IF(F50="U7","Alexander Zax &amp; Jürgen Joszt",IF(F50="FKG","Ronny Archam &amp; Florian Rac",IF(A50="Camp","Berger Dieter",IF(A50="Turnier","Berger Dieter","FEHLER"))))))))))))))))</f>
        <v>Tobias Berger &amp; Sebastian Putric</v>
      </c>
      <c r="K50" s="120" t="str">
        <f>IF(F50="KM","+43 664 415 99 09 &amp; +43 699 119 70 312",IF(F50="U23","+43 670 18 59 080 &amp; +43 664 451 22 16",IF(F50="U16","+43 690 104 20 129 &amp; +43 676 401 09 13 &amp; +43 699 181 68 504",IF(F50="U15","",IF(F50="U14","+43 699 192 49 527 &amp; +43 677 613 55 114",IF(F50="U13","",IF(F50="U12_1","+43 66 199 13 52 &amp;  +43 664 762 09 93",IF(F50="U12_2","+43 66 199 13 52 &amp;  +43 664 762 09 93",IF(F50="U11","+43 660 423 93 83",IF(F50="U10","+43 676 377 16 30",IF(F50="U9","+43 66 199 13 52 &amp;  +43 660 914 92 36",IF(F50="U8","+43 676 661 62 26 &amp;  +43 681 208 11 599",IF(F50="U7","+43 664 458 88 84 &amp;  +43 660 549 82 40",IF(F50="FKG","+43 699 111 93 828 &amp;  +43 660 600 25 06",IF(A50="Camp","+43 660 77 39 500",IF(A50="Turnier","+43 660 77 39 500","FEHLER"))))))))))))))))</f>
        <v>+43 66 199 13 52 &amp;  +43 660 914 92 36</v>
      </c>
    </row>
    <row r="51" spans="1:11" ht="15.75" hidden="1" x14ac:dyDescent="0.25">
      <c r="A51" s="57" t="str">
        <f>'ICS2'!I93</f>
        <v>U11</v>
      </c>
      <c r="B51" s="103">
        <f>'ICS2'!B93</f>
        <v>46304</v>
      </c>
      <c r="C51" s="104">
        <f>'ICS2'!C93</f>
        <v>0</v>
      </c>
      <c r="D51" s="57" t="str">
        <f>'ICS2'!E93</f>
        <v>LEITHAPRODERSDORF</v>
      </c>
      <c r="E51" s="57" t="str">
        <f>'ICS2'!H93</f>
        <v>Leithaprodersdorf</v>
      </c>
      <c r="F51" s="57" t="str">
        <f>A51</f>
        <v>U11</v>
      </c>
      <c r="G51" s="57" t="str">
        <f>IF(F51="KM","Großfeld",IF(F51="U23","Großfeld",IF(F51="U16","Großfeld",IF(F51="U15","Großfeld",IF(F51="U14","Großfeld",IF(F51="U12_1","55*40",IF(F51="U12_2","55x40",IF(F51="U11","55x40",IF(F51="U10","40x25",IF(F51="U9","40x25",IF(F51="U8","29x22",IF(F51="U7","25x20","16x15"))))))))))))</f>
        <v>55x40</v>
      </c>
      <c r="H51" s="57" t="str">
        <f>IF(F51="KM","7,32x2,44",IF(F51="U23","7,32x2,44",IF(F51="U16","7,32x2,44",IF(F51="U15","7,32x2,44",IF(F51="U14","7,32x2,44",IF(F51="U13","5x2",IF(F51="U12_1","7,32x2,44",IF(F51="U12_2","7,32x2,44",IF(F51="U11","5x2",IF(F51="U10","5x2
",IF(F51="U9","5x2","4 Minitore")))))))))))</f>
        <v>5x2</v>
      </c>
      <c r="I51" s="57" t="str">
        <f>IF(F51="KM","5",IF(F51="U23",5,IF(F51="U16","5",IF(F51="U15","5",IF(F51="U14","4",IF(F51="U13","4",IF(F51="U12_1","4",IF(F51="U12_2","4",IF(F51="U11","4",IF(F51="U10","4",IF(F51="U9","4","3")))))))))))</f>
        <v>4</v>
      </c>
      <c r="J51" s="57" t="str">
        <f>IF(F51="KM","Pleninger Stefan &amp; Matthias Wachter",IF(F51="U23","Egzon Gentiani &amp; Dinges Stefan",IF(F51="U16","Serdar Ekinci &amp; Gernot Sevelda &amp; Hubi Oberhofer",IF(F51="U15","",IF(F51="U14","Christian Neckamm  &amp; Thomas Pöschl",IF(F51="U13","",IF(F51="U12_1","Tobias Berger &amp; Mario Magler",IF(F51="U12_2","Tobias Berger &amp; Mario Magler",IF(F51="U11","Christian Wirth",IF(F51="U10","Thomas Brandl",IF(F51="U9","Tobias Berger &amp; Sebastian Putric",IF(F51="U8","Ömer Türkes &amp; Taha Mahsumi",IF(F51="U7","Alexander Zax &amp; Jürgen Joszt",IF(F51="FKG","Ronny Archam &amp; Florian Rac",IF(A51="Camp","Berger Dieter",IF(A51="Turnier","Berger Dieter","FEHLER"))))))))))))))))</f>
        <v>Christian Wirth</v>
      </c>
      <c r="K51" s="57" t="str">
        <f>IF(F51="KM","+43 664 415 99 09 &amp; +43 699 119 70 312",IF(F51="U23","+43 670 18 59 080 &amp; +43 664 451 22 16",IF(F51="U16","+43 690 104 20 129 &amp; +43 676 401 09 13 &amp; +43 699 181 68 504",IF(F51="U15","",IF(F51="U14","+43 699 192 49 527 &amp; +43 677 613 55 114",IF(F51="U13","",IF(F51="U12_1","+43 66 199 13 52 &amp;  +43 664 762 09 93",IF(F51="U12_2","+43 66 199 13 52 &amp;  +43 664 762 09 93",IF(F51="U11","+43 660 423 93 83",IF(F51="U10","+43 676 377 16 30",IF(F51="U9","+43 66 199 13 52 &amp;  +43 660 914 92 36",IF(F51="U8","+43 676 661 62 26 &amp;  +43 681 208 11 599",IF(F51="U7","+43 664 458 88 84 &amp;  +43 660 549 82 40",IF(F51="FKG","+43 699 111 93 828 &amp;  +43 660 600 25 06",IF(A51="Camp","+43 660 77 39 500",IF(A51="Turnier","+43 660 77 39 500","FEHLER"))))))))))))))))</f>
        <v>+43 660 423 93 83</v>
      </c>
    </row>
    <row r="52" spans="1:11" s="123" customFormat="1" ht="15.75" x14ac:dyDescent="0.25">
      <c r="A52" s="117" t="str">
        <f>'ICS2'!I80</f>
        <v>U12_2</v>
      </c>
      <c r="B52" s="118">
        <f>'ICS2'!B80</f>
        <v>46283</v>
      </c>
      <c r="C52" s="119">
        <f>'ICS2'!C80</f>
        <v>0</v>
      </c>
      <c r="D52" s="117" t="str">
        <f>'ICS2'!E80</f>
        <v>GROßHÖFLEIN</v>
      </c>
      <c r="E52" s="117" t="str">
        <f>'ICS2'!H80</f>
        <v>Großhöflein</v>
      </c>
      <c r="F52" s="117" t="str">
        <f>A52</f>
        <v>U12_2</v>
      </c>
      <c r="G52" s="117" t="str">
        <f>IF(F52="KM","Großfeld",IF(F52="U23","Großfeld",IF(F52="U16","Großfeld",IF(F52="U15","Großfeld",IF(F52="U14","Großfeld",IF(F52="U12_1","55*40",IF(F52="U12_2","55x40",IF(F52="U11","55x40",IF(F52="U10","40x25",IF(F52="U9","40x25",IF(F52="U8","29x22",IF(F52="U7","25x20","16x15"))))))))))))</f>
        <v>55x40</v>
      </c>
      <c r="H52" s="117" t="str">
        <f>IF(F52="KM","7,32x2,44",IF(F52="U23","7,32x2,44",IF(F52="U16","7,32x2,44",IF(F52="U15","7,32x2,44",IF(F52="U14","7,32x2,44",IF(F52="U13","5x2",IF(F52="U12_1","7,32x2,44",IF(F52="U12_2","7,32x2,44",IF(F52="U11","5x2",IF(F52="U10","5x2
",IF(F52="U9","5x2","4 Minitore")))))))))))</f>
        <v>7,32x2,44</v>
      </c>
      <c r="I52" s="117" t="str">
        <f>IF(F52="KM","5",IF(F52="U23",5,IF(F52="U16","5",IF(F52="U15","5",IF(F52="U14","4",IF(F52="U13","4",IF(F52="U12_1","4",IF(F52="U12_2","4",IF(F52="U11","4",IF(F52="U10","4",IF(F52="U9","4","3")))))))))))</f>
        <v>4</v>
      </c>
      <c r="J52" s="117" t="str">
        <f>IF(F52="KM","Pleninger Stefan &amp; Matthias Wachter",IF(F52="U23","Egzon Gentiani &amp; Dinges Stefan",IF(F52="U16","Serdar Ekinci &amp; Gernot Sevelda &amp; Hubi Oberhofer",IF(F52="U15","",IF(F52="U14","Christian Neckamm  &amp; Thomas Pöschl",IF(F52="U13","",IF(F52="U12_1","Tobias Berger &amp; Mario Magler",IF(F52="U12_2","Tobias Berger &amp; Mario Magler",IF(F52="U11","Christian Wirth",IF(F52="U10","Thomas Brandl",IF(F52="U9","Tobias Berger &amp; Sebastian Putric",IF(F52="U8","Ömer Türkes &amp; Taha Mahsumi",IF(F52="U7","Alexander Zax &amp; Jürgen Joszt",IF(F52="FKG","Ronny Archam &amp; Florian Rac",IF(A52="Camp","Berger Dieter",IF(A52="Turnier","Berger Dieter","FEHLER"))))))))))))))))</f>
        <v>Tobias Berger &amp; Mario Magler</v>
      </c>
      <c r="K52" s="117" t="str">
        <f>IF(F52="KM","+43 664 415 99 09 &amp; +43 699 119 70 312",IF(F52="U23","+43 670 18 59 080 &amp; +43 664 451 22 16",IF(F52="U16","+43 690 104 20 129 &amp; +43 676 401 09 13 &amp; +43 699 181 68 504",IF(F52="U15","",IF(F52="U14","+43 699 192 49 527 &amp; +43 677 613 55 114",IF(F52="U13","",IF(F52="U12_1","+43 66 199 13 52 &amp;  +43 664 762 09 93",IF(F52="U12_2","+43 66 199 13 52 &amp;  +43 664 762 09 93",IF(F52="U11","+43 660 423 93 83",IF(F52="U10","+43 676 377 16 30",IF(F52="U9","+43 66 199 13 52 &amp;  +43 660 914 92 36",IF(F52="U8","+43 676 661 62 26 &amp;  +43 681 208 11 599",IF(F52="U7","+43 664 458 88 84 &amp;  +43 660 549 82 40",IF(F52="FKG","+43 699 111 93 828 &amp;  +43 660 600 25 06",IF(A52="Camp","+43 660 77 39 500",IF(A52="Turnier","+43 660 77 39 500","FEHLER"))))))))))))))))</f>
        <v>+43 66 199 13 52 &amp;  +43 664 762 09 93</v>
      </c>
    </row>
    <row r="53" spans="1:11" s="112" customFormat="1" ht="15.75" hidden="1" x14ac:dyDescent="0.25">
      <c r="A53" s="105" t="str">
        <f>'ICS2'!I95</f>
        <v>U11</v>
      </c>
      <c r="B53" s="106">
        <f>'ICS2'!B95</f>
        <v>46318</v>
      </c>
      <c r="C53" s="107">
        <f>'ICS2'!C95</f>
        <v>0</v>
      </c>
      <c r="D53" s="105" t="str">
        <f>'ICS2'!E95</f>
        <v>HORNSTEIN</v>
      </c>
      <c r="E53" s="105" t="str">
        <f>'ICS2'!H95</f>
        <v>Hornstein</v>
      </c>
      <c r="F53" s="105" t="str">
        <f>A53</f>
        <v>U11</v>
      </c>
      <c r="G53" s="105" t="str">
        <f>IF(F53="KM","Großfeld",IF(F53="U23","Großfeld",IF(F53="U16","Großfeld",IF(F53="U15","Großfeld",IF(F53="U14","Großfeld",IF(F53="U12_1","55*40",IF(F53="U12_2","55x40",IF(F53="U11","55x40",IF(F53="U10","40x25",IF(F53="U9","40x25",IF(F53="U8","29x22",IF(F53="U7","25x20","16x15"))))))))))))</f>
        <v>55x40</v>
      </c>
      <c r="H53" s="105" t="str">
        <f>IF(F53="KM","7,32x2,44",IF(F53="U23","7,32x2,44",IF(F53="U16","7,32x2,44",IF(F53="U15","7,32x2,44",IF(F53="U14","7,32x2,44",IF(F53="U13","5x2",IF(F53="U12_1","7,32x2,44",IF(F53="U12_2","7,32x2,44",IF(F53="U11","5x2",IF(F53="U10","5x2
",IF(F53="U9","5x2","4 Minitore")))))))))))</f>
        <v>5x2</v>
      </c>
      <c r="I53" s="105" t="str">
        <f>IF(F53="KM","5",IF(F53="U23",5,IF(F53="U16","5",IF(F53="U15","5",IF(F53="U14","4",IF(F53="U13","4",IF(F53="U12_1","4",IF(F53="U12_2","4",IF(F53="U11","4",IF(F53="U10","4",IF(F53="U9","4","3")))))))))))</f>
        <v>4</v>
      </c>
      <c r="J53" s="105" t="str">
        <f>IF(F53="KM","Pleninger Stefan &amp; Matthias Wachter",IF(F53="U23","Egzon Gentiani &amp; Dinges Stefan",IF(F53="U16","Serdar Ekinci &amp; Gernot Sevelda &amp; Hubi Oberhofer",IF(F53="U15","",IF(F53="U14","Christian Neckamm  &amp; Thomas Pöschl",IF(F53="U13","",IF(F53="U12_1","Tobias Berger &amp; Mario Magler",IF(F53="U12_2","Tobias Berger &amp; Mario Magler",IF(F53="U11","Christian Wirth",IF(F53="U10","Thomas Brandl",IF(F53="U9","Tobias Berger &amp; Sebastian Putric",IF(F53="U8","Ömer Türkes &amp; Taha Mahsumi",IF(F53="U7","Alexander Zax &amp; Jürgen Joszt",IF(F53="FKG","Ronny Archam &amp; Florian Rac",IF(A53="Camp","Berger Dieter",IF(A53="Turnier","Berger Dieter","FEHLER"))))))))))))))))</f>
        <v>Christian Wirth</v>
      </c>
      <c r="K53" s="105" t="str">
        <f>IF(F53="KM","+43 664 415 99 09 &amp; +43 699 119 70 312",IF(F53="U23","+43 670 18 59 080 &amp; +43 664 451 22 16",IF(F53="U16","+43 690 104 20 129 &amp; +43 676 401 09 13 &amp; +43 699 181 68 504",IF(F53="U15","",IF(F53="U14","+43 699 192 49 527 &amp; +43 677 613 55 114",IF(F53="U13","",IF(F53="U12_1","+43 66 199 13 52 &amp;  +43 664 762 09 93",IF(F53="U12_2","+43 66 199 13 52 &amp;  +43 664 762 09 93",IF(F53="U11","+43 660 423 93 83",IF(F53="U10","+43 676 377 16 30",IF(F53="U9","+43 66 199 13 52 &amp;  +43 660 914 92 36",IF(F53="U8","+43 676 661 62 26 &amp;  +43 681 208 11 599",IF(F53="U7","+43 664 458 88 84 &amp;  +43 660 549 82 40",IF(F53="FKG","+43 699 111 93 828 &amp;  +43 660 600 25 06",IF(A53="Camp","+43 660 77 39 500",IF(A53="Turnier","+43 660 77 39 500","FEHLER"))))))))))))))))</f>
        <v>+43 660 423 93 83</v>
      </c>
    </row>
    <row r="54" spans="1:11" ht="15.75" hidden="1" x14ac:dyDescent="0.25">
      <c r="A54" s="113" t="str">
        <f>'ICS2'!I96</f>
        <v>U11</v>
      </c>
      <c r="B54" s="114">
        <f>'ICS2'!B96</f>
        <v>46325</v>
      </c>
      <c r="C54" s="115">
        <f>'ICS2'!C96</f>
        <v>0</v>
      </c>
      <c r="D54" s="113" t="str">
        <f>'ICS2'!E96</f>
        <v>WULKAPRODERSDORF</v>
      </c>
      <c r="E54" s="113" t="str">
        <f>'ICS2'!H96</f>
        <v>Wulkaprodersdorf</v>
      </c>
      <c r="F54" s="113" t="str">
        <f>A54</f>
        <v>U11</v>
      </c>
      <c r="G54" s="113" t="str">
        <f>IF(F54="KM","Großfeld",IF(F54="U23","Großfeld",IF(F54="U16","Großfeld",IF(F54="U15","Großfeld",IF(F54="U14","Großfeld",IF(F54="U12_1","55*40",IF(F54="U12_2","55x40",IF(F54="U11","55x40",IF(F54="U10","40x25",IF(F54="U9","40x25",IF(F54="U8","29x22",IF(F54="U7","25x20","16x15"))))))))))))</f>
        <v>55x40</v>
      </c>
      <c r="H54" s="113" t="str">
        <f>IF(F54="KM","7,32x2,44",IF(F54="U23","7,32x2,44",IF(F54="U16","7,32x2,44",IF(F54="U15","7,32x2,44",IF(F54="U14","7,32x2,44",IF(F54="U13","5x2",IF(F54="U12_1","7,32x2,44",IF(F54="U12_2","7,32x2,44",IF(F54="U11","5x2",IF(F54="U10","5x2
",IF(F54="U9","5x2","4 Minitore")))))))))))</f>
        <v>5x2</v>
      </c>
      <c r="I54" s="113" t="str">
        <f>IF(F54="KM","5",IF(F54="U23",5,IF(F54="U16","5",IF(F54="U15","5",IF(F54="U14","4",IF(F54="U13","4",IF(F54="U12_1","4",IF(F54="U12_2","4",IF(F54="U11","4",IF(F54="U10","4",IF(F54="U9","4","3")))))))))))</f>
        <v>4</v>
      </c>
      <c r="J54" s="113" t="str">
        <f>IF(F54="KM","Pleninger Stefan &amp; Matthias Wachter",IF(F54="U23","Egzon Gentiani &amp; Dinges Stefan",IF(F54="U16","Serdar Ekinci &amp; Gernot Sevelda &amp; Hubi Oberhofer",IF(F54="U15","",IF(F54="U14","Christian Neckamm  &amp; Thomas Pöschl",IF(F54="U13","",IF(F54="U12_1","Tobias Berger &amp; Mario Magler",IF(F54="U12_2","Tobias Berger &amp; Mario Magler",IF(F54="U11","Christian Wirth",IF(F54="U10","Thomas Brandl",IF(F54="U9","Tobias Berger &amp; Sebastian Putric",IF(F54="U8","Ömer Türkes &amp; Taha Mahsumi",IF(F54="U7","Alexander Zax &amp; Jürgen Joszt",IF(F54="FKG","Ronny Archam &amp; Florian Rac",IF(A54="Camp","Berger Dieter",IF(A54="Turnier","Berger Dieter","FEHLER"))))))))))))))))</f>
        <v>Christian Wirth</v>
      </c>
      <c r="K54" s="113" t="str">
        <f>IF(F54="KM","+43 664 415 99 09 &amp; +43 699 119 70 312",IF(F54="U23","+43 670 18 59 080 &amp; +43 664 451 22 16",IF(F54="U16","+43 690 104 20 129 &amp; +43 676 401 09 13 &amp; +43 699 181 68 504",IF(F54="U15","",IF(F54="U14","+43 699 192 49 527 &amp; +43 677 613 55 114",IF(F54="U13","",IF(F54="U12_1","+43 66 199 13 52 &amp;  +43 664 762 09 93",IF(F54="U12_2","+43 66 199 13 52 &amp;  +43 664 762 09 93",IF(F54="U11","+43 660 423 93 83",IF(F54="U10","+43 676 377 16 30",IF(F54="U9","+43 66 199 13 52 &amp;  +43 660 914 92 36",IF(F54="U8","+43 676 661 62 26 &amp;  +43 681 208 11 599",IF(F54="U7","+43 664 458 88 84 &amp;  +43 660 549 82 40",IF(F54="FKG","+43 699 111 93 828 &amp;  +43 660 600 25 06",IF(A54="Camp","+43 660 77 39 500",IF(A54="Turnier","+43 660 77 39 500","FEHLER"))))))))))))))))</f>
        <v>+43 660 423 93 83</v>
      </c>
    </row>
    <row r="55" spans="1:11" ht="15.75" x14ac:dyDescent="0.25">
      <c r="A55" s="117" t="str">
        <f>'ICS2'!I113</f>
        <v>U8</v>
      </c>
      <c r="B55" s="118">
        <f>'ICS2'!B113</f>
        <v>46284</v>
      </c>
      <c r="C55" s="119">
        <f>'ICS2'!C113</f>
        <v>0</v>
      </c>
      <c r="D55" s="117" t="str">
        <f>'ICS2'!E113</f>
        <v>WIMPASSING</v>
      </c>
      <c r="E55" s="117" t="str">
        <f>'ICS2'!H113</f>
        <v>Turnier</v>
      </c>
      <c r="F55" s="117" t="str">
        <f>A55</f>
        <v>U8</v>
      </c>
      <c r="G55" s="117" t="str">
        <f>IF(F55="KM","Großfeld",IF(F55="U23","Großfeld",IF(F55="U16","Großfeld",IF(F55="U15","Großfeld",IF(F55="U14","Großfeld",IF(F55="U12_1","55*40",IF(F55="U12_2","55x40",IF(F55="U11","55x40",IF(F55="U10","40x25",IF(F55="U9","40x25",IF(F55="U8","29x22",IF(F55="U7","25x20","16x15"))))))))))))</f>
        <v>29x22</v>
      </c>
      <c r="H55" s="117" t="str">
        <f>IF(F55="KM","7,32x2,44",IF(F55="U23","7,32x2,44",IF(F55="U16","7,32x2,44",IF(F55="U15","7,32x2,44",IF(F55="U14","7,32x2,44",IF(F55="U13","5x2",IF(F55="U12_1","7,32x2,44",IF(F55="U12_2","7,32x2,44",IF(F55="U11","5x2",IF(F55="U10","5x2
",IF(F55="U9","5x2","4 Minitore")))))))))))</f>
        <v>4 Minitore</v>
      </c>
      <c r="I55" s="117" t="str">
        <f>IF(F55="KM","5",IF(F55="U23",5,IF(F55="U16","5",IF(F55="U15","5",IF(F55="U14","4",IF(F55="U13","4",IF(F55="U12_1","4",IF(F55="U12_2","4",IF(F55="U11","4",IF(F55="U10","4",IF(F55="U9","4","3")))))))))))</f>
        <v>3</v>
      </c>
      <c r="J55" s="117" t="str">
        <f>IF(F55="KM","Pleninger Stefan &amp; Matthias Wachter",IF(F55="U23","Egzon Gentiani &amp; Dinges Stefan",IF(F55="U16","Serdar Ekinci &amp; Gernot Sevelda &amp; Hubi Oberhofer",IF(F55="U15","",IF(F55="U14","Christian Neckamm  &amp; Thomas Pöschl",IF(F55="U13","",IF(F55="U12_1","Tobias Berger &amp; Mario Magler",IF(F55="U12_2","Tobias Berger &amp; Mario Magler",IF(F55="U11","Christian Wirth",IF(F55="U10","Thomas Brandl",IF(F55="U9","Tobias Berger &amp; Sebastian Putric",IF(F55="U8","Ömer Türkes &amp; Taha Mahsumi",IF(F55="U7","Alexander Zax &amp; Jürgen Joszt",IF(F55="FKG","Ronny Archam &amp; Florian Rac",IF(A55="Camp","Berger Dieter",IF(A55="Turnier","Berger Dieter","FEHLER"))))))))))))))))</f>
        <v>Ömer Türkes &amp; Taha Mahsumi</v>
      </c>
      <c r="K55" s="117" t="str">
        <f>IF(F55="KM","+43 664 415 99 09 &amp; +43 699 119 70 312",IF(F55="U23","+43 670 18 59 080 &amp; +43 664 451 22 16",IF(F55="U16","+43 690 104 20 129 &amp; +43 676 401 09 13 &amp; +43 699 181 68 504",IF(F55="U15","",IF(F55="U14","+43 699 192 49 527 &amp; +43 677 613 55 114",IF(F55="U13","",IF(F55="U12_1","+43 66 199 13 52 &amp;  +43 664 762 09 93",IF(F55="U12_2","+43 66 199 13 52 &amp;  +43 664 762 09 93",IF(F55="U11","+43 660 423 93 83",IF(F55="U10","+43 676 377 16 30",IF(F55="U9","+43 66 199 13 52 &amp;  +43 660 914 92 36",IF(F55="U8","+43 676 661 62 26 &amp;  +43 681 208 11 599",IF(F55="U7","+43 664 458 88 84 &amp;  +43 660 549 82 40",IF(F55="FKG","+43 699 111 93 828 &amp;  +43 660 600 25 06",IF(A55="Camp","+43 660 77 39 500",IF(A55="Turnier","+43 660 77 39 500","FEHLER"))))))))))))))))</f>
        <v>+43 676 661 62 26 &amp;  +43 681 208 11 599</v>
      </c>
    </row>
    <row r="56" spans="1:11" ht="15.75" hidden="1" x14ac:dyDescent="0.25">
      <c r="A56" s="57" t="str">
        <f>'ICS2'!I69</f>
        <v>U12_1</v>
      </c>
      <c r="B56" s="103">
        <f>'ICS2'!B69</f>
        <v>46276</v>
      </c>
      <c r="C56" s="104">
        <f>'ICS2'!C69</f>
        <v>0</v>
      </c>
      <c r="D56" s="57" t="str">
        <f>'ICS2'!E69</f>
        <v>KLINGENBACH</v>
      </c>
      <c r="E56" s="57" t="str">
        <f>'ICS2'!H69</f>
        <v>SPG Klimpuh Juniors</v>
      </c>
      <c r="F56" s="57" t="str">
        <f>A56</f>
        <v>U12_1</v>
      </c>
      <c r="G56" s="57" t="str">
        <f>IF(F56="KM","Großfeld",IF(F56="U23","Großfeld",IF(F56="U16","Großfeld",IF(F56="U15","Großfeld",IF(F56="U14","Großfeld",IF(F56="U12_1","55*40",IF(F56="U12_2","55x40",IF(F56="U11","55x40",IF(F56="U10","40x25",IF(F56="U9","40x25",IF(F56="U8","29x22",IF(F56="U7","25x20","16x15"))))))))))))</f>
        <v>55*40</v>
      </c>
      <c r="H56" s="57" t="str">
        <f>IF(F56="KM","7,32x2,44",IF(F56="U23","7,32x2,44",IF(F56="U16","7,32x2,44",IF(F56="U15","7,32x2,44",IF(F56="U14","7,32x2,44",IF(F56="U13","5x2",IF(F56="U12_1","7,32x2,44",IF(F56="U12_2","7,32x2,44",IF(F56="U11","5x2",IF(F56="U10","5x2
",IF(F56="U9","5x2","4 Minitore")))))))))))</f>
        <v>7,32x2,44</v>
      </c>
      <c r="I56" s="57" t="str">
        <f>IF(F56="KM","5",IF(F56="U23",5,IF(F56="U16","5",IF(F56="U15","5",IF(F56="U14","4",IF(F56="U13","4",IF(F56="U12_1","4",IF(F56="U12_2","4",IF(F56="U11","4",IF(F56="U10","4",IF(F56="U9","4","3")))))))))))</f>
        <v>4</v>
      </c>
      <c r="J56" s="57" t="str">
        <f>IF(F56="KM","Pleninger Stefan &amp; Matthias Wachter",IF(F56="U23","Egzon Gentiani &amp; Dinges Stefan",IF(F56="U16","Serdar Ekinci &amp; Gernot Sevelda &amp; Hubi Oberhofer",IF(F56="U15","",IF(F56="U14","Christian Neckamm  &amp; Thomas Pöschl",IF(F56="U13","",IF(F56="U12_1","Tobias Berger &amp; Mario Magler",IF(F56="U12_2","Tobias Berger &amp; Mario Magler",IF(F56="U11","Christian Wirth",IF(F56="U10","Thomas Brandl",IF(F56="U9","Tobias Berger &amp; Sebastian Putric",IF(F56="U8","Ömer Türkes &amp; Taha Mahsumi",IF(F56="U7","Alexander Zax &amp; Jürgen Joszt",IF(F56="FKG","Ronny Archam &amp; Florian Rac",IF(A56="Camp","Berger Dieter",IF(A56="Turnier","Berger Dieter","FEHLER"))))))))))))))))</f>
        <v>Tobias Berger &amp; Mario Magler</v>
      </c>
      <c r="K56" s="57" t="str">
        <f>IF(F56="KM","+43 664 415 99 09 &amp; +43 699 119 70 312",IF(F56="U23","+43 670 18 59 080 &amp; +43 664 451 22 16",IF(F56="U16","+43 690 104 20 129 &amp; +43 676 401 09 13 &amp; +43 699 181 68 504",IF(F56="U15","",IF(F56="U14","+43 699 192 49 527 &amp; +43 677 613 55 114",IF(F56="U13","",IF(F56="U12_1","+43 66 199 13 52 &amp;  +43 664 762 09 93",IF(F56="U12_2","+43 66 199 13 52 &amp;  +43 664 762 09 93",IF(F56="U11","+43 660 423 93 83",IF(F56="U10","+43 676 377 16 30",IF(F56="U9","+43 66 199 13 52 &amp;  +43 660 914 92 36",IF(F56="U8","+43 676 661 62 26 &amp;  +43 681 208 11 599",IF(F56="U7","+43 664 458 88 84 &amp;  +43 660 549 82 40",IF(F56="FKG","+43 699 111 93 828 &amp;  +43 660 600 25 06",IF(A56="Camp","+43 660 77 39 500",IF(A56="Turnier","+43 660 77 39 500","FEHLER"))))))))))))))))</f>
        <v>+43 66 199 13 52 &amp;  +43 664 762 09 93</v>
      </c>
    </row>
    <row r="57" spans="1:11" ht="15.75" x14ac:dyDescent="0.25">
      <c r="A57" s="120" t="str">
        <f>'ICS2'!I70</f>
        <v>U12_1</v>
      </c>
      <c r="B57" s="121">
        <f>'ICS2'!B70</f>
        <v>46284</v>
      </c>
      <c r="C57" s="122">
        <f>'ICS2'!C70</f>
        <v>0.4375</v>
      </c>
      <c r="D57" s="120" t="str">
        <f>'ICS2'!E70</f>
        <v>NEUFELD</v>
      </c>
      <c r="E57" s="120" t="str">
        <f>'ICS2'!H70</f>
        <v>Leithaprodersdorf</v>
      </c>
      <c r="F57" s="120" t="str">
        <f>A57</f>
        <v>U12_1</v>
      </c>
      <c r="G57" s="120" t="str">
        <f>IF(F57="KM","Großfeld",IF(F57="U23","Großfeld",IF(F57="U16","Großfeld",IF(F57="U15","Großfeld",IF(F57="U14","Großfeld",IF(F57="U12_1","55*40",IF(F57="U12_2","55x40",IF(F57="U11","55x40",IF(F57="U10","40x25",IF(F57="U9","40x25",IF(F57="U8","29x22",IF(F57="U7","25x20","16x15"))))))))))))</f>
        <v>55*40</v>
      </c>
      <c r="H57" s="120" t="str">
        <f>IF(F57="KM","7,32x2,44",IF(F57="U23","7,32x2,44",IF(F57="U16","7,32x2,44",IF(F57="U15","7,32x2,44",IF(F57="U14","7,32x2,44",IF(F57="U13","5x2",IF(F57="U12_1","7,32x2,44",IF(F57="U12_2","7,32x2,44",IF(F57="U11","5x2",IF(F57="U10","5x2
",IF(F57="U9","5x2","4 Minitore")))))))))))</f>
        <v>7,32x2,44</v>
      </c>
      <c r="I57" s="120" t="str">
        <f>IF(F57="KM","5",IF(F57="U23",5,IF(F57="U16","5",IF(F57="U15","5",IF(F57="U14","4",IF(F57="U13","4",IF(F57="U12_1","4",IF(F57="U12_2","4",IF(F57="U11","4",IF(F57="U10","4",IF(F57="U9","4","3")))))))))))</f>
        <v>4</v>
      </c>
      <c r="J57" s="120" t="str">
        <f>IF(F57="KM","Pleninger Stefan &amp; Matthias Wachter",IF(F57="U23","Egzon Gentiani &amp; Dinges Stefan",IF(F57="U16","Serdar Ekinci &amp; Gernot Sevelda &amp; Hubi Oberhofer",IF(F57="U15","",IF(F57="U14","Christian Neckamm  &amp; Thomas Pöschl",IF(F57="U13","",IF(F57="U12_1","Tobias Berger &amp; Mario Magler",IF(F57="U12_2","Tobias Berger &amp; Mario Magler",IF(F57="U11","Christian Wirth",IF(F57="U10","Thomas Brandl",IF(F57="U9","Tobias Berger &amp; Sebastian Putric",IF(F57="U8","Ömer Türkes &amp; Taha Mahsumi",IF(F57="U7","Alexander Zax &amp; Jürgen Joszt",IF(F57="FKG","Ronny Archam &amp; Florian Rac",IF(A57="Camp","Berger Dieter",IF(A57="Turnier","Berger Dieter","FEHLER"))))))))))))))))</f>
        <v>Tobias Berger &amp; Mario Magler</v>
      </c>
      <c r="K57" s="120" t="str">
        <f>IF(F57="KM","+43 664 415 99 09 &amp; +43 699 119 70 312",IF(F57="U23","+43 670 18 59 080 &amp; +43 664 451 22 16",IF(F57="U16","+43 690 104 20 129 &amp; +43 676 401 09 13 &amp; +43 699 181 68 504",IF(F57="U15","",IF(F57="U14","+43 699 192 49 527 &amp; +43 677 613 55 114",IF(F57="U13","",IF(F57="U12_1","+43 66 199 13 52 &amp;  +43 664 762 09 93",IF(F57="U12_2","+43 66 199 13 52 &amp;  +43 664 762 09 93",IF(F57="U11","+43 660 423 93 83",IF(F57="U10","+43 676 377 16 30",IF(F57="U9","+43 66 199 13 52 &amp;  +43 660 914 92 36",IF(F57="U8","+43 676 661 62 26 &amp;  +43 681 208 11 599",IF(F57="U7","+43 664 458 88 84 &amp;  +43 660 549 82 40",IF(F57="FKG","+43 699 111 93 828 &amp;  +43 660 600 25 06",IF(A57="Camp","+43 660 77 39 500",IF(A57="Turnier","+43 660 77 39 500","FEHLER"))))))))))))))))</f>
        <v>+43 66 199 13 52 &amp;  +43 664 762 09 93</v>
      </c>
    </row>
    <row r="58" spans="1:11" ht="15.75" hidden="1" x14ac:dyDescent="0.25">
      <c r="A58" s="57" t="str">
        <f>'ICS2'!I71</f>
        <v>U12_1</v>
      </c>
      <c r="B58" s="103">
        <f>'ICS2'!B71</f>
        <v>46290</v>
      </c>
      <c r="C58" s="104">
        <f>'ICS2'!C71</f>
        <v>0</v>
      </c>
      <c r="D58" s="57" t="str">
        <f>'ICS2'!E71</f>
        <v>RUST</v>
      </c>
      <c r="E58" s="57" t="str">
        <f>'ICS2'!H71</f>
        <v>SC "muki" Eisenstadt/Rust</v>
      </c>
      <c r="F58" s="57" t="str">
        <f>A58</f>
        <v>U12_1</v>
      </c>
      <c r="G58" s="57" t="str">
        <f>IF(F58="KM","Großfeld",IF(F58="U23","Großfeld",IF(F58="U16","Großfeld",IF(F58="U15","Großfeld",IF(F58="U14","Großfeld",IF(F58="U12_1","55*40",IF(F58="U12_2","55x40",IF(F58="U11","55x40",IF(F58="U10","40x25",IF(F58="U9","40x25",IF(F58="U8","29x22",IF(F58="U7","25x20","16x15"))))))))))))</f>
        <v>55*40</v>
      </c>
      <c r="H58" s="57" t="str">
        <f>IF(F58="KM","7,32x2,44",IF(F58="U23","7,32x2,44",IF(F58="U16","7,32x2,44",IF(F58="U15","7,32x2,44",IF(F58="U14","7,32x2,44",IF(F58="U13","5x2",IF(F58="U12_1","7,32x2,44",IF(F58="U12_2","7,32x2,44",IF(F58="U11","5x2",IF(F58="U10","5x2
",IF(F58="U9","5x2","4 Minitore")))))))))))</f>
        <v>7,32x2,44</v>
      </c>
      <c r="I58" s="57" t="str">
        <f>IF(F58="KM","5",IF(F58="U23",5,IF(F58="U16","5",IF(F58="U15","5",IF(F58="U14","4",IF(F58="U13","4",IF(F58="U12_1","4",IF(F58="U12_2","4",IF(F58="U11","4",IF(F58="U10","4",IF(F58="U9","4","3")))))))))))</f>
        <v>4</v>
      </c>
      <c r="J58" s="57" t="str">
        <f>IF(F58="KM","Pleninger Stefan &amp; Matthias Wachter",IF(F58="U23","Egzon Gentiani &amp; Dinges Stefan",IF(F58="U16","Serdar Ekinci &amp; Gernot Sevelda &amp; Hubi Oberhofer",IF(F58="U15","",IF(F58="U14","Christian Neckamm  &amp; Thomas Pöschl",IF(F58="U13","",IF(F58="U12_1","Tobias Berger &amp; Mario Magler",IF(F58="U12_2","Tobias Berger &amp; Mario Magler",IF(F58="U11","Christian Wirth",IF(F58="U10","Thomas Brandl",IF(F58="U9","Tobias Berger &amp; Sebastian Putric",IF(F58="U8","Ömer Türkes &amp; Taha Mahsumi",IF(F58="U7","Alexander Zax &amp; Jürgen Joszt",IF(F58="FKG","Ronny Archam &amp; Florian Rac",IF(A58="Camp","Berger Dieter",IF(A58="Turnier","Berger Dieter","FEHLER"))))))))))))))))</f>
        <v>Tobias Berger &amp; Mario Magler</v>
      </c>
      <c r="K58" s="57" t="str">
        <f>IF(F58="KM","+43 664 415 99 09 &amp; +43 699 119 70 312",IF(F58="U23","+43 670 18 59 080 &amp; +43 664 451 22 16",IF(F58="U16","+43 690 104 20 129 &amp; +43 676 401 09 13 &amp; +43 699 181 68 504",IF(F58="U15","",IF(F58="U14","+43 699 192 49 527 &amp; +43 677 613 55 114",IF(F58="U13","",IF(F58="U12_1","+43 66 199 13 52 &amp;  +43 664 762 09 93",IF(F58="U12_2","+43 66 199 13 52 &amp;  +43 664 762 09 93",IF(F58="U11","+43 660 423 93 83",IF(F58="U10","+43 676 377 16 30",IF(F58="U9","+43 66 199 13 52 &amp;  +43 660 914 92 36",IF(F58="U8","+43 676 661 62 26 &amp;  +43 681 208 11 599",IF(F58="U7","+43 664 458 88 84 &amp;  +43 660 549 82 40",IF(F58="FKG","+43 699 111 93 828 &amp;  +43 660 600 25 06",IF(A58="Camp","+43 660 77 39 500",IF(A58="Turnier","+43 660 77 39 500","FEHLER"))))))))))))))))</f>
        <v>+43 66 199 13 52 &amp;  +43 664 762 09 93</v>
      </c>
    </row>
    <row r="59" spans="1:11" ht="15.75" x14ac:dyDescent="0.25">
      <c r="A59" s="120" t="str">
        <f>'ICS2'!I61</f>
        <v>U14</v>
      </c>
      <c r="B59" s="121">
        <f>'ICS2'!B61</f>
        <v>46284</v>
      </c>
      <c r="C59" s="122">
        <f>'ICS2'!C61</f>
        <v>0.52083333333333337</v>
      </c>
      <c r="D59" s="120" t="str">
        <f>'ICS2'!E61</f>
        <v>NEUFELD</v>
      </c>
      <c r="E59" s="120" t="str">
        <f>'ICS2'!H61</f>
        <v>Parndorf</v>
      </c>
      <c r="F59" s="120" t="str">
        <f>A59</f>
        <v>U14</v>
      </c>
      <c r="G59" s="120" t="str">
        <f>IF(F59="KM","Großfeld",IF(F59="U23","Großfeld",IF(F59="U16","Großfeld",IF(F59="U15","Großfeld",IF(F59="U14","Großfeld",IF(F59="U12_1","55*40",IF(F59="U12_2","55x40",IF(F59="U11","55x40",IF(F59="U10","40x25",IF(F59="U9","40x25",IF(F59="U8","29x22",IF(F59="U7","25x20","16x15"))))))))))))</f>
        <v>Großfeld</v>
      </c>
      <c r="H59" s="120" t="str">
        <f>IF(F59="KM","7,32x2,44",IF(F59="U23","7,32x2,44",IF(F59="U16","7,32x2,44",IF(F59="U15","7,32x2,44",IF(F59="U14","7,32x2,44",IF(F59="U13","5x2",IF(F59="U12_1","7,32x2,44",IF(F59="U12_2","7,32x2,44",IF(F59="U11","5x2",IF(F59="U10","5x2
",IF(F59="U9","5x2","4 Minitore")))))))))))</f>
        <v>7,32x2,44</v>
      </c>
      <c r="I59" s="120" t="str">
        <f>IF(F59="KM","5",IF(F59="U23",5,IF(F59="U16","5",IF(F59="U15","5",IF(F59="U14","4",IF(F59="U13","4",IF(F59="U12_1","4",IF(F59="U12_2","4",IF(F59="U11","4",IF(F59="U10","4",IF(F59="U9","4","3")))))))))))</f>
        <v>4</v>
      </c>
      <c r="J59" s="120" t="str">
        <f>IF(F59="KM","Pleninger Stefan &amp; Matthias Wachter",IF(F59="U23","Egzon Gentiani &amp; Dinges Stefan",IF(F59="U16","Serdar Ekinci &amp; Gernot Sevelda &amp; Hubi Oberhofer",IF(F59="U15","",IF(F59="U14","Christian Neckamm  &amp; Thomas Pöschl",IF(F59="U13","",IF(F59="U12_1","Tobias Berger &amp; Mario Magler",IF(F59="U12_2","Tobias Berger &amp; Mario Magler",IF(F59="U11","Christian Wirth",IF(F59="U10","Thomas Brandl",IF(F59="U9","Tobias Berger &amp; Sebastian Putric",IF(F59="U8","Ömer Türkes &amp; Taha Mahsumi",IF(F59="U7","Alexander Zax &amp; Jürgen Joszt",IF(F59="FKG","Ronny Archam &amp; Florian Rac",IF(A59="Camp","Berger Dieter",IF(A59="Turnier","Berger Dieter","FEHLER"))))))))))))))))</f>
        <v>Christian Neckamm  &amp; Thomas Pöschl</v>
      </c>
      <c r="K59" s="120" t="str">
        <f>IF(F59="KM","+43 664 415 99 09 &amp; +43 699 119 70 312",IF(F59="U23","+43 670 18 59 080 &amp; +43 664 451 22 16",IF(F59="U16","+43 690 104 20 129 &amp; +43 676 401 09 13 &amp; +43 699 181 68 504",IF(F59="U15","",IF(F59="U14","+43 699 192 49 527 &amp; +43 677 613 55 114",IF(F59="U13","",IF(F59="U12_1","+43 66 199 13 52 &amp;  +43 664 762 09 93",IF(F59="U12_2","+43 66 199 13 52 &amp;  +43 664 762 09 93",IF(F59="U11","+43 660 423 93 83",IF(F59="U10","+43 676 377 16 30",IF(F59="U9","+43 66 199 13 52 &amp;  +43 660 914 92 36",IF(F59="U8","+43 676 661 62 26 &amp;  +43 681 208 11 599",IF(F59="U7","+43 664 458 88 84 &amp;  +43 660 549 82 40",IF(F59="FKG","+43 699 111 93 828 &amp;  +43 660 600 25 06",IF(A59="Camp","+43 660 77 39 500",IF(A59="Turnier","+43 660 77 39 500","FEHLER"))))))))))))))))</f>
        <v>+43 699 192 49 527 &amp; +43 677 613 55 114</v>
      </c>
    </row>
    <row r="60" spans="1:11" ht="15.75" hidden="1" x14ac:dyDescent="0.25">
      <c r="A60" s="57" t="str">
        <f>'ICS2'!I73</f>
        <v>U12_1</v>
      </c>
      <c r="B60" s="103">
        <f>'ICS2'!B73</f>
        <v>46304</v>
      </c>
      <c r="C60" s="104">
        <f>'ICS2'!C73</f>
        <v>0</v>
      </c>
      <c r="D60" s="57" t="str">
        <f>'ICS2'!E73</f>
        <v>STOTZING</v>
      </c>
      <c r="E60" s="57" t="str">
        <f>'ICS2'!H73</f>
        <v>Stotzing</v>
      </c>
      <c r="F60" s="57" t="str">
        <f>A60</f>
        <v>U12_1</v>
      </c>
      <c r="G60" s="57" t="str">
        <f>IF(F60="KM","Großfeld",IF(F60="U23","Großfeld",IF(F60="U16","Großfeld",IF(F60="U15","Großfeld",IF(F60="U14","Großfeld",IF(F60="U12_1","55*40",IF(F60="U12_2","55x40",IF(F60="U11","55x40",IF(F60="U10","40x25",IF(F60="U9","40x25",IF(F60="U8","29x22",IF(F60="U7","25x20","16x15"))))))))))))</f>
        <v>55*40</v>
      </c>
      <c r="H60" s="57" t="str">
        <f>IF(F60="KM","7,32x2,44",IF(F60="U23","7,32x2,44",IF(F60="U16","7,32x2,44",IF(F60="U15","7,32x2,44",IF(F60="U14","7,32x2,44",IF(F60="U13","5x2",IF(F60="U12_1","7,32x2,44",IF(F60="U12_2","7,32x2,44",IF(F60="U11","5x2",IF(F60="U10","5x2
",IF(F60="U9","5x2","4 Minitore")))))))))))</f>
        <v>7,32x2,44</v>
      </c>
      <c r="I60" s="57" t="str">
        <f>IF(F60="KM","5",IF(F60="U23",5,IF(F60="U16","5",IF(F60="U15","5",IF(F60="U14","4",IF(F60="U13","4",IF(F60="U12_1","4",IF(F60="U12_2","4",IF(F60="U11","4",IF(F60="U10","4",IF(F60="U9","4","3")))))))))))</f>
        <v>4</v>
      </c>
      <c r="J60" s="57" t="str">
        <f>IF(F60="KM","Pleninger Stefan &amp; Matthias Wachter",IF(F60="U23","Egzon Gentiani &amp; Dinges Stefan",IF(F60="U16","Serdar Ekinci &amp; Gernot Sevelda &amp; Hubi Oberhofer",IF(F60="U15","",IF(F60="U14","Christian Neckamm  &amp; Thomas Pöschl",IF(F60="U13","",IF(F60="U12_1","Tobias Berger &amp; Mario Magler",IF(F60="U12_2","Tobias Berger &amp; Mario Magler",IF(F60="U11","Christian Wirth",IF(F60="U10","Thomas Brandl",IF(F60="U9","Tobias Berger &amp; Sebastian Putric",IF(F60="U8","Ömer Türkes &amp; Taha Mahsumi",IF(F60="U7","Alexander Zax &amp; Jürgen Joszt",IF(F60="FKG","Ronny Archam &amp; Florian Rac",IF(A60="Camp","Berger Dieter",IF(A60="Turnier","Berger Dieter","FEHLER"))))))))))))))))</f>
        <v>Tobias Berger &amp; Mario Magler</v>
      </c>
      <c r="K60" s="57" t="str">
        <f>IF(F60="KM","+43 664 415 99 09 &amp; +43 699 119 70 312",IF(F60="U23","+43 670 18 59 080 &amp; +43 664 451 22 16",IF(F60="U16","+43 690 104 20 129 &amp; +43 676 401 09 13 &amp; +43 699 181 68 504",IF(F60="U15","",IF(F60="U14","+43 699 192 49 527 &amp; +43 677 613 55 114",IF(F60="U13","",IF(F60="U12_1","+43 66 199 13 52 &amp;  +43 664 762 09 93",IF(F60="U12_2","+43 66 199 13 52 &amp;  +43 664 762 09 93",IF(F60="U11","+43 660 423 93 83",IF(F60="U10","+43 676 377 16 30",IF(F60="U9","+43 66 199 13 52 &amp;  +43 660 914 92 36",IF(F60="U8","+43 676 661 62 26 &amp;  +43 681 208 11 599",IF(F60="U7","+43 664 458 88 84 &amp;  +43 660 549 82 40",IF(F60="FKG","+43 699 111 93 828 &amp;  +43 660 600 25 06",IF(A60="Camp","+43 660 77 39 500",IF(A60="Turnier","+43 660 77 39 500","FEHLER"))))))))))))))))</f>
        <v>+43 66 199 13 52 &amp;  +43 664 762 09 93</v>
      </c>
    </row>
    <row r="61" spans="1:11" ht="15.75" x14ac:dyDescent="0.25">
      <c r="A61" s="57" t="str">
        <f>'ICS2'!I61</f>
        <v>U14</v>
      </c>
      <c r="B61" s="103">
        <f>'ICS2'!B61</f>
        <v>46284</v>
      </c>
      <c r="C61" s="104">
        <f>'ICS2'!C61</f>
        <v>0.52083333333333337</v>
      </c>
      <c r="D61" s="57" t="str">
        <f>'ICS2'!E61</f>
        <v>NEUFELD</v>
      </c>
      <c r="E61" s="57" t="str">
        <f>'ICS2'!H61</f>
        <v>Parndorf</v>
      </c>
      <c r="F61" s="57" t="str">
        <f>A61</f>
        <v>U14</v>
      </c>
      <c r="G61" s="57" t="str">
        <f>IF(F61="KM","Großfeld",IF(F61="U23","Großfeld",IF(F61="U16","Großfeld",IF(F61="U15","Großfeld",IF(F61="U14","Großfeld",IF(F61="U12_1","55*40",IF(F61="U12_2","55x40",IF(F61="U11","55x40",IF(F61="U10","40x25",IF(F61="U9","40x25",IF(F61="U8","29x22",IF(F61="U7","25x20","16x15"))))))))))))</f>
        <v>Großfeld</v>
      </c>
      <c r="H61" s="57" t="str">
        <f>IF(F61="KM","7,32x2,44",IF(F61="U23","7,32x2,44",IF(F61="U16","7,32x2,44",IF(F61="U15","7,32x2,44",IF(F61="U14","7,32x2,44",IF(F61="U13","5x2",IF(F61="U12_1","7,32x2,44",IF(F61="U12_2","7,32x2,44",IF(F61="U11","5x2",IF(F61="U10","5x2
",IF(F61="U9","5x2","4 Minitore")))))))))))</f>
        <v>7,32x2,44</v>
      </c>
      <c r="I61" s="57" t="str">
        <f>IF(F61="KM","5",IF(F61="U23",5,IF(F61="U16","5",IF(F61="U15","5",IF(F61="U14","4",IF(F61="U13","4",IF(F61="U12_1","4",IF(F61="U12_2","4",IF(F61="U11","4",IF(F61="U10","4",IF(F61="U9","4","3")))))))))))</f>
        <v>4</v>
      </c>
      <c r="J61" s="57" t="str">
        <f>IF(F61="KM","Pleninger Stefan &amp; Matthias Wachter",IF(F61="U23","Egzon Gentiani &amp; Dinges Stefan",IF(F61="U16","Serdar Ekinci &amp; Gernot Sevelda &amp; Hubi Oberhofer",IF(F61="U15","",IF(F61="U14","Christian Neckamm  &amp; Thomas Pöschl",IF(F61="U13","",IF(F61="U12_1","Tobias Berger &amp; Mario Magler",IF(F61="U12_2","Tobias Berger &amp; Mario Magler",IF(F61="U11","Christian Wirth",IF(F61="U10","Thomas Brandl",IF(F61="U9","Tobias Berger &amp; Sebastian Putric",IF(F61="U8","Ömer Türkes &amp; Taha Mahsumi",IF(F61="U7","Alexander Zax &amp; Jürgen Joszt",IF(F61="FKG","Ronny Archam &amp; Florian Rac",IF(A61="Camp","Berger Dieter",IF(A61="Turnier","Berger Dieter","FEHLER"))))))))))))))))</f>
        <v>Christian Neckamm  &amp; Thomas Pöschl</v>
      </c>
      <c r="K61" s="57" t="str">
        <f>IF(F61="KM","+43 664 415 99 09 &amp; +43 699 119 70 312",IF(F61="U23","+43 670 18 59 080 &amp; +43 664 451 22 16",IF(F61="U16","+43 690 104 20 129 &amp; +43 676 401 09 13 &amp; +43 699 181 68 504",IF(F61="U15","",IF(F61="U14","+43 699 192 49 527 &amp; +43 677 613 55 114",IF(F61="U13","",IF(F61="U12_1","+43 66 199 13 52 &amp;  +43 664 762 09 93",IF(F61="U12_2","+43 66 199 13 52 &amp;  +43 664 762 09 93",IF(F61="U11","+43 660 423 93 83",IF(F61="U10","+43 676 377 16 30",IF(F61="U9","+43 66 199 13 52 &amp;  +43 660 914 92 36",IF(F61="U8","+43 676 661 62 26 &amp;  +43 681 208 11 599",IF(F61="U7","+43 664 458 88 84 &amp;  +43 660 549 82 40",IF(F61="FKG","+43 699 111 93 828 &amp;  +43 660 600 25 06",IF(A61="Camp","+43 660 77 39 500",IF(A61="Turnier","+43 660 77 39 500","FEHLER"))))))))))))))))</f>
        <v>+43 699 192 49 527 &amp; +43 677 613 55 114</v>
      </c>
    </row>
    <row r="62" spans="1:11" ht="15.75" hidden="1" x14ac:dyDescent="0.25">
      <c r="A62" s="57" t="str">
        <f>'ICS2'!I75</f>
        <v>U12_1</v>
      </c>
      <c r="B62" s="103">
        <f>'ICS2'!B75</f>
        <v>46318</v>
      </c>
      <c r="C62" s="104">
        <f>'ICS2'!C75</f>
        <v>0</v>
      </c>
      <c r="D62" s="57" t="str">
        <f>'ICS2'!E75</f>
        <v>LEITHAPRODERSDORF</v>
      </c>
      <c r="E62" s="57" t="str">
        <f>'ICS2'!H75</f>
        <v>Leithaprodersdorf</v>
      </c>
      <c r="F62" s="57" t="str">
        <f>A62</f>
        <v>U12_1</v>
      </c>
      <c r="G62" s="57" t="str">
        <f>IF(F62="KM","Großfeld",IF(F62="U23","Großfeld",IF(F62="U16","Großfeld",IF(F62="U15","Großfeld",IF(F62="U14","Großfeld",IF(F62="U12_1","55*40",IF(F62="U12_2","55x40",IF(F62="U11","55x40",IF(F62="U10","40x25",IF(F62="U9","40x25",IF(F62="U8","29x22",IF(F62="U7","25x20","16x15"))))))))))))</f>
        <v>55*40</v>
      </c>
      <c r="H62" s="57" t="str">
        <f>IF(F62="KM","7,32x2,44",IF(F62="U23","7,32x2,44",IF(F62="U16","7,32x2,44",IF(F62="U15","7,32x2,44",IF(F62="U14","7,32x2,44",IF(F62="U13","5x2",IF(F62="U12_1","7,32x2,44",IF(F62="U12_2","7,32x2,44",IF(F62="U11","5x2",IF(F62="U10","5x2
",IF(F62="U9","5x2","4 Minitore")))))))))))</f>
        <v>7,32x2,44</v>
      </c>
      <c r="I62" s="57" t="str">
        <f>IF(F62="KM","5",IF(F62="U23",5,IF(F62="U16","5",IF(F62="U15","5",IF(F62="U14","4",IF(F62="U13","4",IF(F62="U12_1","4",IF(F62="U12_2","4",IF(F62="U11","4",IF(F62="U10","4",IF(F62="U9","4","3")))))))))))</f>
        <v>4</v>
      </c>
      <c r="J62" s="57" t="str">
        <f>IF(F62="KM","Pleninger Stefan &amp; Matthias Wachter",IF(F62="U23","Egzon Gentiani &amp; Dinges Stefan",IF(F62="U16","Serdar Ekinci &amp; Gernot Sevelda &amp; Hubi Oberhofer",IF(F62="U15","",IF(F62="U14","Christian Neckamm  &amp; Thomas Pöschl",IF(F62="U13","",IF(F62="U12_1","Tobias Berger &amp; Mario Magler",IF(F62="U12_2","Tobias Berger &amp; Mario Magler",IF(F62="U11","Christian Wirth",IF(F62="U10","Thomas Brandl",IF(F62="U9","Tobias Berger &amp; Sebastian Putric",IF(F62="U8","Ömer Türkes &amp; Taha Mahsumi",IF(F62="U7","Alexander Zax &amp; Jürgen Joszt",IF(F62="FKG","Ronny Archam &amp; Florian Rac",IF(A62="Camp","Berger Dieter",IF(A62="Turnier","Berger Dieter","FEHLER"))))))))))))))))</f>
        <v>Tobias Berger &amp; Mario Magler</v>
      </c>
      <c r="K62" s="57" t="str">
        <f>IF(F62="KM","+43 664 415 99 09 &amp; +43 699 119 70 312",IF(F62="U23","+43 670 18 59 080 &amp; +43 664 451 22 16",IF(F62="U16","+43 690 104 20 129 &amp; +43 676 401 09 13 &amp; +43 699 181 68 504",IF(F62="U15","",IF(F62="U14","+43 699 192 49 527 &amp; +43 677 613 55 114",IF(F62="U13","",IF(F62="U12_1","+43 66 199 13 52 &amp;  +43 664 762 09 93",IF(F62="U12_2","+43 66 199 13 52 &amp;  +43 664 762 09 93",IF(F62="U11","+43 660 423 93 83",IF(F62="U10","+43 676 377 16 30",IF(F62="U9","+43 66 199 13 52 &amp;  +43 660 914 92 36",IF(F62="U8","+43 676 661 62 26 &amp;  +43 681 208 11 599",IF(F62="U7","+43 664 458 88 84 &amp;  +43 660 549 82 40",IF(F62="FKG","+43 699 111 93 828 &amp;  +43 660 600 25 06",IF(A62="Camp","+43 660 77 39 500",IF(A62="Turnier","+43 660 77 39 500","FEHLER"))))))))))))))))</f>
        <v>+43 66 199 13 52 &amp;  +43 664 762 09 93</v>
      </c>
    </row>
    <row r="63" spans="1:11" ht="15.75" x14ac:dyDescent="0.25">
      <c r="A63" s="117" t="str">
        <f>'ICS2'!I50</f>
        <v>U16</v>
      </c>
      <c r="B63" s="118">
        <f>'ICS2'!B50</f>
        <v>46284</v>
      </c>
      <c r="C63" s="119">
        <f>'ICS2'!C50</f>
        <v>0.70833333333333337</v>
      </c>
      <c r="D63" s="117" t="str">
        <f>'ICS2'!E50</f>
        <v>WIMPASSING</v>
      </c>
      <c r="E63" s="117" t="str">
        <f>'ICS2'!H50</f>
        <v>Eisenstadt</v>
      </c>
      <c r="F63" s="117" t="str">
        <f>A63</f>
        <v>U16</v>
      </c>
      <c r="G63" s="117" t="str">
        <f>IF(F63="KM","Großfeld",IF(F63="U23","Großfeld",IF(F63="U16","Großfeld",IF(F63="U15","Großfeld",IF(F63="U14","Großfeld",IF(F63="U12_1","55*40",IF(F63="U12_2","55x40",IF(F63="U11","55x40",IF(F63="U10","40x25",IF(F63="U9","40x25",IF(F63="U8","29x22",IF(F63="U7","25x20","16x15"))))))))))))</f>
        <v>Großfeld</v>
      </c>
      <c r="H63" s="117" t="str">
        <f>IF(F63="KM","7,32x2,44",IF(F63="U23","7,32x2,44",IF(F63="U16","7,32x2,44",IF(F63="U15","7,32x2,44",IF(F63="U14","7,32x2,44",IF(F63="U13","5x2",IF(F63="U12_1","7,32x2,44",IF(F63="U12_2","7,32x2,44",IF(F63="U11","5x2",IF(F63="U10","5x2
",IF(F63="U9","5x2","4 Minitore")))))))))))</f>
        <v>7,32x2,44</v>
      </c>
      <c r="I63" s="117" t="str">
        <f>IF(F63="KM","5",IF(F63="U23",5,IF(F63="U16","5",IF(F63="U15","5",IF(F63="U14","4",IF(F63="U13","4",IF(F63="U12_1","4",IF(F63="U12_2","4",IF(F63="U11","4",IF(F63="U10","4",IF(F63="U9","4","3")))))))))))</f>
        <v>5</v>
      </c>
      <c r="J63" s="117" t="str">
        <f>IF(F63="KM","Pleninger Stefan &amp; Matthias Wachter",IF(F63="U23","Egzon Gentiani &amp; Dinges Stefan",IF(F63="U16","Serdar Ekinci &amp; Gernot Sevelda &amp; Hubi Oberhofer",IF(F63="U15","",IF(F63="U14","Christian Neckamm  &amp; Thomas Pöschl",IF(F63="U13","",IF(F63="U12_1","Tobias Berger &amp; Mario Magler",IF(F63="U12_2","Tobias Berger &amp; Mario Magler",IF(F63="U11","Christian Wirth",IF(F63="U10","Thomas Brandl",IF(F63="U9","Tobias Berger &amp; Sebastian Putric",IF(F63="U8","Ömer Türkes &amp; Taha Mahsumi",IF(F63="U7","Alexander Zax &amp; Jürgen Joszt",IF(F63="FKG","Ronny Archam &amp; Florian Rac",IF(A63="Camp","Berger Dieter",IF(A63="Turnier","Berger Dieter","FEHLER"))))))))))))))))</f>
        <v>Serdar Ekinci &amp; Gernot Sevelda &amp; Hubi Oberhofer</v>
      </c>
      <c r="K63" s="117" t="str">
        <f>IF(F63="KM","+43 664 415 99 09 &amp; +43 699 119 70 312",IF(F63="U23","+43 670 18 59 080 &amp; +43 664 451 22 16",IF(F63="U16","+43 690 104 20 129 &amp; +43 676 401 09 13 &amp; +43 699 181 68 504",IF(F63="U15","",IF(F63="U14","+43 699 192 49 527 &amp; +43 677 613 55 114",IF(F63="U13","",IF(F63="U12_1","+43 66 199 13 52 &amp;  +43 664 762 09 93",IF(F63="U12_2","+43 66 199 13 52 &amp;  +43 664 762 09 93",IF(F63="U11","+43 660 423 93 83",IF(F63="U10","+43 676 377 16 30",IF(F63="U9","+43 66 199 13 52 &amp;  +43 660 914 92 36",IF(F63="U8","+43 676 661 62 26 &amp;  +43 681 208 11 599",IF(F63="U7","+43 664 458 88 84 &amp;  +43 660 549 82 40",IF(F63="FKG","+43 699 111 93 828 &amp;  +43 660 600 25 06",IF(A63="Camp","+43 660 77 39 500",IF(A63="Turnier","+43 660 77 39 500","FEHLER"))))))))))))))))</f>
        <v>+43 690 104 20 129 &amp; +43 676 401 09 13 &amp; +43 699 181 68 504</v>
      </c>
    </row>
    <row r="64" spans="1:11" ht="15.75" hidden="1" x14ac:dyDescent="0.25">
      <c r="A64" s="57" t="str">
        <f>'ICS2'!I77</f>
        <v>U12_1</v>
      </c>
      <c r="B64" s="103">
        <f>'ICS2'!B77</f>
        <v>46332</v>
      </c>
      <c r="C64" s="104">
        <f>'ICS2'!C77</f>
        <v>0</v>
      </c>
      <c r="D64" s="57" t="str">
        <f>'ICS2'!E77</f>
        <v>HORNSTEIN</v>
      </c>
      <c r="E64" s="57" t="str">
        <f>'ICS2'!H77</f>
        <v>Hornstein/Wimpasing</v>
      </c>
      <c r="F64" s="57" t="str">
        <f>A64</f>
        <v>U12_1</v>
      </c>
      <c r="G64" s="57" t="str">
        <f>IF(F64="KM","Großfeld",IF(F64="U23","Großfeld",IF(F64="U16","Großfeld",IF(F64="U15","Großfeld",IF(F64="U14","Großfeld",IF(F64="U12_1","55*40",IF(F64="U12_2","55x40",IF(F64="U11","55x40",IF(F64="U10","40x25",IF(F64="U9","40x25",IF(F64="U8","29x22",IF(F64="U7","25x20","16x15"))))))))))))</f>
        <v>55*40</v>
      </c>
      <c r="H64" s="57" t="str">
        <f>IF(F64="KM","7,32x2,44",IF(F64="U23","7,32x2,44",IF(F64="U16","7,32x2,44",IF(F64="U15","7,32x2,44",IF(F64="U14","7,32x2,44",IF(F64="U13","5x2",IF(F64="U12_1","7,32x2,44",IF(F64="U12_2","7,32x2,44",IF(F64="U11","5x2",IF(F64="U10","5x2
",IF(F64="U9","5x2","4 Minitore")))))))))))</f>
        <v>7,32x2,44</v>
      </c>
      <c r="I64" s="57" t="str">
        <f>IF(F64="KM","5",IF(F64="U23",5,IF(F64="U16","5",IF(F64="U15","5",IF(F64="U14","4",IF(F64="U13","4",IF(F64="U12_1","4",IF(F64="U12_2","4",IF(F64="U11","4",IF(F64="U10","4",IF(F64="U9","4","3")))))))))))</f>
        <v>4</v>
      </c>
      <c r="J64" s="57" t="str">
        <f>IF(F64="KM","Pleninger Stefan &amp; Matthias Wachter",IF(F64="U23","Egzon Gentiani &amp; Dinges Stefan",IF(F64="U16","Serdar Ekinci &amp; Gernot Sevelda &amp; Hubi Oberhofer",IF(F64="U15","",IF(F64="U14","Christian Neckamm  &amp; Thomas Pöschl",IF(F64="U13","",IF(F64="U12_1","Tobias Berger &amp; Mario Magler",IF(F64="U12_2","Tobias Berger &amp; Mario Magler",IF(F64="U11","Christian Wirth",IF(F64="U10","Thomas Brandl",IF(F64="U9","Tobias Berger &amp; Sebastian Putric",IF(F64="U8","Ömer Türkes &amp; Taha Mahsumi",IF(F64="U7","Alexander Zax &amp; Jürgen Joszt",IF(F64="FKG","Ronny Archam &amp; Florian Rac",IF(A64="Camp","Berger Dieter",IF(A64="Turnier","Berger Dieter","FEHLER"))))))))))))))))</f>
        <v>Tobias Berger &amp; Mario Magler</v>
      </c>
      <c r="K64" s="57" t="str">
        <f>IF(F64="KM","+43 664 415 99 09 &amp; +43 699 119 70 312",IF(F64="U23","+43 670 18 59 080 &amp; +43 664 451 22 16",IF(F64="U16","+43 690 104 20 129 &amp; +43 676 401 09 13 &amp; +43 699 181 68 504",IF(F64="U15","",IF(F64="U14","+43 699 192 49 527 &amp; +43 677 613 55 114",IF(F64="U13","",IF(F64="U12_1","+43 66 199 13 52 &amp;  +43 664 762 09 93",IF(F64="U12_2","+43 66 199 13 52 &amp;  +43 664 762 09 93",IF(F64="U11","+43 660 423 93 83",IF(F64="U10","+43 676 377 16 30",IF(F64="U9","+43 66 199 13 52 &amp;  +43 660 914 92 36",IF(F64="U8","+43 676 661 62 26 &amp;  +43 681 208 11 599",IF(F64="U7","+43 664 458 88 84 &amp;  +43 660 549 82 40",IF(F64="FKG","+43 699 111 93 828 &amp;  +43 660 600 25 06",IF(A64="Camp","+43 660 77 39 500",IF(A64="Turnier","+43 660 77 39 500","FEHLER"))))))))))))))))</f>
        <v>+43 66 199 13 52 &amp;  +43 664 762 09 93</v>
      </c>
    </row>
    <row r="65" spans="1:11" ht="15.75" x14ac:dyDescent="0.25">
      <c r="A65" s="120" t="str">
        <f>'ICS2'!I41</f>
        <v>U23</v>
      </c>
      <c r="B65" s="121">
        <f>'ICS2'!B41</f>
        <v>46291</v>
      </c>
      <c r="C65" s="122">
        <f>'ICS2'!C41</f>
        <v>0.66666666666666663</v>
      </c>
      <c r="D65" s="120" t="str">
        <f>'ICS2'!E41</f>
        <v>NEUFELD</v>
      </c>
      <c r="E65" s="120" t="str">
        <f>'ICS2'!H41</f>
        <v>Wallern</v>
      </c>
      <c r="F65" s="120" t="str">
        <f>A65</f>
        <v>U23</v>
      </c>
      <c r="G65" s="120" t="str">
        <f>IF(F65="KM","Großfeld",IF(F65="U23","Großfeld",IF(F65="U16","Großfeld",IF(F65="U15","Großfeld",IF(F65="U14","Großfeld",IF(F65="U12_1","55*40",IF(F65="U12_2","55x40",IF(F65="U11","55x40",IF(F65="U10","40x25",IF(F65="U9","40x25",IF(F65="U8","29x22",IF(F65="U7","25x20","16x15"))))))))))))</f>
        <v>Großfeld</v>
      </c>
      <c r="H65" s="120" t="str">
        <f>IF(F65="KM","7,32x2,44",IF(F65="U23","7,32x2,44",IF(F65="U16","7,32x2,44",IF(F65="U15","7,32x2,44",IF(F65="U14","7,32x2,44",IF(F65="U13","5x2",IF(F65="U12_1","7,32x2,44",IF(F65="U12_2","7,32x2,44",IF(F65="U11","5x2",IF(F65="U10","5x2
",IF(F65="U9","5x2","4 Minitore")))))))))))</f>
        <v>7,32x2,44</v>
      </c>
      <c r="I65" s="120">
        <f>IF(F65="KM","5",IF(F65="U23",5,IF(F65="U16","5",IF(F65="U15","5",IF(F65="U14","4",IF(F65="U13","4",IF(F65="U12_1","4",IF(F65="U12_2","4",IF(F65="U11","4",IF(F65="U10","4",IF(F65="U9","4","3")))))))))))</f>
        <v>5</v>
      </c>
      <c r="J65" s="120" t="str">
        <f>IF(F65="KM","Pleninger Stefan &amp; Matthias Wachter",IF(F65="U23","Egzon Gentiani &amp; Dinges Stefan",IF(F65="U16","Serdar Ekinci &amp; Gernot Sevelda &amp; Hubi Oberhofer",IF(F65="U15","",IF(F65="U14","Christian Neckamm  &amp; Thomas Pöschl",IF(F65="U13","",IF(F65="U12_1","Tobias Berger &amp; Mario Magler",IF(F65="U12_2","Tobias Berger &amp; Mario Magler",IF(F65="U11","Christian Wirth",IF(F65="U10","Thomas Brandl",IF(F65="U9","Tobias Berger &amp; Sebastian Putric",IF(F65="U8","Ömer Türkes &amp; Taha Mahsumi",IF(F65="U7","Alexander Zax &amp; Jürgen Joszt",IF(F65="FKG","Ronny Archam &amp; Florian Rac",IF(A65="Camp","Berger Dieter",IF(A65="Turnier","Berger Dieter","FEHLER"))))))))))))))))</f>
        <v>Egzon Gentiani &amp; Dinges Stefan</v>
      </c>
      <c r="K65" s="120" t="str">
        <f>IF(F65="KM","+43 664 415 99 09 &amp; +43 699 119 70 312",IF(F65="U23","+43 670 18 59 080 &amp; +43 664 451 22 16",IF(F65="U16","+43 690 104 20 129 &amp; +43 676 401 09 13 &amp; +43 699 181 68 504",IF(F65="U15","",IF(F65="U14","+43 699 192 49 527 &amp; +43 677 613 55 114",IF(F65="U13","",IF(F65="U12_1","+43 66 199 13 52 &amp;  +43 664 762 09 93",IF(F65="U12_2","+43 66 199 13 52 &amp;  +43 664 762 09 93",IF(F65="U11","+43 660 423 93 83",IF(F65="U10","+43 676 377 16 30",IF(F65="U9","+43 66 199 13 52 &amp;  +43 660 914 92 36",IF(F65="U8","+43 676 661 62 26 &amp;  +43 681 208 11 599",IF(F65="U7","+43 664 458 88 84 &amp;  +43 660 549 82 40",IF(F65="FKG","+43 699 111 93 828 &amp;  +43 660 600 25 06",IF(A65="Camp","+43 660 77 39 500",IF(A65="Turnier","+43 660 77 39 500","FEHLER"))))))))))))))))</f>
        <v>+43 670 18 59 080 &amp; +43 664 451 22 16</v>
      </c>
    </row>
    <row r="66" spans="1:11" s="123" customFormat="1" ht="15.75" hidden="1" x14ac:dyDescent="0.25">
      <c r="A66" s="57" t="str">
        <f>'ICS2'!I79</f>
        <v>U12_2</v>
      </c>
      <c r="B66" s="103">
        <f>'ICS2'!B79</f>
        <v>46276</v>
      </c>
      <c r="C66" s="104">
        <f>'ICS2'!C79</f>
        <v>0</v>
      </c>
      <c r="D66" s="57" t="str">
        <f>'ICS2'!E79</f>
        <v>ST. GEORGEN</v>
      </c>
      <c r="E66" s="57" t="str">
        <f>'ICS2'!H79</f>
        <v>St. Georgen/Eisenstadt</v>
      </c>
      <c r="F66" s="57" t="str">
        <f>A66</f>
        <v>U12_2</v>
      </c>
      <c r="G66" s="57" t="str">
        <f>IF(F66="KM","Großfeld",IF(F66="U23","Großfeld",IF(F66="U16","Großfeld",IF(F66="U15","Großfeld",IF(F66="U14","Großfeld",IF(F66="U12_1","55*40",IF(F66="U12_2","55x40",IF(F66="U11","55x40",IF(F66="U10","40x25",IF(F66="U9","40x25",IF(F66="U8","29x22",IF(F66="U7","25x20","16x15"))))))))))))</f>
        <v>55x40</v>
      </c>
      <c r="H66" s="57" t="str">
        <f>IF(F66="KM","7,32x2,44",IF(F66="U23","7,32x2,44",IF(F66="U16","7,32x2,44",IF(F66="U15","7,32x2,44",IF(F66="U14","7,32x2,44",IF(F66="U13","5x2",IF(F66="U12_1","7,32x2,44",IF(F66="U12_2","7,32x2,44",IF(F66="U11","5x2",IF(F66="U10","5x2
",IF(F66="U9","5x2","4 Minitore")))))))))))</f>
        <v>7,32x2,44</v>
      </c>
      <c r="I66" s="57" t="str">
        <f>IF(F66="KM","5",IF(F66="U23",5,IF(F66="U16","5",IF(F66="U15","5",IF(F66="U14","4",IF(F66="U13","4",IF(F66="U12_1","4",IF(F66="U12_2","4",IF(F66="U11","4",IF(F66="U10","4",IF(F66="U9","4","3")))))))))))</f>
        <v>4</v>
      </c>
      <c r="J66" s="57" t="str">
        <f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75" hidden="1" x14ac:dyDescent="0.25">
      <c r="A67" s="57" t="str">
        <f>'ICS2'!I141</f>
        <v>Fest ASV Neufeld</v>
      </c>
      <c r="B67" s="103">
        <f>'ICS2'!B141</f>
        <v>46291</v>
      </c>
      <c r="C67" s="104">
        <f>'ICS2'!C141</f>
        <v>0.75</v>
      </c>
      <c r="D67" s="57" t="str">
        <f>'ICS2'!E141</f>
        <v>NEUFELD</v>
      </c>
      <c r="E67" s="57" t="str">
        <f>'ICS2'!H141</f>
        <v>Oktoberfest 2026</v>
      </c>
      <c r="F67" s="57" t="str">
        <f>A67</f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>IF(F67="KM","Pleninger Stefan &amp; Matthias Wachter",IF(F67="U23","Egzon Gentiani &amp; Dinges Stefan",IF(F67="U16","Serdar Ekinci &amp; Gernot Sevelda &amp; Hubi Oberhofer",IF(F67="U15","",IF(F67="U14","Christian Neckamm  &amp; Thomas Pöschl",IF(F67="U13","",IF(F67="U12_1","Tobias Berger &amp; Mario Magler",IF(F67="U12_2","Tobias Berger &amp; Mario Magler",IF(F67="U11","Christian Wirth",IF(F67="U10","Thomas Brandl",IF(F67="U9","Tobias Berger &amp; Sebastian Putric",IF(F67="U8","Ömer Türkes &amp; Taha Mahsumi",IF(F67="U7","Alexander Zax &amp; Jürgen Joszt",IF(F67="FKG","Ronny Archam &amp; Florian Rac",IF(A67="Camp","Berger Dieter",IF(A67="Turnier","Berger Dieter","FEHLER"))))))))))))))))</f>
        <v>FEHLER</v>
      </c>
      <c r="K67" s="57" t="str">
        <f>IF(F67="KM","+43 664 415 99 09 &amp; +43 699 119 70 312",IF(F67="U23","+43 670 18 59 080 &amp; +43 664 451 22 16",IF(F67="U16","+43 690 104 20 129 &amp; +43 676 401 09 13 &amp; +43 699 181 68 504",IF(F67="U15","",IF(F67="U14","+43 699 192 49 527 &amp; +43 677 613 55 114",IF(F67="U13","",IF(F67="U12_1","+43 66 199 13 52 &amp;  +43 664 762 09 93",IF(F67="U12_2","+43 66 199 13 52 &amp;  +43 664 762 09 93",IF(F67="U11","+43 660 423 93 83",IF(F67="U10","+43 676 377 16 30",IF(F67="U9","+43 66 199 13 52 &amp;  +43 660 914 92 36",IF(F67="U8","+43 676 661 62 26 &amp;  +43 681 208 11 599",IF(F67="U7","+43 664 458 88 84 &amp;  +43 660 549 82 40",IF(F67="FKG","+43 699 111 93 828 &amp;  +43 660 600 25 06",IF(A67="Camp","+43 660 77 39 500",IF(A67="Turnier","+43 660 77 39 500","FEHLER"))))))))))))))))</f>
        <v>FEHLER</v>
      </c>
    </row>
    <row r="68" spans="1:11" s="123" customFormat="1" ht="15.75" x14ac:dyDescent="0.25">
      <c r="A68" s="120" t="str">
        <f>'ICS2'!I28</f>
        <v>KM</v>
      </c>
      <c r="B68" s="121">
        <f>'ICS2'!B28</f>
        <v>46291</v>
      </c>
      <c r="C68" s="122">
        <f>'ICS2'!C28</f>
        <v>0.75</v>
      </c>
      <c r="D68" s="120" t="str">
        <f>'ICS2'!E28</f>
        <v>NEUFELD</v>
      </c>
      <c r="E68" s="120" t="str">
        <f>'ICS2'!H28</f>
        <v>Wallern</v>
      </c>
      <c r="F68" s="120" t="str">
        <f>A68</f>
        <v>KM</v>
      </c>
      <c r="G68" s="120" t="str">
        <f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>IF(F68="KM","5",IF(F68="U23",5,IF(F68="U16","5",IF(F68="U15","5",IF(F68="U14","4",IF(F68="U13","4",IF(F68="U12_1","4",IF(F68="U12_2","4",IF(F68="U11","4",IF(F68="U10","4",IF(F68="U9","4","3")))))))))))</f>
        <v>5</v>
      </c>
      <c r="J68" s="120" t="str">
        <f>IF(F68="KM","Pleninger Stefan &amp; Matthias Wachter",IF(F68="U23","Egzon Gentiani &amp; Dinges Stefan",IF(F68="U16","Serdar Ekinci &amp; Gernot Sevelda &amp; Hubi Oberhofer",IF(F68="U15","",IF(F68="U14","Christian Neckamm  &amp; Thomas Pöschl",IF(F68="U13","",IF(F68="U12_1","Tobias Berger &amp; Mario Magler",IF(F68="U12_2","Tobias Berger &amp; Mario Magler",IF(F68="U11","Christian Wirth",IF(F68="U10","Thomas Brandl",IF(F68="U9","Tobias Berger &amp; Sebastian Putric",IF(F68="U8","Ömer Türkes &amp; Taha Mahsumi",IF(F68="U7","Alexander Zax &amp; Jürgen Joszt",IF(F68="FKG","Ronny Archam &amp; Florian Rac",IF(A68="Camp","Berger Dieter",IF(A68="Turnier","Berger Dieter","FEHLER"))))))))))))))))</f>
        <v>Pleninger Stefan &amp; Matthias Wachter</v>
      </c>
      <c r="K68" s="120" t="str">
        <f>IF(F68="KM","+43 664 415 99 09 &amp; +43 699 119 70 312",IF(F68="U23","+43 670 18 59 080 &amp; +43 664 451 22 16",IF(F68="U16","+43 690 104 20 129 &amp; +43 676 401 09 13 &amp; +43 699 181 68 504",IF(F68="U15","",IF(F68="U14","+43 699 192 49 527 &amp; +43 677 613 55 114",IF(F68="U13","",IF(F68="U12_1","+43 66 199 13 52 &amp;  +43 664 762 09 93",IF(F68="U12_2","+43 66 199 13 52 &amp;  +43 664 762 09 93",IF(F68="U11","+43 660 423 93 83",IF(F68="U10","+43 676 377 16 30",IF(F68="U9","+43 66 199 13 52 &amp;  +43 660 914 92 36",IF(F68="U8","+43 676 661 62 26 &amp;  +43 681 208 11 599",IF(F68="U7","+43 664 458 88 84 &amp;  +43 660 549 82 40",IF(F68="FKG","+43 699 111 93 828 &amp;  +43 660 600 25 06",IF(A68="Camp","+43 660 77 39 500",IF(A68="Turnier","+43 660 77 39 500","FEHLER"))))))))))))))))</f>
        <v>+43 664 415 99 09 &amp; +43 699 119 70 312</v>
      </c>
    </row>
    <row r="69" spans="1:11" ht="15.75" hidden="1" x14ac:dyDescent="0.25">
      <c r="A69" s="105" t="str">
        <f>'ICS2'!I82</f>
        <v>U12_2</v>
      </c>
      <c r="B69" s="106">
        <f>'ICS2'!B82</f>
        <v>46297</v>
      </c>
      <c r="C69" s="107">
        <f>'ICS2'!C82</f>
        <v>0</v>
      </c>
      <c r="D69" s="105" t="str">
        <f>'ICS2'!E82</f>
        <v>OGGAU</v>
      </c>
      <c r="E69" s="105" t="str">
        <f>'ICS2'!H82</f>
        <v>Oggau</v>
      </c>
      <c r="F69" s="105" t="str">
        <f>A69</f>
        <v>U12_2</v>
      </c>
      <c r="G69" s="105" t="str">
        <f>IF(F69="KM","Großfeld",IF(F69="U23","Großfeld",IF(F69="U16","Großfeld",IF(F69="U15","Großfeld",IF(F69="U14","Großfeld",IF(F69="U12_1","55*40",IF(F69="U12_2","55x40",IF(F69="U11","55x40",IF(F69="U10","40x25",IF(F69="U9","40x25",IF(F69="U8","29x22",IF(F69="U7","25x20","16x15"))))))))))))</f>
        <v>55x40</v>
      </c>
      <c r="H69" s="105" t="str">
        <f>IF(F69="KM","7,32x2,44",IF(F69="U23","7,32x2,44",IF(F69="U16","7,32x2,44",IF(F69="U15","7,32x2,44",IF(F69="U14","7,32x2,44",IF(F69="U13","5x2",IF(F69="U12_1","7,32x2,44",IF(F69="U12_2","7,32x2,44",IF(F69="U11","5x2",IF(F69="U10","5x2
",IF(F69="U9","5x2","4 Minitore")))))))))))</f>
        <v>7,32x2,44</v>
      </c>
      <c r="I69" s="105" t="str">
        <f>IF(F69="KM","5",IF(F69="U23",5,IF(F69="U16","5",IF(F69="U15","5",IF(F69="U14","4",IF(F69="U13","4",IF(F69="U12_1","4",IF(F69="U12_2","4",IF(F69="U11","4",IF(F69="U10","4",IF(F69="U9","4","3")))))))))))</f>
        <v>4</v>
      </c>
      <c r="J69" s="105" t="str">
        <f>IF(F69="KM","Pleninger Stefan &amp; Matthias Wachter",IF(F69="U23","Egzon Gentiani &amp; Dinges Stefan",IF(F69="U16","Serdar Ekinci &amp; Gernot Sevelda &amp; Hubi Oberhofer",IF(F69="U15","",IF(F69="U14","Christian Neckamm  &amp; Thomas Pöschl",IF(F69="U13","",IF(F69="U12_1","Tobias Berger &amp; Mario Magler",IF(F69="U12_2","Tobias Berger &amp; Mario Magler",IF(F69="U11","Christian Wirth",IF(F69="U10","Thomas Brandl",IF(F69="U9","Tobias Berger &amp; Sebastian Putric",IF(F69="U8","Ömer Türkes &amp; Taha Mahsumi",IF(F69="U7","Alexander Zax &amp; Jürgen Joszt",IF(F69="FKG","Ronny Archam &amp; Florian Rac",IF(A69="Camp","Berger Dieter",IF(A69="Turnier","Berger Dieter","FEHLER"))))))))))))))))</f>
        <v>Tobias Berger &amp; Mario Magler</v>
      </c>
      <c r="K69" s="105" t="str">
        <f>IF(F69="KM","+43 664 415 99 09 &amp; +43 699 119 70 312",IF(F69="U23","+43 670 18 59 080 &amp; +43 664 451 22 16",IF(F69="U16","+43 690 104 20 129 &amp; +43 676 401 09 13 &amp; +43 699 181 68 504",IF(F69="U15","",IF(F69="U14","+43 699 192 49 527 &amp; +43 677 613 55 114",IF(F69="U13","",IF(F69="U12_1","+43 66 199 13 52 &amp;  +43 664 762 09 93",IF(F69="U12_2","+43 66 199 13 52 &amp;  +43 664 762 09 93",IF(F69="U11","+43 660 423 93 83",IF(F69="U10","+43 676 377 16 30",IF(F69="U9","+43 66 199 13 52 &amp;  +43 660 914 92 36",IF(F69="U8","+43 676 661 62 26 &amp;  +43 681 208 11 599",IF(F69="U7","+43 664 458 88 84 &amp;  +43 660 549 82 40",IF(F69="FKG","+43 699 111 93 828 &amp;  +43 660 600 25 06",IF(A69="Camp","+43 660 77 39 500",IF(A69="Turnier","+43 660 77 39 500","FEHLER"))))))))))))))))</f>
        <v>+43 66 199 13 52 &amp;  +43 664 762 09 93</v>
      </c>
    </row>
    <row r="70" spans="1:11" s="123" customFormat="1" ht="15.75" hidden="1" x14ac:dyDescent="0.25">
      <c r="A70" s="57" t="str">
        <f>'ICS2'!I83</f>
        <v>U12_2</v>
      </c>
      <c r="B70" s="103">
        <f>'ICS2'!B83</f>
        <v>46304</v>
      </c>
      <c r="C70" s="104">
        <f>'ICS2'!C83</f>
        <v>0</v>
      </c>
      <c r="D70" s="57" t="str">
        <f>'ICS2'!E83</f>
        <v>ST. MARGARETHEN</v>
      </c>
      <c r="E70" s="57" t="str">
        <f>'ICS2'!H83</f>
        <v>St. Margarethen</v>
      </c>
      <c r="F70" s="57" t="str">
        <f>A70</f>
        <v>U12_2</v>
      </c>
      <c r="G70" s="57" t="str">
        <f>IF(F70="KM","Großfeld",IF(F70="U23","Großfeld",IF(F70="U16","Großfeld",IF(F70="U15","Großfeld",IF(F70="U14","Großfeld",IF(F70="U12_1","55*40",IF(F70="U12_2","55x40",IF(F70="U11","55x40",IF(F70="U10","40x25",IF(F70="U9","40x25",IF(F70="U8","29x22",IF(F70="U7","25x20","16x15"))))))))))))</f>
        <v>55x40</v>
      </c>
      <c r="H70" s="57" t="str">
        <f>IF(F70="KM","7,32x2,44",IF(F70="U23","7,32x2,44",IF(F70="U16","7,32x2,44",IF(F70="U15","7,32x2,44",IF(F70="U14","7,32x2,44",IF(F70="U13","5x2",IF(F70="U12_1","7,32x2,44",IF(F70="U12_2","7,32x2,44",IF(F70="U11","5x2",IF(F70="U10","5x2
",IF(F70="U9","5x2","4 Minitore")))))))))))</f>
        <v>7,32x2,44</v>
      </c>
      <c r="I70" s="57" t="str">
        <f>IF(F70="KM","5",IF(F70="U23",5,IF(F70="U16","5",IF(F70="U15","5",IF(F70="U14","4",IF(F70="U13","4",IF(F70="U12_1","4",IF(F70="U12_2","4",IF(F70="U11","4",IF(F70="U10","4",IF(F70="U9","4","3")))))))))))</f>
        <v>4</v>
      </c>
      <c r="J70" s="57" t="str">
        <f>IF(F70="KM","Pleninger Stefan &amp; Matthias Wachter",IF(F70="U23","Egzon Gentiani &amp; Dinges Stefan",IF(F70="U16","Serdar Ekinci &amp; Gernot Sevelda &amp; Hubi Oberhofer",IF(F70="U15","",IF(F70="U14","Christian Neckamm  &amp; Thomas Pöschl",IF(F70="U13","",IF(F70="U12_1","Tobias Berger &amp; Mario Magler",IF(F70="U12_2","Tobias Berger &amp; Mario Magler",IF(F70="U11","Christian Wirth",IF(F70="U10","Thomas Brandl",IF(F70="U9","Tobias Berger &amp; Sebastian Putric",IF(F70="U8","Ömer Türkes &amp; Taha Mahsumi",IF(F70="U7","Alexander Zax &amp; Jürgen Joszt",IF(F70="FKG","Ronny Archam &amp; Florian Rac",IF(A70="Camp","Berger Dieter",IF(A70="Turnier","Berger Dieter","FEHLER"))))))))))))))))</f>
        <v>Tobias Berger &amp; Mario Magler</v>
      </c>
      <c r="K70" s="57" t="str">
        <f>IF(F70="KM","+43 664 415 99 09 &amp; +43 699 119 70 312",IF(F70="U23","+43 670 18 59 080 &amp; +43 664 451 22 16",IF(F70="U16","+43 690 104 20 129 &amp; +43 676 401 09 13 &amp; +43 699 181 68 504",IF(F70="U15","",IF(F70="U14","+43 699 192 49 527 &amp; +43 677 613 55 114",IF(F70="U13","",IF(F70="U12_1","+43 66 199 13 52 &amp;  +43 664 762 09 93",IF(F70="U12_2","+43 66 199 13 52 &amp;  +43 664 762 09 93",IF(F70="U11","+43 660 423 93 83",IF(F70="U10","+43 676 377 16 30",IF(F70="U9","+43 66 199 13 52 &amp;  +43 660 914 92 36",IF(F70="U8","+43 676 661 62 26 &amp;  +43 681 208 11 599",IF(F70="U7","+43 664 458 88 84 &amp;  +43 660 549 82 40",IF(F70="FKG","+43 699 111 93 828 &amp;  +43 660 600 25 06",IF(A70="Camp","+43 660 77 39 500",IF(A70="Turnier","+43 660 77 39 500","FEHLER"))))))))))))))))</f>
        <v>+43 66 199 13 52 &amp;  +43 664 762 09 93</v>
      </c>
    </row>
    <row r="71" spans="1:11" ht="15.75" x14ac:dyDescent="0.25">
      <c r="A71" s="117" t="str">
        <f>'ICS2'!I51</f>
        <v>U16</v>
      </c>
      <c r="B71" s="118">
        <f>'ICS2'!B51</f>
        <v>46292</v>
      </c>
      <c r="C71" s="119">
        <f>'ICS2'!C51</f>
        <v>0</v>
      </c>
      <c r="D71" s="117" t="str">
        <f>'ICS2'!E51</f>
        <v>GROßHÖFLEIN</v>
      </c>
      <c r="E71" s="117" t="str">
        <f>'ICS2'!H51</f>
        <v>Großhöflein</v>
      </c>
      <c r="F71" s="117" t="str">
        <f>A71</f>
        <v>U16</v>
      </c>
      <c r="G71" s="117" t="str">
        <f>IF(F71="KM","Großfeld",IF(F71="U23","Großfeld",IF(F71="U16","Großfeld",IF(F71="U15","Großfeld",IF(F71="U14","Großfeld",IF(F71="U12_1","55*40",IF(F71="U12_2","55x40",IF(F71="U11","55x40",IF(F71="U10","40x25",IF(F71="U9","40x25",IF(F71="U8","29x22",IF(F71="U7","25x20","16x15"))))))))))))</f>
        <v>Großfeld</v>
      </c>
      <c r="H71" s="117" t="str">
        <f>IF(F71="KM","7,32x2,44",IF(F71="U23","7,32x2,44",IF(F71="U16","7,32x2,44",IF(F71="U15","7,32x2,44",IF(F71="U14","7,32x2,44",IF(F71="U13","5x2",IF(F71="U12_1","7,32x2,44",IF(F71="U12_2","7,32x2,44",IF(F71="U11","5x2",IF(F71="U10","5x2
",IF(F71="U9","5x2","4 Minitore")))))))))))</f>
        <v>7,32x2,44</v>
      </c>
      <c r="I71" s="117" t="str">
        <f>IF(F71="KM","5",IF(F71="U23",5,IF(F71="U16","5",IF(F71="U15","5",IF(F71="U14","4",IF(F71="U13","4",IF(F71="U12_1","4",IF(F71="U12_2","4",IF(F71="U11","4",IF(F71="U10","4",IF(F71="U9","4","3")))))))))))</f>
        <v>5</v>
      </c>
      <c r="J71" s="117" t="str">
        <f>IF(F71="KM","Pleninger Stefan &amp; Matthias Wachter",IF(F71="U23","Egzon Gentiani &amp; Dinges Stefan",IF(F71="U16","Serdar Ekinci &amp; Gernot Sevelda &amp; Hubi Oberhofer",IF(F71="U15","",IF(F71="U14","Christian Neckamm  &amp; Thomas Pöschl",IF(F71="U13","",IF(F71="U12_1","Tobias Berger &amp; Mario Magler",IF(F71="U12_2","Tobias Berger &amp; Mario Magler",IF(F71="U11","Christian Wirth",IF(F71="U10","Thomas Brandl",IF(F71="U9","Tobias Berger &amp; Sebastian Putric",IF(F71="U8","Ömer Türkes &amp; Taha Mahsumi",IF(F71="U7","Alexander Zax &amp; Jürgen Joszt",IF(F71="FKG","Ronny Archam &amp; Florian Rac",IF(A71="Camp","Berger Dieter",IF(A71="Turnier","Berger Dieter","FEHLER"))))))))))))))))</f>
        <v>Serdar Ekinci &amp; Gernot Sevelda &amp; Hubi Oberhofer</v>
      </c>
      <c r="K71" s="117" t="str">
        <f>IF(F71="KM","+43 664 415 99 09 &amp; +43 699 119 70 312",IF(F71="U23","+43 670 18 59 080 &amp; +43 664 451 22 16",IF(F71="U16","+43 690 104 20 129 &amp; +43 676 401 09 13 &amp; +43 699 181 68 504",IF(F71="U15","",IF(F71="U14","+43 699 192 49 527 &amp; +43 677 613 55 114",IF(F71="U13","",IF(F71="U12_1","+43 66 199 13 52 &amp;  +43 664 762 09 93",IF(F71="U12_2","+43 66 199 13 52 &amp;  +43 664 762 09 93",IF(F71="U11","+43 660 423 93 83",IF(F71="U10","+43 676 377 16 30",IF(F71="U9","+43 66 199 13 52 &amp;  +43 660 914 92 36",IF(F71="U8","+43 676 661 62 26 &amp;  +43 681 208 11 599",IF(F71="U7","+43 664 458 88 84 &amp;  +43 660 549 82 40",IF(F71="FKG","+43 699 111 93 828 &amp;  +43 660 600 25 06",IF(A71="Camp","+43 660 77 39 500",IF(A71="Turnier","+43 660 77 39 500","FEHLER"))))))))))))))))</f>
        <v>+43 690 104 20 129 &amp; +43 676 401 09 13 &amp; +43 699 181 68 504</v>
      </c>
    </row>
    <row r="72" spans="1:11" ht="15.75" x14ac:dyDescent="0.25">
      <c r="A72" s="120" t="str">
        <f>'ICS2'!I91</f>
        <v>U11</v>
      </c>
      <c r="B72" s="121">
        <f>'ICS2'!B91</f>
        <v>46292</v>
      </c>
      <c r="C72" s="122">
        <f>'ICS2'!C91</f>
        <v>0.54166666666666663</v>
      </c>
      <c r="D72" s="120" t="str">
        <f>'ICS2'!E91</f>
        <v>NEUFELD</v>
      </c>
      <c r="E72" s="120" t="str">
        <f>'ICS2'!H91</f>
        <v>Wulkaprodersdorf</v>
      </c>
      <c r="F72" s="120" t="str">
        <f>A72</f>
        <v>U11</v>
      </c>
      <c r="G72" s="120" t="str">
        <f>IF(F72="KM","Großfeld",IF(F72="U23","Großfeld",IF(F72="U16","Großfeld",IF(F72="U15","Großfeld",IF(F72="U14","Großfeld",IF(F72="U12_1","55*40",IF(F72="U12_2","55x40",IF(F72="U11","55x40",IF(F72="U10","40x25",IF(F72="U9","40x25",IF(F72="U8","29x22",IF(F72="U7","25x20","16x15"))))))))))))</f>
        <v>55x40</v>
      </c>
      <c r="H72" s="120" t="str">
        <f>IF(F72="KM","7,32x2,44",IF(F72="U23","7,32x2,44",IF(F72="U16","7,32x2,44",IF(F72="U15","7,32x2,44",IF(F72="U14","7,32x2,44",IF(F72="U13","5x2",IF(F72="U12_1","7,32x2,44",IF(F72="U12_2","7,32x2,44",IF(F72="U11","5x2",IF(F72="U10","5x2
",IF(F72="U9","5x2","4 Minitore")))))))))))</f>
        <v>5x2</v>
      </c>
      <c r="I72" s="120" t="str">
        <f>IF(F72="KM","5",IF(F72="U23",5,IF(F72="U16","5",IF(F72="U15","5",IF(F72="U14","4",IF(F72="U13","4",IF(F72="U12_1","4",IF(F72="U12_2","4",IF(F72="U11","4",IF(F72="U10","4",IF(F72="U9","4","3")))))))))))</f>
        <v>4</v>
      </c>
      <c r="J72" s="120" t="str">
        <f>IF(F72="KM","Pleninger Stefan &amp; Matthias Wachter",IF(F72="U23","Egzon Gentiani &amp; Dinges Stefan",IF(F72="U16","Serdar Ekinci &amp; Gernot Sevelda &amp; Hubi Oberhofer",IF(F72="U15","",IF(F72="U14","Christian Neckamm  &amp; Thomas Pöschl",IF(F72="U13","",IF(F72="U12_1","Tobias Berger &amp; Mario Magler",IF(F72="U12_2","Tobias Berger &amp; Mario Magler",IF(F72="U11","Christian Wirth",IF(F72="U10","Thomas Brandl",IF(F72="U9","Tobias Berger &amp; Sebastian Putric",IF(F72="U8","Ömer Türkes &amp; Taha Mahsumi",IF(F72="U7","Alexander Zax &amp; Jürgen Joszt",IF(F72="FKG","Ronny Archam &amp; Florian Rac",IF(A72="Camp","Berger Dieter",IF(A72="Turnier","Berger Dieter","FEHLER"))))))))))))))))</f>
        <v>Christian Wirth</v>
      </c>
      <c r="K72" s="120" t="str">
        <f>IF(F72="KM","+43 664 415 99 09 &amp; +43 699 119 70 312",IF(F72="U23","+43 670 18 59 080 &amp; +43 664 451 22 16",IF(F72="U16","+43 690 104 20 129 &amp; +43 676 401 09 13 &amp; +43 699 181 68 504",IF(F72="U15","",IF(F72="U14","+43 699 192 49 527 &amp; +43 677 613 55 114",IF(F72="U13","",IF(F72="U12_1","+43 66 199 13 52 &amp;  +43 664 762 09 93",IF(F72="U12_2","+43 66 199 13 52 &amp;  +43 664 762 09 93",IF(F72="U11","+43 660 423 93 83",IF(F72="U10","+43 676 377 16 30",IF(F72="U9","+43 66 199 13 52 &amp;  +43 660 914 92 36",IF(F72="U8","+43 676 661 62 26 &amp;  +43 681 208 11 599",IF(F72="U7","+43 664 458 88 84 &amp;  +43 660 549 82 40",IF(F72="FKG","+43 699 111 93 828 &amp;  +43 660 600 25 06",IF(A72="Camp","+43 660 77 39 500",IF(A72="Turnier","+43 660 77 39 500","FEHLER"))))))))))))))))</f>
        <v>+43 660 423 93 83</v>
      </c>
    </row>
    <row r="73" spans="1:11" ht="15.75" hidden="1" x14ac:dyDescent="0.25">
      <c r="A73" s="57" t="str">
        <f>'ICS2'!I86</f>
        <v>U12_2</v>
      </c>
      <c r="B73" s="103">
        <f>'ICS2'!B86</f>
        <v>46325</v>
      </c>
      <c r="C73" s="104">
        <f>'ICS2'!C86</f>
        <v>0</v>
      </c>
      <c r="D73" s="57" t="str">
        <f>'ICS2'!E86</f>
        <v>PURBACH</v>
      </c>
      <c r="E73" s="57" t="str">
        <f>'ICS2'!H86</f>
        <v>Purbach/Breitenbrunn/Winden</v>
      </c>
      <c r="F73" s="57" t="str">
        <f>A73</f>
        <v>U12_2</v>
      </c>
      <c r="G73" s="57" t="str">
        <f>IF(F73="KM","Großfeld",IF(F73="U23","Großfeld",IF(F73="U16","Großfeld",IF(F73="U15","Großfeld",IF(F73="U14","Großfeld",IF(F73="U12_1","55*40",IF(F73="U12_2","55x40",IF(F73="U11","55x40",IF(F73="U10","40x25",IF(F73="U9","40x25",IF(F73="U8","29x22",IF(F73="U7","25x20","16x15"))))))))))))</f>
        <v>55x40</v>
      </c>
      <c r="H73" s="57" t="str">
        <f>IF(F73="KM","7,32x2,44",IF(F73="U23","7,32x2,44",IF(F73="U16","7,32x2,44",IF(F73="U15","7,32x2,44",IF(F73="U14","7,32x2,44",IF(F73="U13","5x2",IF(F73="U12_1","7,32x2,44",IF(F73="U12_2","7,32x2,44",IF(F73="U11","5x2",IF(F73="U10","5x2
",IF(F73="U9","5x2","4 Minitore")))))))))))</f>
        <v>7,32x2,44</v>
      </c>
      <c r="I73" s="57" t="str">
        <f>IF(F73="KM","5",IF(F73="U23",5,IF(F73="U16","5",IF(F73="U15","5",IF(F73="U14","4",IF(F73="U13","4",IF(F73="U12_1","4",IF(F73="U12_2","4",IF(F73="U11","4",IF(F73="U10","4",IF(F73="U9","4","3")))))))))))</f>
        <v>4</v>
      </c>
      <c r="J73" s="57" t="str">
        <f>IF(F73="KM","Pleninger Stefan &amp; Matthias Wachter",IF(F73="U23","Egzon Gentiani &amp; Dinges Stefan",IF(F73="U16","Serdar Ekinci &amp; Gernot Sevelda &amp; Hubi Oberhofer",IF(F73="U15","",IF(F73="U14","Christian Neckamm  &amp; Thomas Pöschl",IF(F73="U13","",IF(F73="U12_1","Tobias Berger &amp; Mario Magler",IF(F73="U12_2","Tobias Berger &amp; Mario Magler",IF(F73="U11","Christian Wirth",IF(F73="U10","Thomas Brandl",IF(F73="U9","Tobias Berger &amp; Sebastian Putric",IF(F73="U8","Ömer Türkes &amp; Taha Mahsumi",IF(F73="U7","Alexander Zax &amp; Jürgen Joszt",IF(F73="FKG","Ronny Archam &amp; Florian Rac",IF(A73="Camp","Berger Dieter",IF(A73="Turnier","Berger Dieter","FEHLER"))))))))))))))))</f>
        <v>Tobias Berger &amp; Mario Magler</v>
      </c>
      <c r="K73" s="57" t="str">
        <f>IF(F73="KM","+43 664 415 99 09 &amp; +43 699 119 70 312",IF(F73="U23","+43 670 18 59 080 &amp; +43 664 451 22 16",IF(F73="U16","+43 690 104 20 129 &amp; +43 676 401 09 13 &amp; +43 699 181 68 504",IF(F73="U15","",IF(F73="U14","+43 699 192 49 527 &amp; +43 677 613 55 114",IF(F73="U13","",IF(F73="U12_1","+43 66 199 13 52 &amp;  +43 664 762 09 93",IF(F73="U12_2","+43 66 199 13 52 &amp;  +43 664 762 09 93",IF(F73="U11","+43 660 423 93 83",IF(F73="U10","+43 676 377 16 30",IF(F73="U9","+43 66 199 13 52 &amp;  +43 660 914 92 36",IF(F73="U8","+43 676 661 62 26 &amp;  +43 681 208 11 599",IF(F73="U7","+43 664 458 88 84 &amp;  +43 660 549 82 40",IF(F73="FKG","+43 699 111 93 828 &amp;  +43 660 600 25 06",IF(A73="Camp","+43 660 77 39 500",IF(A73="Turnier","+43 660 77 39 500","FEHLER"))))))))))))))))</f>
        <v>+43 66 199 13 52 &amp;  +43 664 762 09 93</v>
      </c>
    </row>
    <row r="74" spans="1:11" ht="15.75" x14ac:dyDescent="0.25">
      <c r="A74" s="120" t="str">
        <f>'ICS2'!I81</f>
        <v>U12_2</v>
      </c>
      <c r="B74" s="121">
        <f>'ICS2'!B81</f>
        <v>46292</v>
      </c>
      <c r="C74" s="122">
        <f>'ICS2'!C81</f>
        <v>0.625</v>
      </c>
      <c r="D74" s="120" t="str">
        <f>'ICS2'!E81</f>
        <v>NEUFELD</v>
      </c>
      <c r="E74" s="120" t="str">
        <f>'ICS2'!H81</f>
        <v>Purbach/Breitenbrunn/Winden</v>
      </c>
      <c r="F74" s="120" t="str">
        <f>A74</f>
        <v>U12_2</v>
      </c>
      <c r="G74" s="120" t="str">
        <f>IF(F74="KM","Großfeld",IF(F74="U23","Großfeld",IF(F74="U16","Großfeld",IF(F74="U15","Großfeld",IF(F74="U14","Großfeld",IF(F74="U12_1","55*40",IF(F74="U12_2","55x40",IF(F74="U11","55x40",IF(F74="U10","40x25",IF(F74="U9","40x25",IF(F74="U8","29x22",IF(F74="U7","25x20","16x15"))))))))))))</f>
        <v>55x40</v>
      </c>
      <c r="H74" s="120" t="str">
        <f>IF(F74="KM","7,32x2,44",IF(F74="U23","7,32x2,44",IF(F74="U16","7,32x2,44",IF(F74="U15","7,32x2,44",IF(F74="U14","7,32x2,44",IF(F74="U13","5x2",IF(F74="U12_1","7,32x2,44",IF(F74="U12_2","7,32x2,44",IF(F74="U11","5x2",IF(F74="U10","5x2
",IF(F74="U9","5x2","4 Minitore")))))))))))</f>
        <v>7,32x2,44</v>
      </c>
      <c r="I74" s="120" t="str">
        <f>IF(F74="KM","5",IF(F74="U23",5,IF(F74="U16","5",IF(F74="U15","5",IF(F74="U14","4",IF(F74="U13","4",IF(F74="U12_1","4",IF(F74="U12_2","4",IF(F74="U11","4",IF(F74="U10","4",IF(F74="U9","4","3")))))))))))</f>
        <v>4</v>
      </c>
      <c r="J74" s="120" t="str">
        <f>IF(F74="KM","Pleninger Stefan &amp; Matthias Wachter",IF(F74="U23","Egzon Gentiani &amp; Dinges Stefan",IF(F74="U16","Serdar Ekinci &amp; Gernot Sevelda &amp; Hubi Oberhofer",IF(F74="U15","",IF(F74="U14","Christian Neckamm  &amp; Thomas Pöschl",IF(F74="U13","",IF(F74="U12_1","Tobias Berger &amp; Mario Magler",IF(F74="U12_2","Tobias Berger &amp; Mario Magler",IF(F74="U11","Christian Wirth",IF(F74="U10","Thomas Brandl",IF(F74="U9","Tobias Berger &amp; Sebastian Putric",IF(F74="U8","Ömer Türkes &amp; Taha Mahsumi",IF(F74="U7","Alexander Zax &amp; Jürgen Joszt",IF(F74="FKG","Ronny Archam &amp; Florian Rac",IF(A74="Camp","Berger Dieter",IF(A74="Turnier","Berger Dieter","FEHLER"))))))))))))))))</f>
        <v>Tobias Berger &amp; Mario Magler</v>
      </c>
      <c r="K74" s="120" t="str">
        <f>IF(F74="KM","+43 664 415 99 09 &amp; +43 699 119 70 312",IF(F74="U23","+43 670 18 59 080 &amp; +43 664 451 22 16",IF(F74="U16","+43 690 104 20 129 &amp; +43 676 401 09 13 &amp; +43 699 181 68 504",IF(F74="U15","",IF(F74="U14","+43 699 192 49 527 &amp; +43 677 613 55 114",IF(F74="U13","",IF(F74="U12_1","+43 66 199 13 52 &amp;  +43 664 762 09 93",IF(F74="U12_2","+43 66 199 13 52 &amp;  +43 664 762 09 93",IF(F74="U11","+43 660 423 93 83",IF(F74="U10","+43 676 377 16 30",IF(F74="U9","+43 66 199 13 52 &amp;  +43 660 914 92 36",IF(F74="U8","+43 676 661 62 26 &amp;  +43 681 208 11 599",IF(F74="U7","+43 664 458 88 84 &amp;  +43 660 549 82 40",IF(F74="FKG","+43 699 111 93 828 &amp;  +43 660 600 25 06",IF(A74="Camp","+43 660 77 39 500",IF(A74="Turnier","+43 660 77 39 500","FEHLER"))))))))))))))))</f>
        <v>+43 66 199 13 52 &amp;  +43 664 762 09 93</v>
      </c>
    </row>
    <row r="75" spans="1:11" ht="15.75" x14ac:dyDescent="0.25">
      <c r="A75" s="117" t="str">
        <f>'ICS2'!I62</f>
        <v>U14</v>
      </c>
      <c r="B75" s="118">
        <f>'ICS2'!B62</f>
        <v>46292</v>
      </c>
      <c r="C75" s="119">
        <f>'ICS2'!C62</f>
        <v>0.625</v>
      </c>
      <c r="D75" s="117" t="str">
        <f>'ICS2'!E62</f>
        <v>GROßHÖFLEIN</v>
      </c>
      <c r="E75" s="117" t="str">
        <f>'ICS2'!H62</f>
        <v>SPG Seewinkel</v>
      </c>
      <c r="F75" s="117" t="str">
        <f>A75</f>
        <v>U14</v>
      </c>
      <c r="G75" s="117" t="str">
        <f>IF(F75="KM","Großfeld",IF(F75="U23","Großfeld",IF(F75="U16","Großfeld",IF(F75="U15","Großfeld",IF(F75="U14","Großfeld",IF(F75="U12_1","55*40",IF(F75="U12_2","55x40",IF(F75="U11","55x40",IF(F75="U10","40x25",IF(F75="U9","40x25",IF(F75="U8","29x22",IF(F75="U7","25x20","16x15"))))))))))))</f>
        <v>Großfeld</v>
      </c>
      <c r="H75" s="117" t="str">
        <f>IF(F75="KM","7,32x2,44",IF(F75="U23","7,32x2,44",IF(F75="U16","7,32x2,44",IF(F75="U15","7,32x2,44",IF(F75="U14","7,32x2,44",IF(F75="U13","5x2",IF(F75="U12_1","7,32x2,44",IF(F75="U12_2","7,32x2,44",IF(F75="U11","5x2",IF(F75="U10","5x2
",IF(F75="U9","5x2","4 Minitore")))))))))))</f>
        <v>7,32x2,44</v>
      </c>
      <c r="I75" s="117" t="str">
        <f>IF(F75="KM","5",IF(F75="U23",5,IF(F75="U16","5",IF(F75="U15","5",IF(F75="U14","4",IF(F75="U13","4",IF(F75="U12_1","4",IF(F75="U12_2","4",IF(F75="U11","4",IF(F75="U10","4",IF(F75="U9","4","3")))))))))))</f>
        <v>4</v>
      </c>
      <c r="J75" s="117" t="str">
        <f>IF(F75="KM","Pleninger Stefan &amp; Matthias Wachter",IF(F75="U23","Egzon Gentiani &amp; Dinges Stefan",IF(F75="U16","Serdar Ekinci &amp; Gernot Sevelda &amp; Hubi Oberhofer",IF(F75="U15","",IF(F75="U14","Christian Neckamm  &amp; Thomas Pöschl",IF(F75="U13","",IF(F75="U12_1","Tobias Berger &amp; Mario Magler",IF(F75="U12_2","Tobias Berger &amp; Mario Magler",IF(F75="U11","Christian Wirth",IF(F75="U10","Thomas Brandl",IF(F75="U9","Tobias Berger &amp; Sebastian Putric",IF(F75="U8","Ömer Türkes &amp; Taha Mahsumi",IF(F75="U7","Alexander Zax &amp; Jürgen Joszt",IF(F75="FKG","Ronny Archam &amp; Florian Rac",IF(A75="Camp","Berger Dieter",IF(A75="Turnier","Berger Dieter","FEHLER"))))))))))))))))</f>
        <v>Christian Neckamm  &amp; Thomas Pöschl</v>
      </c>
      <c r="K75" s="117" t="str">
        <f>IF(F75="KM","+43 664 415 99 09 &amp; +43 699 119 70 312",IF(F75="U23","+43 670 18 59 080 &amp; +43 664 451 22 16",IF(F75="U16","+43 690 104 20 129 &amp; +43 676 401 09 13 &amp; +43 699 181 68 504",IF(F75="U15","",IF(F75="U14","+43 699 192 49 527 &amp; +43 677 613 55 114",IF(F75="U13","",IF(F75="U12_1","+43 66 199 13 52 &amp;  +43 664 762 09 93",IF(F75="U12_2","+43 66 199 13 52 &amp;  +43 664 762 09 93",IF(F75="U11","+43 660 423 93 83",IF(F75="U10","+43 676 377 16 30",IF(F75="U9","+43 66 199 13 52 &amp;  +43 660 914 92 36",IF(F75="U8","+43 676 661 62 26 &amp;  +43 681 208 11 599",IF(F75="U7","+43 664 458 88 84 &amp;  +43 660 549 82 40",IF(F75="FKG","+43 699 111 93 828 &amp;  +43 660 600 25 06",IF(A75="Camp","+43 660 77 39 500",IF(A75="Turnier","+43 660 77 39 500","FEHLER"))))))))))))))))</f>
        <v>+43 699 192 49 527 &amp; +43 677 613 55 114</v>
      </c>
    </row>
    <row r="76" spans="1:11" s="123" customFormat="1" ht="15.75" hidden="1" x14ac:dyDescent="0.25">
      <c r="A76" s="57" t="str">
        <f>'ICS2'!I14</f>
        <v>U14</v>
      </c>
      <c r="B76" s="103">
        <f>'ICS2'!B14</f>
        <v>46247</v>
      </c>
      <c r="C76" s="104">
        <f>'ICS2'!C14</f>
        <v>0.79166666666666663</v>
      </c>
      <c r="D76" s="57" t="str">
        <f>'ICS2'!E14</f>
        <v>OGGAU</v>
      </c>
      <c r="E76" s="57" t="str">
        <f>'ICS2'!H14</f>
        <v>Oggau</v>
      </c>
      <c r="F76" s="57" t="str">
        <f>A76</f>
        <v>U14</v>
      </c>
      <c r="G76" s="57" t="str">
        <f>IF(F76="KM","Großfeld",IF(F76="U23","Großfeld",IF(F76="U16","Großfeld",IF(F76="U15","Großfeld",IF(F76="U14","Großfeld",IF(F76="U12_1","55*40",IF(F76="U12_2","55x40",IF(F76="U11","55x40",IF(F76="U10","40x25",IF(F76="U9","40x25",IF(F76="U8","29x22",IF(F76="U7","25x20","16x15"))))))))))))</f>
        <v>Großfeld</v>
      </c>
      <c r="H76" s="57" t="str">
        <f>IF(F76="KM","7,32x2,44",IF(F76="U23","7,32x2,44",IF(F76="U16","7,32x2,44",IF(F76="U15","7,32x2,44",IF(F76="U14","7,32x2,44",IF(F76="U13","5x2",IF(F76="U12_1","7,32x2,44",IF(F76="U12_2","7,32x2,44",IF(F76="U11","5x2",IF(F76="U10","5x2
",IF(F76="U9","5x2","4 Minitore")))))))))))</f>
        <v>7,32x2,44</v>
      </c>
      <c r="I76" s="57" t="str">
        <f>IF(F76="KM","5",IF(F76="U23",5,IF(F76="U16","5",IF(F76="U15","5",IF(F76="U14","4",IF(F76="U13","4",IF(F76="U12_1","4",IF(F76="U12_2","4",IF(F76="U11","4",IF(F76="U10","4",IF(F76="U9","4","3")))))))))))</f>
        <v>4</v>
      </c>
      <c r="J76" s="57" t="str">
        <f>IF(F76="KM","Pleninger Stefan &amp; Matthias Wachter",IF(F76="U23","Egzon Gentiani &amp; Dinges Stefan",IF(F76="U16","Serdar Ekinci &amp; Gernot Sevelda &amp; Hubi Oberhofer",IF(F76="U15","",IF(F76="U14","Christian Neckamm  &amp; Thomas Pöschl",IF(F76="U13","",IF(F76="U12_1","Tobias Berger &amp; Mario Magler",IF(F76="U12_2","Tobias Berger &amp; Mario Magler",IF(F76="U11","Christian Wirth",IF(F76="U10","Thomas Brandl",IF(F76="U9","Tobias Berger &amp; Sebastian Putric",IF(F76="U8","Ömer Türkes &amp; Taha Mahsumi",IF(F76="U7","Alexander Zax &amp; Jürgen Joszt",IF(F76="FKG","Ronny Archam &amp; Florian Rac",IF(A76="Camp","Berger Dieter",IF(A76="Turnier","Berger Dieter","FEHLER"))))))))))))))))</f>
        <v>Christian Neckamm  &amp; Thomas Pöschl</v>
      </c>
      <c r="K76" s="57" t="str">
        <f>IF(F76="KM","+43 664 415 99 09 &amp; +43 699 119 70 312",IF(F76="U23","+43 670 18 59 080 &amp; +43 664 451 22 16",IF(F76="U16","+43 690 104 20 129 &amp; +43 676 401 09 13 &amp; +43 699 181 68 504",IF(F76="U15","",IF(F76="U14","+43 699 192 49 527 &amp; +43 677 613 55 114",IF(F76="U13","",IF(F76="U12_1","+43 66 199 13 52 &amp;  +43 664 762 09 93",IF(F76="U12_2","+43 66 199 13 52 &amp;  +43 664 762 09 93",IF(F76="U11","+43 660 423 93 83",IF(F76="U10","+43 676 377 16 30",IF(F76="U9","+43 66 199 13 52 &amp;  +43 660 914 92 36",IF(F76="U8","+43 676 661 62 26 &amp;  +43 681 208 11 599",IF(F76="U7","+43 664 458 88 84 &amp;  +43 660 549 82 40",IF(F76="FKG","+43 699 111 93 828 &amp;  +43 660 600 25 06",IF(A76="Camp","+43 660 77 39 500",IF(A76="Turnier","+43 660 77 39 500","FEHLER"))))))))))))))))</f>
        <v>+43 699 192 49 527 &amp; +43 677 613 55 114</v>
      </c>
    </row>
    <row r="77" spans="1:11" s="123" customFormat="1" ht="15.75" x14ac:dyDescent="0.25">
      <c r="A77" s="120" t="str">
        <f>'ICS2'!I106</f>
        <v>U9</v>
      </c>
      <c r="B77" s="121">
        <f>'ICS2'!B106</f>
        <v>46298</v>
      </c>
      <c r="C77" s="122">
        <f>'ICS2'!C106</f>
        <v>0.39583333333333331</v>
      </c>
      <c r="D77" s="120" t="str">
        <f>'ICS2'!E106</f>
        <v>NEUFELD</v>
      </c>
      <c r="E77" s="120" t="str">
        <f>'ICS2'!H106</f>
        <v>Hornstein</v>
      </c>
      <c r="F77" s="120" t="str">
        <f>A77</f>
        <v>U9</v>
      </c>
      <c r="G77" s="120" t="str">
        <f>IF(F77="KM","Großfeld",IF(F77="U23","Großfeld",IF(F77="U16","Großfeld",IF(F77="U15","Großfeld",IF(F77="U14","Großfeld",IF(F77="U12_1","55*40",IF(F77="U12_2","55x40",IF(F77="U11","55x40",IF(F77="U10","40x25",IF(F77="U9","40x25",IF(F77="U8","29x22",IF(F77="U7","25x20","16x15"))))))))))))</f>
        <v>40x25</v>
      </c>
      <c r="H77" s="120" t="str">
        <f>IF(F77="KM","7,32x2,44",IF(F77="U23","7,32x2,44",IF(F77="U16","7,32x2,44",IF(F77="U15","7,32x2,44",IF(F77="U14","7,32x2,44",IF(F77="U13","5x2",IF(F77="U12_1","7,32x2,44",IF(F77="U12_2","7,32x2,44",IF(F77="U11","5x2",IF(F77="U10","5x2
",IF(F77="U9","5x2","4 Minitore")))))))))))</f>
        <v>5x2</v>
      </c>
      <c r="I77" s="120" t="str">
        <f>IF(F77="KM","5",IF(F77="U23",5,IF(F77="U16","5",IF(F77="U15","5",IF(F77="U14","4",IF(F77="U13","4",IF(F77="U12_1","4",IF(F77="U12_2","4",IF(F77="U11","4",IF(F77="U10","4",IF(F77="U9","4","3")))))))))))</f>
        <v>4</v>
      </c>
      <c r="J77" s="120" t="str">
        <f>IF(F77="KM","Pleninger Stefan &amp; Matthias Wachter",IF(F77="U23","Egzon Gentiani &amp; Dinges Stefan",IF(F77="U16","Serdar Ekinci &amp; Gernot Sevelda &amp; Hubi Oberhofer",IF(F77="U15","",IF(F77="U14","Christian Neckamm  &amp; Thomas Pöschl",IF(F77="U13","",IF(F77="U12_1","Tobias Berger &amp; Mario Magler",IF(F77="U12_2","Tobias Berger &amp; Mario Magler",IF(F77="U11","Christian Wirth",IF(F77="U10","Thomas Brandl",IF(F77="U9","Tobias Berger &amp; Sebastian Putric",IF(F77="U8","Ömer Türkes &amp; Taha Mahsumi",IF(F77="U7","Alexander Zax &amp; Jürgen Joszt",IF(F77="FKG","Ronny Archam &amp; Florian Rac",IF(A77="Camp","Berger Dieter",IF(A77="Turnier","Berger Dieter","FEHLER"))))))))))))))))</f>
        <v>Tobias Berger &amp; Sebastian Putric</v>
      </c>
      <c r="K77" s="120" t="str">
        <f>IF(F77="KM","+43 664 415 99 09 &amp; +43 699 119 70 312",IF(F77="U23","+43 670 18 59 080 &amp; +43 664 451 22 16",IF(F77="U16","+43 690 104 20 129 &amp; +43 676 401 09 13 &amp; +43 699 181 68 504",IF(F77="U15","",IF(F77="U14","+43 699 192 49 527 &amp; +43 677 613 55 114",IF(F77="U13","",IF(F77="U12_1","+43 66 199 13 52 &amp;  +43 664 762 09 93",IF(F77="U12_2","+43 66 199 13 52 &amp;  +43 664 762 09 93",IF(F77="U11","+43 660 423 93 83",IF(F77="U10","+43 676 377 16 30",IF(F77="U9","+43 66 199 13 52 &amp;  +43 660 914 92 36",IF(F77="U8","+43 676 661 62 26 &amp;  +43 681 208 11 599",IF(F77="U7","+43 664 458 88 84 &amp;  +43 660 549 82 40",IF(F77="FKG","+43 699 111 93 828 &amp;  +43 660 600 25 06",IF(A77="Camp","+43 660 77 39 500",IF(A77="Turnier","+43 660 77 39 500","FEHLER"))))))))))))))))</f>
        <v>+43 66 199 13 52 &amp;  +43 660 914 92 36</v>
      </c>
    </row>
    <row r="78" spans="1:11" s="108" customFormat="1" ht="15.75" x14ac:dyDescent="0.25">
      <c r="A78" s="117" t="str">
        <f>'ICS2'!I92</f>
        <v>U11</v>
      </c>
      <c r="B78" s="118">
        <f>'ICS2'!B92</f>
        <v>46298</v>
      </c>
      <c r="C78" s="119">
        <f>'ICS2'!C92</f>
        <v>0.41666666666666669</v>
      </c>
      <c r="D78" s="117" t="str">
        <f>'ICS2'!E92</f>
        <v>STEINBRUNN</v>
      </c>
      <c r="E78" s="117" t="str">
        <f>'ICS2'!H92</f>
        <v>Hornstein</v>
      </c>
      <c r="F78" s="117" t="str">
        <f>A78</f>
        <v>U11</v>
      </c>
      <c r="G78" s="117" t="str">
        <f>IF(F78="KM","Großfeld",IF(F78="U23","Großfeld",IF(F78="U16","Großfeld",IF(F78="U15","Großfeld",IF(F78="U14","Großfeld",IF(F78="U12_1","55*40",IF(F78="U12_2","55x40",IF(F78="U11","55x40",IF(F78="U10","40x25",IF(F78="U9","40x25",IF(F78="U8","29x22",IF(F78="U7","25x20","16x15"))))))))))))</f>
        <v>55x40</v>
      </c>
      <c r="H78" s="117" t="str">
        <f>IF(F78="KM","7,32x2,44",IF(F78="U23","7,32x2,44",IF(F78="U16","7,32x2,44",IF(F78="U15","7,32x2,44",IF(F78="U14","7,32x2,44",IF(F78="U13","5x2",IF(F78="U12_1","7,32x2,44",IF(F78="U12_2","7,32x2,44",IF(F78="U11","5x2",IF(F78="U10","5x2
",IF(F78="U9","5x2","4 Minitore")))))))))))</f>
        <v>5x2</v>
      </c>
      <c r="I78" s="117" t="str">
        <f>IF(F78="KM","5",IF(F78="U23",5,IF(F78="U16","5",IF(F78="U15","5",IF(F78="U14","4",IF(F78="U13","4",IF(F78="U12_1","4",IF(F78="U12_2","4",IF(F78="U11","4",IF(F78="U10","4",IF(F78="U9","4","3")))))))))))</f>
        <v>4</v>
      </c>
      <c r="J78" s="117" t="str">
        <f>IF(F78="KM","Pleninger Stefan &amp; Matthias Wachter",IF(F78="U23","Egzon Gentiani &amp; Dinges Stefan",IF(F78="U16","Serdar Ekinci &amp; Gernot Sevelda &amp; Hubi Oberhofer",IF(F78="U15","",IF(F78="U14","Christian Neckamm  &amp; Thomas Pöschl",IF(F78="U13","",IF(F78="U12_1","Tobias Berger &amp; Mario Magler",IF(F78="U12_2","Tobias Berger &amp; Mario Magler",IF(F78="U11","Christian Wirth",IF(F78="U10","Thomas Brandl",IF(F78="U9","Tobias Berger &amp; Sebastian Putric",IF(F78="U8","Ömer Türkes &amp; Taha Mahsumi",IF(F78="U7","Alexander Zax &amp; Jürgen Joszt",IF(F78="FKG","Ronny Archam &amp; Florian Rac",IF(A78="Camp","Berger Dieter",IF(A78="Turnier","Berger Dieter","FEHLER"))))))))))))))))</f>
        <v>Christian Wirth</v>
      </c>
      <c r="K78" s="117" t="str">
        <f>IF(F78="KM","+43 664 415 99 09 &amp; +43 699 119 70 312",IF(F78="U23","+43 670 18 59 080 &amp; +43 664 451 22 16",IF(F78="U16","+43 690 104 20 129 &amp; +43 676 401 09 13 &amp; +43 699 181 68 504",IF(F78="U15","",IF(F78="U14","+43 699 192 49 527 &amp; +43 677 613 55 114",IF(F78="U13","",IF(F78="U12_1","+43 66 199 13 52 &amp;  +43 664 762 09 93",IF(F78="U12_2","+43 66 199 13 52 &amp;  +43 664 762 09 93",IF(F78="U11","+43 660 423 93 83",IF(F78="U10","+43 676 377 16 30",IF(F78="U9","+43 66 199 13 52 &amp;  +43 660 914 92 36",IF(F78="U8","+43 676 661 62 26 &amp;  +43 681 208 11 599",IF(F78="U7","+43 664 458 88 84 &amp;  +43 660 549 82 40",IF(F78="FKG","+43 699 111 93 828 &amp;  +43 660 600 25 06",IF(A78="Camp","+43 660 77 39 500",IF(A78="Turnier","+43 660 77 39 500","FEHLER"))))))))))))))))</f>
        <v>+43 660 423 93 83</v>
      </c>
    </row>
    <row r="79" spans="1:11" ht="15.75" x14ac:dyDescent="0.25">
      <c r="A79" s="117" t="str">
        <f>'ICS2'!I72</f>
        <v>U12_1</v>
      </c>
      <c r="B79" s="118">
        <f>'ICS2'!B72</f>
        <v>46298</v>
      </c>
      <c r="C79" s="119">
        <f>'ICS2'!C72</f>
        <v>0.5</v>
      </c>
      <c r="D79" s="117" t="str">
        <f>'ICS2'!E72</f>
        <v>STEINBRUNN</v>
      </c>
      <c r="E79" s="117" t="str">
        <f>'ICS2'!H72</f>
        <v>Hornstein/Wimpasing</v>
      </c>
      <c r="F79" s="117" t="str">
        <f>A79</f>
        <v>U12_1</v>
      </c>
      <c r="G79" s="117" t="str">
        <f>IF(F79="KM","Großfeld",IF(F79="U23","Großfeld",IF(F79="U16","Großfeld",IF(F79="U15","Großfeld",IF(F79="U14","Großfeld",IF(F79="U12_1","55*40",IF(F79="U12_2","55x40",IF(F79="U11","55x40",IF(F79="U10","40x25",IF(F79="U9","40x25",IF(F79="U8","29x22",IF(F79="U7","25x20","16x15"))))))))))))</f>
        <v>55*40</v>
      </c>
      <c r="H79" s="117" t="str">
        <f>IF(F79="KM","7,32x2,44",IF(F79="U23","7,32x2,44",IF(F79="U16","7,32x2,44",IF(F79="U15","7,32x2,44",IF(F79="U14","7,32x2,44",IF(F79="U13","5x2",IF(F79="U12_1","7,32x2,44",IF(F79="U12_2","7,32x2,44",IF(F79="U11","5x2",IF(F79="U10","5x2
",IF(F79="U9","5x2","4 Minitore")))))))))))</f>
        <v>7,32x2,44</v>
      </c>
      <c r="I79" s="117" t="str">
        <f>IF(F79="KM","5",IF(F79="U23",5,IF(F79="U16","5",IF(F79="U15","5",IF(F79="U14","4",IF(F79="U13","4",IF(F79="U12_1","4",IF(F79="U12_2","4",IF(F79="U11","4",IF(F79="U10","4",IF(F79="U9","4","3")))))))))))</f>
        <v>4</v>
      </c>
      <c r="J79" s="117" t="str">
        <f>IF(F79="KM","Pleninger Stefan &amp; Matthias Wachter",IF(F79="U23","Egzon Gentiani &amp; Dinges Stefan",IF(F79="U16","Serdar Ekinci &amp; Gernot Sevelda &amp; Hubi Oberhofer",IF(F79="U15","",IF(F79="U14","Christian Neckamm  &amp; Thomas Pöschl",IF(F79="U13","",IF(F79="U12_1","Tobias Berger &amp; Mario Magler",IF(F79="U12_2","Tobias Berger &amp; Mario Magler",IF(F79="U11","Christian Wirth",IF(F79="U10","Thomas Brandl",IF(F79="U9","Tobias Berger &amp; Sebastian Putric",IF(F79="U8","Ömer Türkes &amp; Taha Mahsumi",IF(F79="U7","Alexander Zax &amp; Jürgen Joszt",IF(F79="FKG","Ronny Archam &amp; Florian Rac",IF(A79="Camp","Berger Dieter",IF(A79="Turnier","Berger Dieter","FEHLER"))))))))))))))))</f>
        <v>Tobias Berger &amp; Mario Magler</v>
      </c>
      <c r="K79" s="117" t="str">
        <f>IF(F79="KM","+43 664 415 99 09 &amp; +43 699 119 70 312",IF(F79="U23","+43 670 18 59 080 &amp; +43 664 451 22 16",IF(F79="U16","+43 690 104 20 129 &amp; +43 676 401 09 13 &amp; +43 699 181 68 504",IF(F79="U15","",IF(F79="U14","+43 699 192 49 527 &amp; +43 677 613 55 114",IF(F79="U13","",IF(F79="U12_1","+43 66 199 13 52 &amp;  +43 664 762 09 93",IF(F79="U12_2","+43 66 199 13 52 &amp;  +43 664 762 09 93",IF(F79="U11","+43 660 423 93 83",IF(F79="U10","+43 676 377 16 30",IF(F79="U9","+43 66 199 13 52 &amp;  +43 660 914 92 36",IF(F79="U8","+43 676 661 62 26 &amp;  +43 681 208 11 599",IF(F79="U7","+43 664 458 88 84 &amp;  +43 660 549 82 40",IF(F79="FKG","+43 699 111 93 828 &amp;  +43 660 600 25 06",IF(A79="Camp","+43 660 77 39 500",IF(A79="Turnier","+43 660 77 39 500","FEHLER"))))))))))))))))</f>
        <v>+43 66 199 13 52 &amp;  +43 664 762 09 93</v>
      </c>
    </row>
    <row r="80" spans="1:11" s="123" customFormat="1" ht="15.75" x14ac:dyDescent="0.25">
      <c r="A80" s="113" t="str">
        <f>'ICS2'!I52</f>
        <v>U16</v>
      </c>
      <c r="B80" s="114">
        <f>'ICS2'!B52</f>
        <v>46298</v>
      </c>
      <c r="C80" s="115">
        <f>'ICS2'!C52</f>
        <v>0.58333333333333337</v>
      </c>
      <c r="D80" s="113" t="str">
        <f>'ICS2'!E52</f>
        <v>NEUFELD</v>
      </c>
      <c r="E80" s="113" t="str">
        <f>'ICS2'!H52</f>
        <v>Neusiedl</v>
      </c>
      <c r="F80" s="113" t="str">
        <f>A80</f>
        <v>U16</v>
      </c>
      <c r="G80" s="113" t="str">
        <f>IF(F80="KM","Großfeld",IF(F80="U23","Großfeld",IF(F80="U16","Großfeld",IF(F80="U15","Großfeld",IF(F80="U14","Großfeld",IF(F80="U12_1","55*40",IF(F80="U12_2","55x40",IF(F80="U11","55x40",IF(F80="U10","40x25",IF(F80="U9","40x25",IF(F80="U8","29x22",IF(F80="U7","25x20","16x15"))))))))))))</f>
        <v>Großfeld</v>
      </c>
      <c r="H80" s="113" t="str">
        <f>IF(F80="KM","7,32x2,44",IF(F80="U23","7,32x2,44",IF(F80="U16","7,32x2,44",IF(F80="U15","7,32x2,44",IF(F80="U14","7,32x2,44",IF(F80="U13","5x2",IF(F80="U12_1","7,32x2,44",IF(F80="U12_2","7,32x2,44",IF(F80="U11","5x2",IF(F80="U10","5x2
",IF(F80="U9","5x2","4 Minitore")))))))))))</f>
        <v>7,32x2,44</v>
      </c>
      <c r="I80" s="113" t="str">
        <f>IF(F80="KM","5",IF(F80="U23",5,IF(F80="U16","5",IF(F80="U15","5",IF(F80="U14","4",IF(F80="U13","4",IF(F80="U12_1","4",IF(F80="U12_2","4",IF(F80="U11","4",IF(F80="U10","4",IF(F80="U9","4","3")))))))))))</f>
        <v>5</v>
      </c>
      <c r="J80" s="113" t="str">
        <f>IF(F80="KM","Pleninger Stefan &amp; Matthias Wachter",IF(F80="U23","Egzon Gentiani &amp; Dinges Stefan",IF(F80="U16","Serdar Ekinci &amp; Gernot Sevelda &amp; Hubi Oberhofer",IF(F80="U15","",IF(F80="U14","Christian Neckamm  &amp; Thomas Pöschl",IF(F80="U13","",IF(F80="U12_1","Tobias Berger &amp; Mario Magler",IF(F80="U12_2","Tobias Berger &amp; Mario Magler",IF(F80="U11","Christian Wirth",IF(F80="U10","Thomas Brandl",IF(F80="U9","Tobias Berger &amp; Sebastian Putric",IF(F80="U8","Ömer Türkes &amp; Taha Mahsumi",IF(F80="U7","Alexander Zax &amp; Jürgen Joszt",IF(F80="FKG","Ronny Archam &amp; Florian Rac",IF(A80="Camp","Berger Dieter",IF(A80="Turnier","Berger Dieter","FEHLER"))))))))))))))))</f>
        <v>Serdar Ekinci &amp; Gernot Sevelda &amp; Hubi Oberhofer</v>
      </c>
      <c r="K80" s="113" t="str">
        <f>IF(F80="KM","+43 664 415 99 09 &amp; +43 699 119 70 312",IF(F80="U23","+43 670 18 59 080 &amp; +43 664 451 22 16",IF(F80="U16","+43 690 104 20 129 &amp; +43 676 401 09 13 &amp; +43 699 181 68 504",IF(F80="U15","",IF(F80="U14","+43 699 192 49 527 &amp; +43 677 613 55 114",IF(F80="U13","",IF(F80="U12_1","+43 66 199 13 52 &amp;  +43 664 762 09 93",IF(F80="U12_2","+43 66 199 13 52 &amp;  +43 664 762 09 93",IF(F80="U11","+43 660 423 93 83",IF(F80="U10","+43 676 377 16 30",IF(F80="U9","+43 66 199 13 52 &amp;  +43 660 914 92 36",IF(F80="U8","+43 676 661 62 26 &amp;  +43 681 208 11 599",IF(F80="U7","+43 664 458 88 84 &amp;  +43 660 549 82 40",IF(F80="FKG","+43 699 111 93 828 &amp;  +43 660 600 25 06",IF(A80="Camp","+43 660 77 39 500",IF(A80="Turnier","+43 660 77 39 500","FEHLER"))))))))))))))))</f>
        <v>+43 690 104 20 129 &amp; +43 676 401 09 13 &amp; +43 699 181 68 504</v>
      </c>
    </row>
    <row r="81" spans="1:11" s="108" customFormat="1" ht="15.75" hidden="1" x14ac:dyDescent="0.25">
      <c r="A81" s="57" t="str">
        <f>'ICS2'!I60</f>
        <v>U14</v>
      </c>
      <c r="B81" s="103">
        <f>'ICS2'!B60</f>
        <v>46278</v>
      </c>
      <c r="C81" s="104">
        <f>'ICS2'!C60</f>
        <v>0.625</v>
      </c>
      <c r="D81" s="57" t="str">
        <f>'ICS2'!E60</f>
        <v>NEUDÖRFL</v>
      </c>
      <c r="E81" s="57" t="str">
        <f>'ICS2'!H60</f>
        <v>Neudörfl</v>
      </c>
      <c r="F81" s="57" t="str">
        <f>A81</f>
        <v>U14</v>
      </c>
      <c r="G81" s="57" t="str">
        <f>IF(F81="KM","Großfeld",IF(F81="U23","Großfeld",IF(F81="U16","Großfeld",IF(F81="U15","Großfeld",IF(F81="U14","Großfeld",IF(F81="U12_1","55*40",IF(F81="U12_2","55x40",IF(F81="U11","55x40",IF(F81="U10","40x25",IF(F81="U9","40x25",IF(F81="U8","29x22",IF(F81="U7","25x20","16x15"))))))))))))</f>
        <v>Großfeld</v>
      </c>
      <c r="H81" s="57" t="str">
        <f>IF(F81="KM","7,32x2,44",IF(F81="U23","7,32x2,44",IF(F81="U16","7,32x2,44",IF(F81="U15","7,32x2,44",IF(F81="U14","7,32x2,44",IF(F81="U13","5x2",IF(F81="U12_1","7,32x2,44",IF(F81="U12_2","7,32x2,44",IF(F81="U11","5x2",IF(F81="U10","5x2
",IF(F81="U9","5x2","4 Minitore")))))))))))</f>
        <v>7,32x2,44</v>
      </c>
      <c r="I81" s="57" t="str">
        <f>IF(F81="KM","5",IF(F81="U23",5,IF(F81="U16","5",IF(F81="U15","5",IF(F81="U14","4",IF(F81="U13","4",IF(F81="U12_1","4",IF(F81="U12_2","4",IF(F81="U11","4",IF(F81="U10","4",IF(F81="U9","4","3")))))))))))</f>
        <v>4</v>
      </c>
      <c r="J81" s="57" t="str">
        <f>IF(F81="KM","Pleninger Stefan &amp; Matthias Wachter",IF(F81="U23","Egzon Gentiani &amp; Dinges Stefan",IF(F81="U16","Serdar Ekinci &amp; Gernot Sevelda &amp; Hubi Oberhofer",IF(F81="U15","",IF(F81="U14","Christian Neckamm  &amp; Thomas Pöschl",IF(F81="U13","",IF(F81="U12_1","Tobias Berger &amp; Mario Magler",IF(F81="U12_2","Tobias Berger &amp; Mario Magler",IF(F81="U11","Christian Wirth",IF(F81="U10","Thomas Brandl",IF(F81="U9","Tobias Berger &amp; Sebastian Putric",IF(F81="U8","Ömer Türkes &amp; Taha Mahsumi",IF(F81="U7","Alexander Zax &amp; Jürgen Joszt",IF(F81="FKG","Ronny Archam &amp; Florian Rac",IF(A81="Camp","Berger Dieter",IF(A81="Turnier","Berger Dieter","FEHLER"))))))))))))))))</f>
        <v>Christian Neckamm  &amp; Thomas Pöschl</v>
      </c>
      <c r="K81" s="57" t="str">
        <f>IF(F81="KM","+43 664 415 99 09 &amp; +43 699 119 70 312",IF(F81="U23","+43 670 18 59 080 &amp; +43 664 451 22 16",IF(F81="U16","+43 690 104 20 129 &amp; +43 676 401 09 13 &amp; +43 699 181 68 504",IF(F81="U15","",IF(F81="U14","+43 699 192 49 527 &amp; +43 677 613 55 114",IF(F81="U13","",IF(F81="U12_1","+43 66 199 13 52 &amp;  +43 664 762 09 93",IF(F81="U12_2","+43 66 199 13 52 &amp;  +43 664 762 09 93",IF(F81="U11","+43 660 423 93 83",IF(F81="U10","+43 676 377 16 30",IF(F81="U9","+43 66 199 13 52 &amp;  +43 660 914 92 36",IF(F81="U8","+43 676 661 62 26 &amp;  +43 681 208 11 599",IF(F81="U7","+43 664 458 88 84 &amp;  +43 660 549 82 40",IF(F81="FKG","+43 699 111 93 828 &amp;  +43 660 600 25 06",IF(A81="Camp","+43 660 77 39 500",IF(A81="Turnier","+43 660 77 39 500","FEHLER"))))))))))))))))</f>
        <v>+43 699 192 49 527 &amp; +43 677 613 55 114</v>
      </c>
    </row>
    <row r="82" spans="1:11" ht="15.75" x14ac:dyDescent="0.25">
      <c r="A82" s="120" t="str">
        <f>'ICS2'!I43</f>
        <v>U23</v>
      </c>
      <c r="B82" s="121">
        <f>'ICS2'!B43</f>
        <v>46304</v>
      </c>
      <c r="C82" s="122">
        <f>'ICS2'!C43</f>
        <v>0.72916666666666663</v>
      </c>
      <c r="D82" s="120" t="str">
        <f>'ICS2'!E43</f>
        <v>NEUFELD</v>
      </c>
      <c r="E82" s="120" t="str">
        <f>'ICS2'!H43</f>
        <v>Wimpassing</v>
      </c>
      <c r="F82" s="120" t="str">
        <f>A82</f>
        <v>U23</v>
      </c>
      <c r="G82" s="120" t="str">
        <f>IF(F82="KM","Großfeld",IF(F82="U23","Großfeld",IF(F82="U16","Großfeld",IF(F82="U15","Großfeld",IF(F82="U14","Großfeld",IF(F82="U12_1","55*40",IF(F82="U12_2","55x40",IF(F82="U11","55x40",IF(F82="U10","40x25",IF(F82="U9","40x25",IF(F82="U8","29x22",IF(F82="U7","25x20","16x15"))))))))))))</f>
        <v>Großfeld</v>
      </c>
      <c r="H82" s="120" t="str">
        <f>IF(F82="KM","7,32x2,44",IF(F82="U23","7,32x2,44",IF(F82="U16","7,32x2,44",IF(F82="U15","7,32x2,44",IF(F82="U14","7,32x2,44",IF(F82="U13","5x2",IF(F82="U12_1","7,32x2,44",IF(F82="U12_2","7,32x2,44",IF(F82="U11","5x2",IF(F82="U10","5x2
",IF(F82="U9","5x2","4 Minitore")))))))))))</f>
        <v>7,32x2,44</v>
      </c>
      <c r="I82" s="120">
        <f>IF(F82="KM","5",IF(F82="U23",5,IF(F82="U16","5",IF(F82="U15","5",IF(F82="U14","4",IF(F82="U13","4",IF(F82="U12_1","4",IF(F82="U12_2","4",IF(F82="U11","4",IF(F82="U10","4",IF(F82="U9","4","3")))))))))))</f>
        <v>5</v>
      </c>
      <c r="J82" s="120" t="str">
        <f>IF(F82="KM","Pleninger Stefan &amp; Matthias Wachter",IF(F82="U23","Egzon Gentiani &amp; Dinges Stefan",IF(F82="U16","Serdar Ekinci &amp; Gernot Sevelda &amp; Hubi Oberhofer",IF(F82="U15","",IF(F82="U14","Christian Neckamm  &amp; Thomas Pöschl",IF(F82="U13","",IF(F82="U12_1","Tobias Berger &amp; Mario Magler",IF(F82="U12_2","Tobias Berger &amp; Mario Magler",IF(F82="U11","Christian Wirth",IF(F82="U10","Thomas Brandl",IF(F82="U9","Tobias Berger &amp; Sebastian Putric",IF(F82="U8","Ömer Türkes &amp; Taha Mahsumi",IF(F82="U7","Alexander Zax &amp; Jürgen Joszt",IF(F82="FKG","Ronny Archam &amp; Florian Rac",IF(A82="Camp","Berger Dieter",IF(A82="Turnier","Berger Dieter","FEHLER"))))))))))))))))</f>
        <v>Egzon Gentiani &amp; Dinges Stefan</v>
      </c>
      <c r="K82" s="120" t="str">
        <f>IF(F82="KM","+43 664 415 99 09 &amp; +43 699 119 70 312",IF(F82="U23","+43 670 18 59 080 &amp; +43 664 451 22 16",IF(F82="U16","+43 690 104 20 129 &amp; +43 676 401 09 13 &amp; +43 699 181 68 504",IF(F82="U15","",IF(F82="U14","+43 699 192 49 527 &amp; +43 677 613 55 114",IF(F82="U13","",IF(F82="U12_1","+43 66 199 13 52 &amp;  +43 664 762 09 93",IF(F82="U12_2","+43 66 199 13 52 &amp;  +43 664 762 09 93",IF(F82="U11","+43 660 423 93 83",IF(F82="U10","+43 676 377 16 30",IF(F82="U9","+43 66 199 13 52 &amp;  +43 660 914 92 36",IF(F82="U8","+43 676 661 62 26 &amp;  +43 681 208 11 599",IF(F82="U7","+43 664 458 88 84 &amp;  +43 660 549 82 40",IF(F82="FKG","+43 699 111 93 828 &amp;  +43 660 600 25 06",IF(A82="Camp","+43 660 77 39 500",IF(A82="Turnier","+43 660 77 39 500","FEHLER"))))))))))))))))</f>
        <v>+43 670 18 59 080 &amp; +43 664 451 22 16</v>
      </c>
    </row>
    <row r="83" spans="1:11" s="123" customFormat="1" ht="15.75" x14ac:dyDescent="0.25">
      <c r="A83" s="120" t="str">
        <f>'ICS2'!I30</f>
        <v>KM</v>
      </c>
      <c r="B83" s="121">
        <f>'ICS2'!B30</f>
        <v>46304</v>
      </c>
      <c r="C83" s="122">
        <f>'ICS2'!C30</f>
        <v>0.8125</v>
      </c>
      <c r="D83" s="120" t="str">
        <f>'ICS2'!E30</f>
        <v>NEUFELD</v>
      </c>
      <c r="E83" s="120" t="str">
        <f>'ICS2'!H30</f>
        <v>Wimpassing</v>
      </c>
      <c r="F83" s="120" t="str">
        <f>A83</f>
        <v>KM</v>
      </c>
      <c r="G83" s="120" t="str">
        <f>IF(F83="KM","Großfeld",IF(F83="U23","Großfeld",IF(F83="U16","Großfeld",IF(F83="U15","Großfeld",IF(F83="U14","Großfeld",IF(F83="U12_1","55*40",IF(F83="U12_2","55x40",IF(F83="U11","55x40",IF(F83="U10","40x25",IF(F83="U9","40x25",IF(F83="U8","29x22",IF(F83="U7","25x20","16x15"))))))))))))</f>
        <v>Großfeld</v>
      </c>
      <c r="H83" s="120" t="str">
        <f>IF(F83="KM","7,32x2,44",IF(F83="U23","7,32x2,44",IF(F83="U16","7,32x2,44",IF(F83="U15","7,32x2,44",IF(F83="U14","7,32x2,44",IF(F83="U13","5x2",IF(F83="U12_1","7,32x2,44",IF(F83="U12_2","7,32x2,44",IF(F83="U11","5x2",IF(F83="U10","5x2
",IF(F83="U9","5x2","4 Minitore")))))))))))</f>
        <v>7,32x2,44</v>
      </c>
      <c r="I83" s="120" t="str">
        <f>IF(F83="KM","5",IF(F83="U23",5,IF(F83="U16","5",IF(F83="U15","5",IF(F83="U14","4",IF(F83="U13","4",IF(F83="U12_1","4",IF(F83="U12_2","4",IF(F83="U11","4",IF(F83="U10","4",IF(F83="U9","4","3")))))))))))</f>
        <v>5</v>
      </c>
      <c r="J83" s="120" t="str">
        <f>IF(F83="KM","Pleninger Stefan &amp; Matthias Wachter",IF(F83="U23","Egzon Gentiani &amp; Dinges Stefan",IF(F83="U16","Serdar Ekinci &amp; Gernot Sevelda &amp; Hubi Oberhofer",IF(F83="U15","",IF(F83="U14","Christian Neckamm  &amp; Thomas Pöschl",IF(F83="U13","",IF(F83="U12_1","Tobias Berger &amp; Mario Magler",IF(F83="U12_2","Tobias Berger &amp; Mario Magler",IF(F83="U11","Christian Wirth",IF(F83="U10","Thomas Brandl",IF(F83="U9","Tobias Berger &amp; Sebastian Putric",IF(F83="U8","Ömer Türkes &amp; Taha Mahsumi",IF(F83="U7","Alexander Zax &amp; Jürgen Joszt",IF(F83="FKG","Ronny Archam &amp; Florian Rac",IF(A83="Camp","Berger Dieter",IF(A83="Turnier","Berger Dieter","FEHLER"))))))))))))))))</f>
        <v>Pleninger Stefan &amp; Matthias Wachter</v>
      </c>
      <c r="K83" s="120" t="str">
        <f>IF(F83="KM","+43 664 415 99 09 &amp; +43 699 119 70 312",IF(F83="U23","+43 670 18 59 080 &amp; +43 664 451 22 16",IF(F83="U16","+43 690 104 20 129 &amp; +43 676 401 09 13 &amp; +43 699 181 68 504",IF(F83="U15","",IF(F83="U14","+43 699 192 49 527 &amp; +43 677 613 55 114",IF(F83="U13","",IF(F83="U12_1","+43 66 199 13 52 &amp;  +43 664 762 09 93",IF(F83="U12_2","+43 66 199 13 52 &amp;  +43 664 762 09 93",IF(F83="U11","+43 660 423 93 83",IF(F83="U10","+43 676 377 16 30",IF(F83="U9","+43 66 199 13 52 &amp;  +43 660 914 92 36",IF(F83="U8","+43 676 661 62 26 &amp;  +43 681 208 11 599",IF(F83="U7","+43 664 458 88 84 &amp;  +43 660 549 82 40",IF(F83="FKG","+43 699 111 93 828 &amp;  +43 660 600 25 06",IF(A83="Camp","+43 660 77 39 500",IF(A83="Turnier","+43 660 77 39 500","FEHLER"))))))))))))))))</f>
        <v>+43 664 415 99 09 &amp; +43 699 119 70 312</v>
      </c>
    </row>
    <row r="84" spans="1:11" s="108" customFormat="1" ht="15.75" hidden="1" x14ac:dyDescent="0.25">
      <c r="A84" s="57" t="str">
        <f>'ICS2'!I63</f>
        <v>U14</v>
      </c>
      <c r="B84" s="103">
        <f>'ICS2'!B63</f>
        <v>46299</v>
      </c>
      <c r="C84" s="104">
        <f>'ICS2'!C63</f>
        <v>0.625</v>
      </c>
      <c r="D84" s="57" t="str">
        <f>'ICS2'!E63</f>
        <v>DRAßBURG</v>
      </c>
      <c r="E84" s="57" t="str">
        <f>'ICS2'!H63</f>
        <v>SPG Draßburg/ZSP/Kemeten</v>
      </c>
      <c r="F84" s="57" t="str">
        <f>A84</f>
        <v>U14</v>
      </c>
      <c r="G84" s="57" t="str">
        <f>IF(F84="KM","Großfeld",IF(F84="U23","Großfeld",IF(F84="U16","Großfeld",IF(F84="U15","Großfeld",IF(F84="U14","Großfeld",IF(F84="U12_1","55*40",IF(F84="U12_2","55x40",IF(F84="U11","55x40",IF(F84="U10","40x25",IF(F84="U9","40x25",IF(F84="U8","29x22",IF(F84="U7","25x20","16x15"))))))))))))</f>
        <v>Großfeld</v>
      </c>
      <c r="H84" s="57" t="str">
        <f>IF(F84="KM","7,32x2,44",IF(F84="U23","7,32x2,44",IF(F84="U16","7,32x2,44",IF(F84="U15","7,32x2,44",IF(F84="U14","7,32x2,44",IF(F84="U13","5x2",IF(F84="U12_1","7,32x2,44",IF(F84="U12_2","7,32x2,44",IF(F84="U11","5x2",IF(F84="U10","5x2
",IF(F84="U9","5x2","4 Minitore")))))))))))</f>
        <v>7,32x2,44</v>
      </c>
      <c r="I84" s="57" t="str">
        <f>IF(F84="KM","5",IF(F84="U23",5,IF(F84="U16","5",IF(F84="U15","5",IF(F84="U14","4",IF(F84="U13","4",IF(F84="U12_1","4",IF(F84="U12_2","4",IF(F84="U11","4",IF(F84="U10","4",IF(F84="U9","4","3")))))))))))</f>
        <v>4</v>
      </c>
      <c r="J84" s="57" t="str">
        <f>IF(F84="KM","Pleninger Stefan &amp; Matthias Wachter",IF(F84="U23","Egzon Gentiani &amp; Dinges Stefan",IF(F84="U16","Serdar Ekinci &amp; Gernot Sevelda &amp; Hubi Oberhofer",IF(F84="U15","",IF(F84="U14","Christian Neckamm  &amp; Thomas Pöschl",IF(F84="U13","",IF(F84="U12_1","Tobias Berger &amp; Mario Magler",IF(F84="U12_2","Tobias Berger &amp; Mario Magler",IF(F84="U11","Christian Wirth",IF(F84="U10","Thomas Brandl",IF(F84="U9","Tobias Berger &amp; Sebastian Putric",IF(F84="U8","Ömer Türkes &amp; Taha Mahsumi",IF(F84="U7","Alexander Zax &amp; Jürgen Joszt",IF(F84="FKG","Ronny Archam &amp; Florian Rac",IF(A84="Camp","Berger Dieter",IF(A84="Turnier","Berger Dieter","FEHLER"))))))))))))))))</f>
        <v>Christian Neckamm  &amp; Thomas Pöschl</v>
      </c>
      <c r="K84" s="57" t="str">
        <f>IF(F84="KM","+43 664 415 99 09 &amp; +43 699 119 70 312",IF(F84="U23","+43 670 18 59 080 &amp; +43 664 451 22 16",IF(F84="U16","+43 690 104 20 129 &amp; +43 676 401 09 13 &amp; +43 699 181 68 504",IF(F84="U15","",IF(F84="U14","+43 699 192 49 527 &amp; +43 677 613 55 114",IF(F84="U13","",IF(F84="U12_1","+43 66 199 13 52 &amp;  +43 664 762 09 93",IF(F84="U12_2","+43 66 199 13 52 &amp;  +43 664 762 09 93",IF(F84="U11","+43 660 423 93 83",IF(F84="U10","+43 676 377 16 30",IF(F84="U9","+43 66 199 13 52 &amp;  +43 660 914 92 36",IF(F84="U8","+43 676 661 62 26 &amp;  +43 681 208 11 599",IF(F84="U7","+43 664 458 88 84 &amp;  +43 660 549 82 40",IF(F84="FKG","+43 699 111 93 828 &amp;  +43 660 600 25 06",IF(A84="Camp","+43 660 77 39 500",IF(A84="Turnier","+43 660 77 39 500","FEHLER"))))))))))))))))</f>
        <v>+43 699 192 49 527 &amp; +43 677 613 55 114</v>
      </c>
    </row>
    <row r="85" spans="1:11" s="123" customFormat="1" ht="15.75" x14ac:dyDescent="0.25">
      <c r="A85" s="120" t="str">
        <f>'ICS2'!I107</f>
        <v>U9</v>
      </c>
      <c r="B85" s="121">
        <f>'ICS2'!B107</f>
        <v>46305</v>
      </c>
      <c r="C85" s="122">
        <f>'ICS2'!C107</f>
        <v>0.58333333333333337</v>
      </c>
      <c r="D85" s="120" t="str">
        <f>'ICS2'!E107</f>
        <v>NEUFELD</v>
      </c>
      <c r="E85" s="120" t="str">
        <f>'ICS2'!H107</f>
        <v>Großhöflein</v>
      </c>
      <c r="F85" s="120" t="str">
        <f>A85</f>
        <v>U9</v>
      </c>
      <c r="G85" s="120" t="str">
        <f>IF(F85="KM","Großfeld",IF(F85="U23","Großfeld",IF(F85="U16","Großfeld",IF(F85="U15","Großfeld",IF(F85="U14","Großfeld",IF(F85="U12_1","55*40",IF(F85="U12_2","55x40",IF(F85="U11","55x40",IF(F85="U10","40x25",IF(F85="U9","40x25",IF(F85="U8","29x22",IF(F85="U7","25x20","16x15"))))))))))))</f>
        <v>40x25</v>
      </c>
      <c r="H85" s="120" t="str">
        <f>IF(F85="KM","7,32x2,44",IF(F85="U23","7,32x2,44",IF(F85="U16","7,32x2,44",IF(F85="U15","7,32x2,44",IF(F85="U14","7,32x2,44",IF(F85="U13","5x2",IF(F85="U12_1","7,32x2,44",IF(F85="U12_2","7,32x2,44",IF(F85="U11","5x2",IF(F85="U10","5x2
",IF(F85="U9","5x2","4 Minitore")))))))))))</f>
        <v>5x2</v>
      </c>
      <c r="I85" s="120" t="str">
        <f>IF(F85="KM","5",IF(F85="U23",5,IF(F85="U16","5",IF(F85="U15","5",IF(F85="U14","4",IF(F85="U13","4",IF(F85="U12_1","4",IF(F85="U12_2","4",IF(F85="U11","4",IF(F85="U10","4",IF(F85="U9","4","3")))))))))))</f>
        <v>4</v>
      </c>
      <c r="J85" s="120" t="str">
        <f>IF(F85="KM","Pleninger Stefan &amp; Matthias Wachter",IF(F85="U23","Egzon Gentiani &amp; Dinges Stefan",IF(F85="U16","Serdar Ekinci &amp; Gernot Sevelda &amp; Hubi Oberhofer",IF(F85="U15","",IF(F85="U14","Christian Neckamm  &amp; Thomas Pöschl",IF(F85="U13","",IF(F85="U12_1","Tobias Berger &amp; Mario Magler",IF(F85="U12_2","Tobias Berger &amp; Mario Magler",IF(F85="U11","Christian Wirth",IF(F85="U10","Thomas Brandl",IF(F85="U9","Tobias Berger &amp; Sebastian Putric",IF(F85="U8","Ömer Türkes &amp; Taha Mahsumi",IF(F85="U7","Alexander Zax &amp; Jürgen Joszt",IF(F85="FKG","Ronny Archam &amp; Florian Rac",IF(A85="Camp","Berger Dieter",IF(A85="Turnier","Berger Dieter","FEHLER"))))))))))))))))</f>
        <v>Tobias Berger &amp; Sebastian Putric</v>
      </c>
      <c r="K85" s="120" t="str">
        <f>IF(F85="KM","+43 664 415 99 09 &amp; +43 699 119 70 312",IF(F85="U23","+43 670 18 59 080 &amp; +43 664 451 22 16",IF(F85="U16","+43 690 104 20 129 &amp; +43 676 401 09 13 &amp; +43 699 181 68 504",IF(F85="U15","",IF(F85="U14","+43 699 192 49 527 &amp; +43 677 613 55 114",IF(F85="U13","",IF(F85="U12_1","+43 66 199 13 52 &amp;  +43 664 762 09 93",IF(F85="U12_2","+43 66 199 13 52 &amp;  +43 664 762 09 93",IF(F85="U11","+43 660 423 93 83",IF(F85="U10","+43 676 377 16 30",IF(F85="U9","+43 66 199 13 52 &amp;  +43 660 914 92 36",IF(F85="U8","+43 676 661 62 26 &amp;  +43 681 208 11 599",IF(F85="U7","+43 664 458 88 84 &amp;  +43 660 549 82 40",IF(F85="FKG","+43 699 111 93 828 &amp;  +43 660 600 25 06",IF(A85="Camp","+43 660 77 39 500",IF(A85="Turnier","+43 660 77 39 500","FEHLER"))))))))))))))))</f>
        <v>+43 66 199 13 52 &amp;  +43 660 914 92 36</v>
      </c>
    </row>
    <row r="86" spans="1:11" ht="15.75" hidden="1" x14ac:dyDescent="0.25">
      <c r="A86" s="57" t="str">
        <f>'ICS2'!I65</f>
        <v>U14</v>
      </c>
      <c r="B86" s="103">
        <f>'ICS2'!B65</f>
        <v>46313</v>
      </c>
      <c r="C86" s="104">
        <f>'ICS2'!C65</f>
        <v>0.625</v>
      </c>
      <c r="D86" s="57" t="str">
        <f>'ICS2'!E65</f>
        <v>KEMETEN</v>
      </c>
      <c r="E86" s="57" t="str">
        <f>'ICS2'!H65</f>
        <v>Kemeten</v>
      </c>
      <c r="F86" s="57" t="str">
        <f>A86</f>
        <v>U14</v>
      </c>
      <c r="G86" s="57" t="str">
        <f>IF(F86="KM","Großfeld",IF(F86="U23","Großfeld",IF(F86="U16","Großfeld",IF(F86="U15","Großfeld",IF(F86="U14","Großfeld",IF(F86="U12_1","55*40",IF(F86="U12_2","55x40",IF(F86="U11","55x40",IF(F86="U10","40x25",IF(F86="U9","40x25",IF(F86="U8","29x22",IF(F86="U7","25x20","16x15"))))))))))))</f>
        <v>Großfeld</v>
      </c>
      <c r="H86" s="57" t="str">
        <f>IF(F86="KM","7,32x2,44",IF(F86="U23","7,32x2,44",IF(F86="U16","7,32x2,44",IF(F86="U15","7,32x2,44",IF(F86="U14","7,32x2,44",IF(F86="U13","5x2",IF(F86="U12_1","7,32x2,44",IF(F86="U12_2","7,32x2,44",IF(F86="U11","5x2",IF(F86="U10","5x2
",IF(F86="U9","5x2","4 Minitore")))))))))))</f>
        <v>7,32x2,44</v>
      </c>
      <c r="I86" s="57" t="str">
        <f>IF(F86="KM","5",IF(F86="U23",5,IF(F86="U16","5",IF(F86="U15","5",IF(F86="U14","4",IF(F86="U13","4",IF(F86="U12_1","4",IF(F86="U12_2","4",IF(F86="U11","4",IF(F86="U10","4",IF(F86="U9","4","3")))))))))))</f>
        <v>4</v>
      </c>
      <c r="J86" s="57" t="str">
        <f>IF(F86="KM","Pleninger Stefan &amp; Matthias Wachter",IF(F86="U23","Egzon Gentiani &amp; Dinges Stefan",IF(F86="U16","Serdar Ekinci &amp; Gernot Sevelda &amp; Hubi Oberhofer",IF(F86="U15","",IF(F86="U14","Christian Neckamm  &amp; Thomas Pöschl",IF(F86="U13","",IF(F86="U12_1","Tobias Berger &amp; Mario Magler",IF(F86="U12_2","Tobias Berger &amp; Mario Magler",IF(F86="U11","Christian Wirth",IF(F86="U10","Thomas Brandl",IF(F86="U9","Tobias Berger &amp; Sebastian Putric",IF(F86="U8","Ömer Türkes &amp; Taha Mahsumi",IF(F86="U7","Alexander Zax &amp; Jürgen Joszt",IF(F86="FKG","Ronny Archam &amp; Florian Rac",IF(A86="Camp","Berger Dieter",IF(A86="Turnier","Berger Dieter","FEHLER"))))))))))))))))</f>
        <v>Christian Neckamm  &amp; Thomas Pöschl</v>
      </c>
      <c r="K86" s="57" t="str">
        <f>IF(F86="KM","+43 664 415 99 09 &amp; +43 699 119 70 312",IF(F86="U23","+43 670 18 59 080 &amp; +43 664 451 22 16",IF(F86="U16","+43 690 104 20 129 &amp; +43 676 401 09 13 &amp; +43 699 181 68 504",IF(F86="U15","",IF(F86="U14","+43 699 192 49 527 &amp; +43 677 613 55 114",IF(F86="U13","",IF(F86="U12_1","+43 66 199 13 52 &amp;  +43 664 762 09 93",IF(F86="U12_2","+43 66 199 13 52 &amp;  +43 664 762 09 93",IF(F86="U11","+43 660 423 93 83",IF(F86="U10","+43 676 377 16 30",IF(F86="U9","+43 66 199 13 52 &amp;  +43 660 914 92 36",IF(F86="U8","+43 676 661 62 26 &amp;  +43 681 208 11 599",IF(F86="U7","+43 664 458 88 84 &amp;  +43 660 549 82 40",IF(F86="FKG","+43 699 111 93 828 &amp;  +43 660 600 25 06",IF(A86="Camp","+43 660 77 39 500",IF(A86="Turnier","+43 660 77 39 500","FEHLER"))))))))))))))))</f>
        <v>+43 699 192 49 527 &amp; +43 677 613 55 114</v>
      </c>
    </row>
    <row r="87" spans="1:11" s="123" customFormat="1" ht="15.75" x14ac:dyDescent="0.25">
      <c r="A87" s="120" t="str">
        <f>'ICS2'!I53</f>
        <v>U16</v>
      </c>
      <c r="B87" s="121">
        <f>'ICS2'!B53</f>
        <v>46305</v>
      </c>
      <c r="C87" s="122">
        <f>'ICS2'!C53</f>
        <v>0.66666666666666663</v>
      </c>
      <c r="D87" s="120" t="str">
        <f>'ICS2'!E53</f>
        <v>NEUFELD</v>
      </c>
      <c r="E87" s="120" t="str">
        <f>'ICS2'!H53</f>
        <v>Parndorf</v>
      </c>
      <c r="F87" s="120" t="str">
        <f>A87</f>
        <v>U16</v>
      </c>
      <c r="G87" s="120" t="str">
        <f>IF(F87="KM","Großfeld",IF(F87="U23","Großfeld",IF(F87="U16","Großfeld",IF(F87="U15","Großfeld",IF(F87="U14","Großfeld",IF(F87="U12_1","55*40",IF(F87="U12_2","55x40",IF(F87="U11","55x40",IF(F87="U10","40x25",IF(F87="U9","40x25",IF(F87="U8","29x22",IF(F87="U7","25x20","16x15"))))))))))))</f>
        <v>Großfeld</v>
      </c>
      <c r="H87" s="120" t="str">
        <f>IF(F87="KM","7,32x2,44",IF(F87="U23","7,32x2,44",IF(F87="U16","7,32x2,44",IF(F87="U15","7,32x2,44",IF(F87="U14","7,32x2,44",IF(F87="U13","5x2",IF(F87="U12_1","7,32x2,44",IF(F87="U12_2","7,32x2,44",IF(F87="U11","5x2",IF(F87="U10","5x2
",IF(F87="U9","5x2","4 Minitore")))))))))))</f>
        <v>7,32x2,44</v>
      </c>
      <c r="I87" s="120" t="str">
        <f>IF(F87="KM","5",IF(F87="U23",5,IF(F87="U16","5",IF(F87="U15","5",IF(F87="U14","4",IF(F87="U13","4",IF(F87="U12_1","4",IF(F87="U12_2","4",IF(F87="U11","4",IF(F87="U10","4",IF(F87="U9","4","3")))))))))))</f>
        <v>5</v>
      </c>
      <c r="J87" s="120" t="str">
        <f>IF(F87="KM","Pleninger Stefan &amp; Matthias Wachter",IF(F87="U23","Egzon Gentiani &amp; Dinges Stefan",IF(F87="U16","Serdar Ekinci &amp; Gernot Sevelda &amp; Hubi Oberhofer",IF(F87="U15","",IF(F87="U14","Christian Neckamm  &amp; Thomas Pöschl",IF(F87="U13","",IF(F87="U12_1","Tobias Berger &amp; Mario Magler",IF(F87="U12_2","Tobias Berger &amp; Mario Magler",IF(F87="U11","Christian Wirth",IF(F87="U10","Thomas Brandl",IF(F87="U9","Tobias Berger &amp; Sebastian Putric",IF(F87="U8","Ömer Türkes &amp; Taha Mahsumi",IF(F87="U7","Alexander Zax &amp; Jürgen Joszt",IF(F87="FKG","Ronny Archam &amp; Florian Rac",IF(A87="Camp","Berger Dieter",IF(A87="Turnier","Berger Dieter","FEHLER"))))))))))))))))</f>
        <v>Serdar Ekinci &amp; Gernot Sevelda &amp; Hubi Oberhofer</v>
      </c>
      <c r="K87" s="120" t="str">
        <f>IF(F87="KM","+43 664 415 99 09 &amp; +43 699 119 70 312",IF(F87="U23","+43 670 18 59 080 &amp; +43 664 451 22 16",IF(F87="U16","+43 690 104 20 129 &amp; +43 676 401 09 13 &amp; +43 699 181 68 504",IF(F87="U15","",IF(F87="U14","+43 699 192 49 527 &amp; +43 677 613 55 114",IF(F87="U13","",IF(F87="U12_1","+43 66 199 13 52 &amp;  +43 664 762 09 93",IF(F87="U12_2","+43 66 199 13 52 &amp;  +43 664 762 09 93",IF(F87="U11","+43 660 423 93 83",IF(F87="U10","+43 676 377 16 30",IF(F87="U9","+43 66 199 13 52 &amp;  +43 660 914 92 36",IF(F87="U8","+43 676 661 62 26 &amp;  +43 681 208 11 599",IF(F87="U7","+43 664 458 88 84 &amp;  +43 660 549 82 40",IF(F87="FKG","+43 699 111 93 828 &amp;  +43 660 600 25 06",IF(A87="Camp","+43 660 77 39 500",IF(A87="Turnier","+43 660 77 39 500","FEHLER"))))))))))))))))</f>
        <v>+43 690 104 20 129 &amp; +43 676 401 09 13 &amp; +43 699 181 68 504</v>
      </c>
    </row>
    <row r="88" spans="1:11" s="116" customFormat="1" ht="15.75" hidden="1" x14ac:dyDescent="0.25">
      <c r="A88" s="57" t="str">
        <f>'ICS2'!I67</f>
        <v>U14</v>
      </c>
      <c r="B88" s="103">
        <f>'ICS2'!B67</f>
        <v>46327</v>
      </c>
      <c r="C88" s="104">
        <f>'ICS2'!C67</f>
        <v>0.625</v>
      </c>
      <c r="D88" s="57" t="str">
        <f>'ICS2'!E67</f>
        <v>GOLS</v>
      </c>
      <c r="E88" s="57" t="str">
        <f>'ICS2'!H67</f>
        <v>GMWP</v>
      </c>
      <c r="F88" s="57" t="str">
        <f>A88</f>
        <v>U14</v>
      </c>
      <c r="G88" s="57" t="str">
        <f>IF(F88="KM","Großfeld",IF(F88="U23","Großfeld",IF(F88="U16","Großfeld",IF(F88="U15","Großfeld",IF(F88="U14","Großfeld",IF(F88="U12_1","55*40",IF(F88="U12_2","55x40",IF(F88="U11","55x40",IF(F88="U10","40x25",IF(F88="U9","40x25",IF(F88="U8","29x22",IF(F88="U7","25x20","16x15"))))))))))))</f>
        <v>Großfeld</v>
      </c>
      <c r="H88" s="57" t="str">
        <f>IF(F88="KM","7,32x2,44",IF(F88="U23","7,32x2,44",IF(F88="U16","7,32x2,44",IF(F88="U15","7,32x2,44",IF(F88="U14","7,32x2,44",IF(F88="U13","5x2",IF(F88="U12_1","7,32x2,44",IF(F88="U12_2","7,32x2,44",IF(F88="U11","5x2",IF(F88="U10","5x2
",IF(F88="U9","5x2","4 Minitore")))))))))))</f>
        <v>7,32x2,44</v>
      </c>
      <c r="I88" s="57" t="str">
        <f>IF(F88="KM","5",IF(F88="U23",5,IF(F88="U16","5",IF(F88="U15","5",IF(F88="U14","4",IF(F88="U13","4",IF(F88="U12_1","4",IF(F88="U12_2","4",IF(F88="U11","4",IF(F88="U10","4",IF(F88="U9","4","3")))))))))))</f>
        <v>4</v>
      </c>
      <c r="J88" s="57" t="str">
        <f>IF(F88="KM","Pleninger Stefan &amp; Matthias Wachter",IF(F88="U23","Egzon Gentiani &amp; Dinges Stefan",IF(F88="U16","Serdar Ekinci &amp; Gernot Sevelda &amp; Hubi Oberhofer",IF(F88="U15","",IF(F88="U14","Christian Neckamm  &amp; Thomas Pöschl",IF(F88="U13","",IF(F88="U12_1","Tobias Berger &amp; Mario Magler",IF(F88="U12_2","Tobias Berger &amp; Mario Magler",IF(F88="U11","Christian Wirth",IF(F88="U10","Thomas Brandl",IF(F88="U9","Tobias Berger &amp; Sebastian Putric",IF(F88="U8","Ömer Türkes &amp; Taha Mahsumi",IF(F88="U7","Alexander Zax &amp; Jürgen Joszt",IF(F88="FKG","Ronny Archam &amp; Florian Rac",IF(A88="Camp","Berger Dieter",IF(A88="Turnier","Berger Dieter","FEHLER"))))))))))))))))</f>
        <v>Christian Neckamm  &amp; Thomas Pöschl</v>
      </c>
      <c r="K88" s="57" t="str">
        <f>IF(F88="KM","+43 664 415 99 09 &amp; +43 699 119 70 312",IF(F88="U23","+43 670 18 59 080 &amp; +43 664 451 22 16",IF(F88="U16","+43 690 104 20 129 &amp; +43 676 401 09 13 &amp; +43 699 181 68 504",IF(F88="U15","",IF(F88="U14","+43 699 192 49 527 &amp; +43 677 613 55 114",IF(F88="U13","",IF(F88="U12_1","+43 66 199 13 52 &amp;  +43 664 762 09 93",IF(F88="U12_2","+43 66 199 13 52 &amp;  +43 664 762 09 93",IF(F88="U11","+43 660 423 93 83",IF(F88="U10","+43 676 377 16 30",IF(F88="U9","+43 66 199 13 52 &amp;  +43 660 914 92 36",IF(F88="U8","+43 676 661 62 26 &amp;  +43 681 208 11 599",IF(F88="U7","+43 664 458 88 84 &amp;  +43 660 549 82 40",IF(F88="FKG","+43 699 111 93 828 &amp;  +43 660 600 25 06",IF(A88="Camp","+43 660 77 39 500",IF(A88="Turnier","+43 660 77 39 500","FEHLER"))))))))))))))))</f>
        <v>+43 699 192 49 527 &amp; +43 677 613 55 114</v>
      </c>
    </row>
    <row r="89" spans="1:11" ht="15.75" x14ac:dyDescent="0.25">
      <c r="A89" s="117" t="str">
        <f>'ICS2'!I64</f>
        <v>U14</v>
      </c>
      <c r="B89" s="118">
        <f>'ICS2'!B64</f>
        <v>46306</v>
      </c>
      <c r="C89" s="119">
        <f>'ICS2'!C64</f>
        <v>0.625</v>
      </c>
      <c r="D89" s="117" t="str">
        <f>'ICS2'!E64</f>
        <v>GROßHÖFLEIN</v>
      </c>
      <c r="E89" s="117" t="str">
        <f>'ICS2'!H64</f>
        <v>SPG Pubach/Breitenbrunn/Winden</v>
      </c>
      <c r="F89" s="117" t="str">
        <f>A89</f>
        <v>U14</v>
      </c>
      <c r="G89" s="117" t="str">
        <f>IF(F89="KM","Großfeld",IF(F89="U23","Großfeld",IF(F89="U16","Großfeld",IF(F89="U15","Großfeld",IF(F89="U14","Großfeld",IF(F89="U12_1","55*40",IF(F89="U12_2","55x40",IF(F89="U11","55x40",IF(F89="U10","40x25",IF(F89="U9","40x25",IF(F89="U8","29x22",IF(F89="U7","25x20","16x15"))))))))))))</f>
        <v>Großfeld</v>
      </c>
      <c r="H89" s="117" t="str">
        <f>IF(F89="KM","7,32x2,44",IF(F89="U23","7,32x2,44",IF(F89="U16","7,32x2,44",IF(F89="U15","7,32x2,44",IF(F89="U14","7,32x2,44",IF(F89="U13","5x2",IF(F89="U12_1","7,32x2,44",IF(F89="U12_2","7,32x2,44",IF(F89="U11","5x2",IF(F89="U10","5x2
",IF(F89="U9","5x2","4 Minitore")))))))))))</f>
        <v>7,32x2,44</v>
      </c>
      <c r="I89" s="117" t="str">
        <f>IF(F89="KM","5",IF(F89="U23",5,IF(F89="U16","5",IF(F89="U15","5",IF(F89="U14","4",IF(F89="U13","4",IF(F89="U12_1","4",IF(F89="U12_2","4",IF(F89="U11","4",IF(F89="U10","4",IF(F89="U9","4","3")))))))))))</f>
        <v>4</v>
      </c>
      <c r="J89" s="117" t="str">
        <f>IF(F89="KM","Pleninger Stefan &amp; Matthias Wachter",IF(F89="U23","Egzon Gentiani &amp; Dinges Stefan",IF(F89="U16","Serdar Ekinci &amp; Gernot Sevelda &amp; Hubi Oberhofer",IF(F89="U15","",IF(F89="U14","Christian Neckamm  &amp; Thomas Pöschl",IF(F89="U13","",IF(F89="U12_1","Tobias Berger &amp; Mario Magler",IF(F89="U12_2","Tobias Berger &amp; Mario Magler",IF(F89="U11","Christian Wirth",IF(F89="U10","Thomas Brandl",IF(F89="U9","Tobias Berger &amp; Sebastian Putric",IF(F89="U8","Ömer Türkes &amp; Taha Mahsumi",IF(F89="U7","Alexander Zax &amp; Jürgen Joszt",IF(F89="FKG","Ronny Archam &amp; Florian Rac",IF(A89="Camp","Berger Dieter",IF(A89="Turnier","Berger Dieter","FEHLER"))))))))))))))))</f>
        <v>Christian Neckamm  &amp; Thomas Pöschl</v>
      </c>
      <c r="K89" s="117" t="str">
        <f>IF(F89="KM","+43 664 415 99 09 &amp; +43 699 119 70 312",IF(F89="U23","+43 670 18 59 080 &amp; +43 664 451 22 16",IF(F89="U16","+43 690 104 20 129 &amp; +43 676 401 09 13 &amp; +43 699 181 68 504",IF(F89="U15","",IF(F89="U14","+43 699 192 49 527 &amp; +43 677 613 55 114",IF(F89="U13","",IF(F89="U12_1","+43 66 199 13 52 &amp;  +43 664 762 09 93",IF(F89="U12_2","+43 66 199 13 52 &amp;  +43 664 762 09 93",IF(F89="U11","+43 660 423 93 83",IF(F89="U10","+43 676 377 16 30",IF(F89="U9","+43 66 199 13 52 &amp;  +43 660 914 92 36",IF(F89="U8","+43 676 661 62 26 &amp;  +43 681 208 11 599",IF(F89="U7","+43 664 458 88 84 &amp;  +43 660 549 82 40",IF(F89="FKG","+43 699 111 93 828 &amp;  +43 660 600 25 06",IF(A89="Camp","+43 660 77 39 500",IF(A89="Turnier","+43 660 77 39 500","FEHLER"))))))))))))))))</f>
        <v>+43 699 192 49 527 &amp; +43 677 613 55 114</v>
      </c>
    </row>
    <row r="90" spans="1:11" s="123" customFormat="1" ht="15.75" x14ac:dyDescent="0.25">
      <c r="A90" s="109" t="str">
        <f>'ICS2'!I108</f>
        <v>U9</v>
      </c>
      <c r="B90" s="110">
        <f>'ICS2'!B108</f>
        <v>46311</v>
      </c>
      <c r="C90" s="111">
        <f>'ICS2'!C108</f>
        <v>0</v>
      </c>
      <c r="D90" s="109" t="str">
        <f>'ICS2'!E108</f>
        <v>STEINBRUNN</v>
      </c>
      <c r="E90" s="109" t="str">
        <f>'ICS2'!H108</f>
        <v>Steinbrunn</v>
      </c>
      <c r="F90" s="109" t="str">
        <f>A90</f>
        <v>U9</v>
      </c>
      <c r="G90" s="109" t="str">
        <f>IF(F90="KM","Großfeld",IF(F90="U23","Großfeld",IF(F90="U16","Großfeld",IF(F90="U15","Großfeld",IF(F90="U14","Großfeld",IF(F90="U12_1","55*40",IF(F90="U12_2","55x40",IF(F90="U11","55x40",IF(F90="U10","40x25",IF(F90="U9","40x25",IF(F90="U8","29x22",IF(F90="U7","25x20","16x15"))))))))))))</f>
        <v>40x25</v>
      </c>
      <c r="H90" s="109" t="str">
        <f>IF(F90="KM","7,32x2,44",IF(F90="U23","7,32x2,44",IF(F90="U16","7,32x2,44",IF(F90="U15","7,32x2,44",IF(F90="U14","7,32x2,44",IF(F90="U13","5x2",IF(F90="U12_1","7,32x2,44",IF(F90="U12_2","7,32x2,44",IF(F90="U11","5x2",IF(F90="U10","5x2
",IF(F90="U9","5x2","4 Minitore")))))))))))</f>
        <v>5x2</v>
      </c>
      <c r="I90" s="109" t="str">
        <f>IF(F90="KM","5",IF(F90="U23",5,IF(F90="U16","5",IF(F90="U15","5",IF(F90="U14","4",IF(F90="U13","4",IF(F90="U12_1","4",IF(F90="U12_2","4",IF(F90="U11","4",IF(F90="U10","4",IF(F90="U9","4","3")))))))))))</f>
        <v>4</v>
      </c>
      <c r="J90" s="109" t="str">
        <f>IF(F90="KM","Pleninger Stefan &amp; Matthias Wachter",IF(F90="U23","Egzon Gentiani &amp; Dinges Stefan",IF(F90="U16","Serdar Ekinci &amp; Gernot Sevelda &amp; Hubi Oberhofer",IF(F90="U15","",IF(F90="U14","Christian Neckamm  &amp; Thomas Pöschl",IF(F90="U13","",IF(F90="U12_1","Tobias Berger &amp; Mario Magler",IF(F90="U12_2","Tobias Berger &amp; Mario Magler",IF(F90="U11","Christian Wirth",IF(F90="U10","Thomas Brandl",IF(F90="U9","Tobias Berger &amp; Sebastian Putric",IF(F90="U8","Ömer Türkes &amp; Taha Mahsumi",IF(F90="U7","Alexander Zax &amp; Jürgen Joszt",IF(F90="FKG","Ronny Archam &amp; Florian Rac",IF(A90="Camp","Berger Dieter",IF(A90="Turnier","Berger Dieter","FEHLER"))))))))))))))))</f>
        <v>Tobias Berger &amp; Sebastian Putric</v>
      </c>
      <c r="K90" s="109" t="str">
        <f>IF(F90="KM","+43 664 415 99 09 &amp; +43 699 119 70 312",IF(F90="U23","+43 670 18 59 080 &amp; +43 664 451 22 16",IF(F90="U16","+43 690 104 20 129 &amp; +43 676 401 09 13 &amp; +43 699 181 68 504",IF(F90="U15","",IF(F90="U14","+43 699 192 49 527 &amp; +43 677 613 55 114",IF(F90="U13","",IF(F90="U12_1","+43 66 199 13 52 &amp;  +43 664 762 09 93",IF(F90="U12_2","+43 66 199 13 52 &amp;  +43 664 762 09 93",IF(F90="U11","+43 660 423 93 83",IF(F90="U10","+43 676 377 16 30",IF(F90="U9","+43 66 199 13 52 &amp;  +43 660 914 92 36",IF(F90="U8","+43 676 661 62 26 &amp;  +43 681 208 11 599",IF(F90="U7","+43 664 458 88 84 &amp;  +43 660 549 82 40",IF(F90="FKG","+43 699 111 93 828 &amp;  +43 660 600 25 06",IF(A90="Camp","+43 660 77 39 500",IF(A90="Turnier","+43 660 77 39 500","FEHLER"))))))))))))))))</f>
        <v>+43 66 199 13 52 &amp;  +43 660 914 92 36</v>
      </c>
    </row>
    <row r="91" spans="1:11" s="116" customFormat="1" ht="15.75" x14ac:dyDescent="0.25">
      <c r="A91" s="120" t="str">
        <f>'ICS2'!I97</f>
        <v>U10</v>
      </c>
      <c r="B91" s="121">
        <f>'ICS2'!B97</f>
        <v>46312</v>
      </c>
      <c r="C91" s="122">
        <f>'ICS2'!C97</f>
        <v>0.39583333333333331</v>
      </c>
      <c r="D91" s="120" t="str">
        <f>'ICS2'!E97</f>
        <v>NEUFELD</v>
      </c>
      <c r="E91" s="120" t="str">
        <f>'ICS2'!H97</f>
        <v>Heimturnier</v>
      </c>
      <c r="F91" s="120" t="str">
        <f>A91</f>
        <v>U10</v>
      </c>
      <c r="G91" s="120" t="str">
        <f>IF(F91="KM","Großfeld",IF(F91="U23","Großfeld",IF(F91="U16","Großfeld",IF(F91="U15","Großfeld",IF(F91="U14","Großfeld",IF(F91="U12_1","55*40",IF(F91="U12_2","55x40",IF(F91="U11","55x40",IF(F91="U10","40x25",IF(F91="U9","40x25",IF(F91="U8","29x22",IF(F91="U7","25x20","16x15"))))))))))))</f>
        <v>40x25</v>
      </c>
      <c r="H91" s="120" t="str">
        <f>IF(F91="KM","7,32x2,44",IF(F91="U23","7,32x2,44",IF(F91="U16","7,32x2,44",IF(F91="U15","7,32x2,44",IF(F91="U14","7,32x2,44",IF(F91="U13","5x2",IF(F91="U12_1","7,32x2,44",IF(F91="U12_2","7,32x2,44",IF(F91="U11","5x2",IF(F91="U10","5x2
",IF(F91="U9","5x2","4 Minitore")))))))))))</f>
        <v xml:space="preserve">5x2
</v>
      </c>
      <c r="I91" s="120" t="str">
        <f>IF(F91="KM","5",IF(F91="U23",5,IF(F91="U16","5",IF(F91="U15","5",IF(F91="U14","4",IF(F91="U13","4",IF(F91="U12_1","4",IF(F91="U12_2","4",IF(F91="U11","4",IF(F91="U10","4",IF(F91="U9","4","3")))))))))))</f>
        <v>4</v>
      </c>
      <c r="J91" s="120" t="str">
        <f>IF(F91="KM","Pleninger Stefan &amp; Matthias Wachter",IF(F91="U23","Egzon Gentiani &amp; Dinges Stefan",IF(F91="U16","Serdar Ekinci &amp; Gernot Sevelda &amp; Hubi Oberhofer",IF(F91="U15","",IF(F91="U14","Christian Neckamm  &amp; Thomas Pöschl",IF(F91="U13","",IF(F91="U12_1","Tobias Berger &amp; Mario Magler",IF(F91="U12_2","Tobias Berger &amp; Mario Magler",IF(F91="U11","Christian Wirth",IF(F91="U10","Thomas Brandl",IF(F91="U9","Tobias Berger &amp; Sebastian Putric",IF(F91="U8","Ömer Türkes &amp; Taha Mahsumi",IF(F91="U7","Alexander Zax &amp; Jürgen Joszt",IF(F91="FKG","Ronny Archam &amp; Florian Rac",IF(A91="Camp","Berger Dieter",IF(A91="Turnier","Berger Dieter","FEHLER"))))))))))))))))</f>
        <v>Thomas Brandl</v>
      </c>
      <c r="K91" s="120" t="str">
        <f>IF(F91="KM","+43 664 415 99 09 &amp; +43 699 119 70 312",IF(F91="U23","+43 670 18 59 080 &amp; +43 664 451 22 16",IF(F91="U16","+43 690 104 20 129 &amp; +43 676 401 09 13 &amp; +43 699 181 68 504",IF(F91="U15","",IF(F91="U14","+43 699 192 49 527 &amp; +43 677 613 55 114",IF(F91="U13","",IF(F91="U12_1","+43 66 199 13 52 &amp;  +43 664 762 09 93",IF(F91="U12_2","+43 66 199 13 52 &amp;  +43 664 762 09 93",IF(F91="U11","+43 660 423 93 83",IF(F91="U10","+43 676 377 16 30",IF(F91="U9","+43 66 199 13 52 &amp;  +43 660 914 92 36",IF(F91="U8","+43 676 661 62 26 &amp;  +43 681 208 11 599",IF(F91="U7","+43 664 458 88 84 &amp;  +43 660 549 82 40",IF(F91="FKG","+43 699 111 93 828 &amp;  +43 660 600 25 06",IF(A91="Camp","+43 660 77 39 500",IF(A91="Turnier","+43 660 77 39 500","FEHLER"))))))))))))))))</f>
        <v>+43 676 377 16 30</v>
      </c>
    </row>
    <row r="92" spans="1:11" s="108" customFormat="1" ht="15.75" hidden="1" x14ac:dyDescent="0.25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>A92</f>
        <v>U16</v>
      </c>
      <c r="G92" s="57" t="str">
        <f>IF(F92="KM","Großfeld",IF(F92="U23","Großfeld",IF(F92="U16","Großfeld",IF(F92="U15","Großfeld",IF(F92="U14","Großfeld",IF(F92="U12_1","55*40",IF(F92="U12_2","55x40",IF(F92="U11","55x40",IF(F92="U10","40x25",IF(F92="U9","40x25",IF(F92="U8","29x22",IF(F92="U7","25x20","16x15"))))))))))))</f>
        <v>Großfeld</v>
      </c>
      <c r="H92" s="57" t="str">
        <f>IF(F92="KM","7,32x2,44",IF(F92="U23","7,32x2,44",IF(F92="U16","7,32x2,44",IF(F92="U15","7,32x2,44",IF(F92="U14","7,32x2,44",IF(F92="U13","5x2",IF(F92="U12_1","7,32x2,44",IF(F92="U12_2","7,32x2,44",IF(F92="U11","5x2",IF(F92="U10","5x2
",IF(F92="U9","5x2","4 Minitore")))))))))))</f>
        <v>7,32x2,44</v>
      </c>
      <c r="I92" s="57" t="str">
        <f>IF(F92="KM","5",IF(F92="U23",5,IF(F92="U16","5",IF(F92="U15","5",IF(F92="U14","4",IF(F92="U13","4",IF(F92="U12_1","4",IF(F92="U12_2","4",IF(F92="U11","4",IF(F92="U10","4",IF(F92="U9","4","3")))))))))))</f>
        <v>5</v>
      </c>
      <c r="J92" s="57" t="str">
        <f>IF(F92="KM","Pleninger Stefan &amp; Matthias Wachter",IF(F92="U23","Egzon Gentiani &amp; Dinges Stefan",IF(F92="U16","Serdar Ekinci &amp; Gernot Sevelda &amp; Hubi Oberhofer",IF(F92="U15","",IF(F92="U14","Christian Neckamm  &amp; Thomas Pöschl",IF(F92="U13","",IF(F92="U12_1","Tobias Berger &amp; Mario Magler",IF(F92="U12_2","Tobias Berger &amp; Mario Magler",IF(F92="U11","Christian Wirth",IF(F92="U10","Thomas Brandl",IF(F92="U9","Tobias Berger &amp; Sebastian Putric",IF(F92="U8","Ömer Türkes &amp; Taha Mahsumi",IF(F92="U7","Alexander Zax &amp; Jürgen Joszt",IF(F92="FKG","Ronny Archam &amp; Florian Rac",IF(A92="Camp","Berger Dieter",IF(A92="Turnier","Berger Dieter","FEHLER"))))))))))))))))</f>
        <v>Serdar Ekinci &amp; Gernot Sevelda &amp; Hubi Oberhofer</v>
      </c>
      <c r="K92" s="57" t="str">
        <f>IF(F92="KM","+43 664 415 99 09 &amp; +43 699 119 70 312",IF(F92="U23","+43 670 18 59 080 &amp; +43 664 451 22 16",IF(F92="U16","+43 690 104 20 129 &amp; +43 676 401 09 13 &amp; +43 699 181 68 504",IF(F92="U15","",IF(F92="U14","+43 699 192 49 527 &amp; +43 677 613 55 114",IF(F92="U13","",IF(F92="U12_1","+43 66 199 13 52 &amp;  +43 664 762 09 93",IF(F92="U12_2","+43 66 199 13 52 &amp;  +43 664 762 09 93",IF(F92="U11","+43 660 423 93 83",IF(F92="U10","+43 676 377 16 30",IF(F92="U9","+43 66 199 13 52 &amp;  +43 660 914 92 36",IF(F92="U8","+43 676 661 62 26 &amp;  +43 681 208 11 599",IF(F92="U7","+43 664 458 88 84 &amp;  +43 660 549 82 40",IF(F92="FKG","+43 699 111 93 828 &amp;  +43 660 600 25 06",IF(A92="Camp","+43 660 77 39 500",IF(A92="Turnier","+43 660 77 39 500","FEHLER"))))))))))))))))</f>
        <v>+43 690 104 20 129 &amp; +43 676 401 09 13 &amp; +43 699 181 68 504</v>
      </c>
    </row>
    <row r="93" spans="1:11" s="123" customFormat="1" ht="15.75" hidden="1" x14ac:dyDescent="0.25">
      <c r="A93" s="57" t="str">
        <f>'ICS2'!I16</f>
        <v>U16</v>
      </c>
      <c r="B93" s="103">
        <f>'ICS2'!B16</f>
        <v>46256</v>
      </c>
      <c r="C93" s="104">
        <f>'ICS2'!C16</f>
        <v>0.70833333333333337</v>
      </c>
      <c r="D93" s="57" t="str">
        <f>'ICS2'!E16</f>
        <v>LAXENBURG</v>
      </c>
      <c r="E93" s="57" t="str">
        <f>'ICS2'!H16</f>
        <v>Laxenburg</v>
      </c>
      <c r="F93" s="57" t="str">
        <f>A93</f>
        <v>U16</v>
      </c>
      <c r="G93" s="57" t="str">
        <f>IF(F93="KM","Großfeld",IF(F93="U23","Großfeld",IF(F93="U16","Großfeld",IF(F93="U15","Großfeld",IF(F93="U14","Großfeld",IF(F93="U12_1","55*40",IF(F93="U12_2","55x40",IF(F93="U11","55x40",IF(F93="U10","40x25",IF(F93="U9","40x25",IF(F93="U8","29x22",IF(F93="U7","25x20","16x15"))))))))))))</f>
        <v>Großfeld</v>
      </c>
      <c r="H93" s="57" t="str">
        <f>IF(F93="KM","7,32x2,44",IF(F93="U23","7,32x2,44",IF(F93="U16","7,32x2,44",IF(F93="U15","7,32x2,44",IF(F93="U14","7,32x2,44",IF(F93="U13","5x2",IF(F93="U12_1","7,32x2,44",IF(F93="U12_2","7,32x2,44",IF(F93="U11","5x2",IF(F93="U10","5x2
",IF(F93="U9","5x2","4 Minitore")))))))))))</f>
        <v>7,32x2,44</v>
      </c>
      <c r="I93" s="57" t="str">
        <f>IF(F93="KM","5",IF(F93="U23",5,IF(F93="U16","5",IF(F93="U15","5",IF(F93="U14","4",IF(F93="U13","4",IF(F93="U12_1","4",IF(F93="U12_2","4",IF(F93="U11","4",IF(F93="U10","4",IF(F93="U9","4","3")))))))))))</f>
        <v>5</v>
      </c>
      <c r="J93" s="57" t="str">
        <f>IF(F93="KM","Pleninger Stefan &amp; Matthias Wachter",IF(F93="U23","Egzon Gentiani &amp; Dinges Stefan",IF(F93="U16","Serdar Ekinci &amp; Gernot Sevelda &amp; Hubi Oberhofer",IF(F93="U15","",IF(F93="U14","Christian Neckamm  &amp; Thomas Pöschl",IF(F93="U13","",IF(F93="U12_1","Tobias Berger &amp; Mario Magler",IF(F93="U12_2","Tobias Berger &amp; Mario Magler",IF(F93="U11","Christian Wirth",IF(F93="U10","Thomas Brandl",IF(F93="U9","Tobias Berger &amp; Sebastian Putric",IF(F93="U8","Ömer Türkes &amp; Taha Mahsumi",IF(F93="U7","Alexander Zax &amp; Jürgen Joszt",IF(F93="FKG","Ronny Archam &amp; Florian Rac",IF(A93="Camp","Berger Dieter",IF(A93="Turnier","Berger Dieter","FEHLER"))))))))))))))))</f>
        <v>Serdar Ekinci &amp; Gernot Sevelda &amp; Hubi Oberhofer</v>
      </c>
      <c r="K93" s="57" t="str">
        <f>IF(F93="KM","+43 664 415 99 09 &amp; +43 699 119 70 312",IF(F93="U23","+43 670 18 59 080 &amp; +43 664 451 22 16",IF(F93="U16","+43 690 104 20 129 &amp; +43 676 401 09 13 &amp; +43 699 181 68 504",IF(F93="U15","",IF(F93="U14","+43 699 192 49 527 &amp; +43 677 613 55 114",IF(F93="U13","",IF(F93="U12_1","+43 66 199 13 52 &amp;  +43 664 762 09 93",IF(F93="U12_2","+43 66 199 13 52 &amp;  +43 664 762 09 93",IF(F93="U11","+43 660 423 93 83",IF(F93="U10","+43 676 377 16 30",IF(F93="U9","+43 66 199 13 52 &amp;  +43 660 914 92 36",IF(F93="U8","+43 676 661 62 26 &amp;  +43 681 208 11 599",IF(F93="U7","+43 664 458 88 84 &amp;  +43 660 549 82 40",IF(F93="FKG","+43 699 111 93 828 &amp;  +43 660 600 25 06",IF(A93="Camp","+43 660 77 39 500",IF(A93="Turnier","+43 660 77 39 500","FEHLER"))))))))))))))))</f>
        <v>+43 690 104 20 129 &amp; +43 676 401 09 13 &amp; +43 699 181 68 504</v>
      </c>
    </row>
    <row r="94" spans="1:11" s="123" customFormat="1" ht="15.75" x14ac:dyDescent="0.25">
      <c r="A94" s="120" t="str">
        <f>'ICS2'!I112</f>
        <v>U8</v>
      </c>
      <c r="B94" s="121">
        <f>'ICS2'!B112</f>
        <v>46312</v>
      </c>
      <c r="C94" s="122">
        <f>'ICS2'!C112</f>
        <v>0.39583333333333331</v>
      </c>
      <c r="D94" s="120" t="str">
        <f>'ICS2'!E112</f>
        <v>NEUFELD</v>
      </c>
      <c r="E94" s="120" t="str">
        <f>'ICS2'!H112</f>
        <v>Heimturnier</v>
      </c>
      <c r="F94" s="120" t="str">
        <f>A94</f>
        <v>U8</v>
      </c>
      <c r="G94" s="120" t="str">
        <f>IF(F94="KM","Großfeld",IF(F94="U23","Großfeld",IF(F94="U16","Großfeld",IF(F94="U15","Großfeld",IF(F94="U14","Großfeld",IF(F94="U12_1","55*40",IF(F94="U12_2","55x40",IF(F94="U11","55x40",IF(F94="U10","40x25",IF(F94="U9","40x25",IF(F94="U8","29x22",IF(F94="U7","25x20","16x15"))))))))))))</f>
        <v>29x22</v>
      </c>
      <c r="H94" s="120" t="str">
        <f>IF(F94="KM","7,32x2,44",IF(F94="U23","7,32x2,44",IF(F94="U16","7,32x2,44",IF(F94="U15","7,32x2,44",IF(F94="U14","7,32x2,44",IF(F94="U13","5x2",IF(F94="U12_1","7,32x2,44",IF(F94="U12_2","7,32x2,44",IF(F94="U11","5x2",IF(F94="U10","5x2
",IF(F94="U9","5x2","4 Minitore")))))))))))</f>
        <v>4 Minitore</v>
      </c>
      <c r="I94" s="120" t="str">
        <f>IF(F94="KM","5",IF(F94="U23",5,IF(F94="U16","5",IF(F94="U15","5",IF(F94="U14","4",IF(F94="U13","4",IF(F94="U12_1","4",IF(F94="U12_2","4",IF(F94="U11","4",IF(F94="U10","4",IF(F94="U9","4","3")))))))))))</f>
        <v>3</v>
      </c>
      <c r="J94" s="120" t="str">
        <f>IF(F94="KM","Pleninger Stefan &amp; Matthias Wachter",IF(F94="U23","Egzon Gentiani &amp; Dinges Stefan",IF(F94="U16","Serdar Ekinci &amp; Gernot Sevelda &amp; Hubi Oberhofer",IF(F94="U15","",IF(F94="U14","Christian Neckamm  &amp; Thomas Pöschl",IF(F94="U13","",IF(F94="U12_1","Tobias Berger &amp; Mario Magler",IF(F94="U12_2","Tobias Berger &amp; Mario Magler",IF(F94="U11","Christian Wirth",IF(F94="U10","Thomas Brandl",IF(F94="U9","Tobias Berger &amp; Sebastian Putric",IF(F94="U8","Ömer Türkes &amp; Taha Mahsumi",IF(F94="U7","Alexander Zax &amp; Jürgen Joszt",IF(F94="FKG","Ronny Archam &amp; Florian Rac",IF(A94="Camp","Berger Dieter",IF(A94="Turnier","Berger Dieter","FEHLER"))))))))))))))))</f>
        <v>Ömer Türkes &amp; Taha Mahsumi</v>
      </c>
      <c r="K94" s="120" t="str">
        <f>IF(F94="KM","+43 664 415 99 09 &amp; +43 699 119 70 312",IF(F94="U23","+43 670 18 59 080 &amp; +43 664 451 22 16",IF(F94="U16","+43 690 104 20 129 &amp; +43 676 401 09 13 &amp; +43 699 181 68 504",IF(F94="U15","",IF(F94="U14","+43 699 192 49 527 &amp; +43 677 613 55 114",IF(F94="U13","",IF(F94="U12_1","+43 66 199 13 52 &amp;  +43 664 762 09 93",IF(F94="U12_2","+43 66 199 13 52 &amp;  +43 664 762 09 93",IF(F94="U11","+43 660 423 93 83",IF(F94="U10","+43 676 377 16 30",IF(F94="U9","+43 66 199 13 52 &amp;  +43 660 914 92 36",IF(F94="U8","+43 676 661 62 26 &amp;  +43 681 208 11 599",IF(F94="U7","+43 664 458 88 84 &amp;  +43 660 549 82 40",IF(F94="FKG","+43 699 111 93 828 &amp;  +43 660 600 25 06",IF(A94="Camp","+43 660 77 39 500",IF(A94="Turnier","+43 660 77 39 500","FEHLER"))))))))))))))))</f>
        <v>+43 676 661 62 26 &amp;  +43 681 208 11 599</v>
      </c>
    </row>
    <row r="95" spans="1:11" ht="15.75" hidden="1" x14ac:dyDescent="0.25">
      <c r="A95" s="57" t="str">
        <f>'ICS2'!I20</f>
        <v>U16</v>
      </c>
      <c r="B95" s="103">
        <f>'ICS2'!B20</f>
        <v>46264</v>
      </c>
      <c r="C95" s="104">
        <f>'ICS2'!C20</f>
        <v>0.4375</v>
      </c>
      <c r="D95" s="57" t="str">
        <f>'ICS2'!E20</f>
        <v>THERESIENFELD</v>
      </c>
      <c r="E95" s="57" t="str">
        <f>'ICS2'!H20</f>
        <v>SPG Theresienfeld</v>
      </c>
      <c r="F95" s="57" t="str">
        <f>A95</f>
        <v>U16</v>
      </c>
      <c r="G95" s="57" t="str">
        <f>IF(F95="KM","Großfeld",IF(F95="U23","Großfeld",IF(F95="U16","Großfeld",IF(F95="U15","Großfeld",IF(F95="U14","Großfeld",IF(F95="U12_1","55*40",IF(F95="U12_2","55x40",IF(F95="U11","55x40",IF(F95="U10","40x25",IF(F95="U9","40x25",IF(F95="U8","29x22",IF(F95="U7","25x20","16x15"))))))))))))</f>
        <v>Großfeld</v>
      </c>
      <c r="H95" s="57" t="str">
        <f>IF(F95="KM","7,32x2,44",IF(F95="U23","7,32x2,44",IF(F95="U16","7,32x2,44",IF(F95="U15","7,32x2,44",IF(F95="U14","7,32x2,44",IF(F95="U13","5x2",IF(F95="U12_1","7,32x2,44",IF(F95="U12_2","7,32x2,44",IF(F95="U11","5x2",IF(F95="U10","5x2
",IF(F95="U9","5x2","4 Minitore")))))))))))</f>
        <v>7,32x2,44</v>
      </c>
      <c r="I95" s="57" t="str">
        <f>IF(F95="KM","5",IF(F95="U23",5,IF(F95="U16","5",IF(F95="U15","5",IF(F95="U14","4",IF(F95="U13","4",IF(F95="U12_1","4",IF(F95="U12_2","4",IF(F95="U11","4",IF(F95="U10","4",IF(F95="U9","4","3")))))))))))</f>
        <v>5</v>
      </c>
      <c r="J95" s="57" t="str">
        <f>IF(F95="KM","Pleninger Stefan &amp; Matthias Wachter",IF(F95="U23","Egzon Gentiani &amp; Dinges Stefan",IF(F95="U16","Serdar Ekinci &amp; Gernot Sevelda &amp; Hubi Oberhofer",IF(F95="U15","",IF(F95="U14","Christian Neckamm  &amp; Thomas Pöschl",IF(F95="U13","",IF(F95="U12_1","Tobias Berger &amp; Mario Magler",IF(F95="U12_2","Tobias Berger &amp; Mario Magler",IF(F95="U11","Christian Wirth",IF(F95="U10","Thomas Brandl",IF(F95="U9","Tobias Berger &amp; Sebastian Putric",IF(F95="U8","Ömer Türkes &amp; Taha Mahsumi",IF(F95="U7","Alexander Zax &amp; Jürgen Joszt",IF(F95="FKG","Ronny Archam &amp; Florian Rac",IF(A95="Camp","Berger Dieter",IF(A95="Turnier","Berger Dieter","FEHLER"))))))))))))))))</f>
        <v>Serdar Ekinci &amp; Gernot Sevelda &amp; Hubi Oberhofer</v>
      </c>
      <c r="K95" s="57" t="str">
        <f>IF(F95="KM","+43 664 415 99 09 &amp; +43 699 119 70 312",IF(F95="U23","+43 670 18 59 080 &amp; +43 664 451 22 16",IF(F95="U16","+43 690 104 20 129 &amp; +43 676 401 09 13 &amp; +43 699 181 68 504",IF(F95="U15","",IF(F95="U14","+43 699 192 49 527 &amp; +43 677 613 55 114",IF(F95="U13","",IF(F95="U12_1","+43 66 199 13 52 &amp;  +43 664 762 09 93",IF(F95="U12_2","+43 66 199 13 52 &amp;  +43 664 762 09 93",IF(F95="U11","+43 660 423 93 83",IF(F95="U10","+43 676 377 16 30",IF(F95="U9","+43 66 199 13 52 &amp;  +43 660 914 92 36",IF(F95="U8","+43 676 661 62 26 &amp;  +43 681 208 11 599",IF(F95="U7","+43 664 458 88 84 &amp;  +43 660 549 82 40",IF(F95="FKG","+43 699 111 93 828 &amp;  +43 660 600 25 06",IF(A95="Camp","+43 660 77 39 500",IF(A95="Turnier","+43 660 77 39 500","FEHLER"))))))))))))))))</f>
        <v>+43 690 104 20 129 &amp; +43 676 401 09 13 &amp; +43 699 181 68 504</v>
      </c>
    </row>
    <row r="96" spans="1:11" ht="15.75" hidden="1" x14ac:dyDescent="0.25">
      <c r="A96" s="57" t="str">
        <f>'ICS2'!I48</f>
        <v>U16</v>
      </c>
      <c r="B96" s="103">
        <f>'ICS2'!B48</f>
        <v>46271</v>
      </c>
      <c r="C96" s="104">
        <f>'ICS2'!C48</f>
        <v>0</v>
      </c>
      <c r="D96" s="57" t="str">
        <f>'ICS2'!E48</f>
        <v/>
      </c>
      <c r="E96" s="57" t="str">
        <f>'ICS2'!H48</f>
        <v>Spielfrei</v>
      </c>
      <c r="F96" s="57" t="str">
        <f>A96</f>
        <v>U16</v>
      </c>
      <c r="G96" s="57" t="str">
        <f>IF(F96="KM","Großfeld",IF(F96="U23","Großfeld",IF(F96="U16","Großfeld",IF(F96="U15","Großfeld",IF(F96="U14","Großfeld",IF(F96="U12_1","55*40",IF(F96="U12_2","55x40",IF(F96="U11","55x40",IF(F96="U10","40x25",IF(F96="U9","40x25",IF(F96="U8","29x22",IF(F96="U7","25x20","16x15"))))))))))))</f>
        <v>Großfeld</v>
      </c>
      <c r="H96" s="57" t="str">
        <f>IF(F96="KM","7,32x2,44",IF(F96="U23","7,32x2,44",IF(F96="U16","7,32x2,44",IF(F96="U15","7,32x2,44",IF(F96="U14","7,32x2,44",IF(F96="U13","5x2",IF(F96="U12_1","7,32x2,44",IF(F96="U12_2","7,32x2,44",IF(F96="U11","5x2",IF(F96="U10","5x2
",IF(F96="U9","5x2","4 Minitore")))))))))))</f>
        <v>7,32x2,44</v>
      </c>
      <c r="I96" s="57" t="str">
        <f>IF(F96="KM","5",IF(F96="U23",5,IF(F96="U16","5",IF(F96="U15","5",IF(F96="U14","4",IF(F96="U13","4",IF(F96="U12_1","4",IF(F96="U12_2","4",IF(F96="U11","4",IF(F96="U10","4",IF(F96="U9","4","3")))))))))))</f>
        <v>5</v>
      </c>
      <c r="J96" s="57" t="str">
        <f>IF(F96="KM","Pleninger Stefan &amp; Matthias Wachter",IF(F96="U23","Egzon Gentiani &amp; Dinges Stefan",IF(F96="U16","Serdar Ekinci &amp; Gernot Sevelda &amp; Hubi Oberhofer",IF(F96="U15","",IF(F96="U14","Christian Neckamm  &amp; Thomas Pöschl",IF(F96="U13","",IF(F96="U12_1","Tobias Berger &amp; Mario Magler",IF(F96="U12_2","Tobias Berger &amp; Mario Magler",IF(F96="U11","Christian Wirth",IF(F96="U10","Thomas Brandl",IF(F96="U9","Tobias Berger &amp; Sebastian Putric",IF(F96="U8","Ömer Türkes &amp; Taha Mahsumi",IF(F96="U7","Alexander Zax &amp; Jürgen Joszt",IF(F96="FKG","Ronny Archam &amp; Florian Rac",IF(A96="Camp","Berger Dieter",IF(A96="Turnier","Berger Dieter","FEHLER"))))))))))))))))</f>
        <v>Serdar Ekinci &amp; Gernot Sevelda &amp; Hubi Oberhofer</v>
      </c>
      <c r="K96" s="57" t="str">
        <f>IF(F96="KM","+43 664 415 99 09 &amp; +43 699 119 70 312",IF(F96="U23","+43 670 18 59 080 &amp; +43 664 451 22 16",IF(F96="U16","+43 690 104 20 129 &amp; +43 676 401 09 13 &amp; +43 699 181 68 504",IF(F96="U15","",IF(F96="U14","+43 699 192 49 527 &amp; +43 677 613 55 114",IF(F96="U13","",IF(F96="U12_1","+43 66 199 13 52 &amp;  +43 664 762 09 93",IF(F96="U12_2","+43 66 199 13 52 &amp;  +43 664 762 09 93",IF(F96="U11","+43 660 423 93 83",IF(F96="U10","+43 676 377 16 30",IF(F96="U9","+43 66 199 13 52 &amp;  +43 660 914 92 36",IF(F96="U8","+43 676 661 62 26 &amp;  +43 681 208 11 599",IF(F96="U7","+43 664 458 88 84 &amp;  +43 660 549 82 40",IF(F96="FKG","+43 699 111 93 828 &amp;  +43 660 600 25 06",IF(A96="Camp","+43 660 77 39 500",IF(A96="Turnier","+43 660 77 39 500","FEHLER"))))))))))))))))</f>
        <v>+43 690 104 20 129 &amp; +43 676 401 09 13 &amp; +43 699 181 68 504</v>
      </c>
    </row>
    <row r="97" spans="1:11" ht="15.75" hidden="1" x14ac:dyDescent="0.25">
      <c r="A97" s="57" t="str">
        <f>'ICS2'!I49</f>
        <v>U16</v>
      </c>
      <c r="B97" s="103">
        <f>'ICS2'!B49</f>
        <v>46278</v>
      </c>
      <c r="C97" s="104">
        <f>'ICS2'!C49</f>
        <v>0</v>
      </c>
      <c r="D97" s="57" t="str">
        <f>'ICS2'!E49</f>
        <v>GOLS</v>
      </c>
      <c r="E97" s="57" t="str">
        <f>'ICS2'!H49</f>
        <v>GMWP</v>
      </c>
      <c r="F97" s="57" t="str">
        <f>A97</f>
        <v>U16</v>
      </c>
      <c r="G97" s="57" t="str">
        <f>IF(F97="KM","Großfeld",IF(F97="U23","Großfeld",IF(F97="U16","Großfeld",IF(F97="U15","Großfeld",IF(F97="U14","Großfeld",IF(F97="U12_1","55*40",IF(F97="U12_2","55x40",IF(F97="U11","55x40",IF(F97="U10","40x25",IF(F97="U9","40x25",IF(F97="U8","29x22",IF(F97="U7","25x20","16x15"))))))))))))</f>
        <v>Großfeld</v>
      </c>
      <c r="H97" s="57" t="str">
        <f>IF(F97="KM","7,32x2,44",IF(F97="U23","7,32x2,44",IF(F97="U16","7,32x2,44",IF(F97="U15","7,32x2,44",IF(F97="U14","7,32x2,44",IF(F97="U13","5x2",IF(F97="U12_1","7,32x2,44",IF(F97="U12_2","7,32x2,44",IF(F97="U11","5x2",IF(F97="U10","5x2
",IF(F97="U9","5x2","4 Minitore")))))))))))</f>
        <v>7,32x2,44</v>
      </c>
      <c r="I97" s="57" t="str">
        <f>IF(F97="KM","5",IF(F97="U23",5,IF(F97="U16","5",IF(F97="U15","5",IF(F97="U14","4",IF(F97="U13","4",IF(F97="U12_1","4",IF(F97="U12_2","4",IF(F97="U11","4",IF(F97="U10","4",IF(F97="U9","4","3")))))))))))</f>
        <v>5</v>
      </c>
      <c r="J97" s="57" t="str">
        <f>IF(F97="KM","Pleninger Stefan &amp; Matthias Wachter",IF(F97="U23","Egzon Gentiani &amp; Dinges Stefan",IF(F97="U16","Serdar Ekinci &amp; Gernot Sevelda &amp; Hubi Oberhofer",IF(F97="U15","",IF(F97="U14","Christian Neckamm  &amp; Thomas Pöschl",IF(F97="U13","",IF(F97="U12_1","Tobias Berger &amp; Mario Magler",IF(F97="U12_2","Tobias Berger &amp; Mario Magler",IF(F97="U11","Christian Wirth",IF(F97="U10","Thomas Brandl",IF(F97="U9","Tobias Berger &amp; Sebastian Putric",IF(F97="U8","Ömer Türkes &amp; Taha Mahsumi",IF(F97="U7","Alexander Zax &amp; Jürgen Joszt",IF(F97="FKG","Ronny Archam &amp; Florian Rac",IF(A97="Camp","Berger Dieter",IF(A97="Turnier","Berger Dieter","FEHLER"))))))))))))))))</f>
        <v>Serdar Ekinci &amp; Gernot Sevelda &amp; Hubi Oberhofer</v>
      </c>
      <c r="K97" s="57" t="str">
        <f>IF(F97="KM","+43 664 415 99 09 &amp; +43 699 119 70 312",IF(F97="U23","+43 670 18 59 080 &amp; +43 664 451 22 16",IF(F97="U16","+43 690 104 20 129 &amp; +43 676 401 09 13 &amp; +43 699 181 68 504",IF(F97="U15","",IF(F97="U14","+43 699 192 49 527 &amp; +43 677 613 55 114",IF(F97="U13","",IF(F97="U12_1","+43 66 199 13 52 &amp;  +43 664 762 09 93",IF(F97="U12_2","+43 66 199 13 52 &amp;  +43 664 762 09 93",IF(F97="U11","+43 660 423 93 83",IF(F97="U10","+43 676 377 16 30",IF(F97="U9","+43 66 199 13 52 &amp;  +43 660 914 92 36",IF(F97="U8","+43 676 661 62 26 &amp;  +43 681 208 11 599",IF(F97="U7","+43 664 458 88 84 &amp;  +43 660 549 82 40",IF(F97="FKG","+43 699 111 93 828 &amp;  +43 660 600 25 06",IF(A97="Camp","+43 660 77 39 500",IF(A97="Turnier","+43 660 77 39 500","FEHLER"))))))))))))))))</f>
        <v>+43 690 104 20 129 &amp; +43 676 401 09 13 &amp; +43 699 181 68 504</v>
      </c>
    </row>
    <row r="98" spans="1:11" s="123" customFormat="1" ht="15.75" x14ac:dyDescent="0.25">
      <c r="A98" s="120" t="str">
        <f>'ICS2'!I94</f>
        <v>U11</v>
      </c>
      <c r="B98" s="121">
        <f>'ICS2'!B94</f>
        <v>46312</v>
      </c>
      <c r="C98" s="122">
        <f>'ICS2'!C94</f>
        <v>0.54166666666666663</v>
      </c>
      <c r="D98" s="120" t="str">
        <f>'ICS2'!E94</f>
        <v>NEUFELD</v>
      </c>
      <c r="E98" s="120" t="str">
        <f>'ICS2'!H94</f>
        <v>Leithaprodersdorf</v>
      </c>
      <c r="F98" s="120" t="str">
        <f>A98</f>
        <v>U11</v>
      </c>
      <c r="G98" s="120" t="str">
        <f>IF(F98="KM","Großfeld",IF(F98="U23","Großfeld",IF(F98="U16","Großfeld",IF(F98="U15","Großfeld",IF(F98="U14","Großfeld",IF(F98="U12_1","55*40",IF(F98="U12_2","55x40",IF(F98="U11","55x40",IF(F98="U10","40x25",IF(F98="U9","40x25",IF(F98="U8","29x22",IF(F98="U7","25x20","16x15"))))))))))))</f>
        <v>55x40</v>
      </c>
      <c r="H98" s="120" t="str">
        <f>IF(F98="KM","7,32x2,44",IF(F98="U23","7,32x2,44",IF(F98="U16","7,32x2,44",IF(F98="U15","7,32x2,44",IF(F98="U14","7,32x2,44",IF(F98="U13","5x2",IF(F98="U12_1","7,32x2,44",IF(F98="U12_2","7,32x2,44",IF(F98="U11","5x2",IF(F98="U10","5x2
",IF(F98="U9","5x2","4 Minitore")))))))))))</f>
        <v>5x2</v>
      </c>
      <c r="I98" s="120" t="str">
        <f>IF(F98="KM","5",IF(F98="U23",5,IF(F98="U16","5",IF(F98="U15","5",IF(F98="U14","4",IF(F98="U13","4",IF(F98="U12_1","4",IF(F98="U12_2","4",IF(F98="U11","4",IF(F98="U10","4",IF(F98="U9","4","3")))))))))))</f>
        <v>4</v>
      </c>
      <c r="J98" s="120" t="str">
        <f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75" x14ac:dyDescent="0.25">
      <c r="A99" s="120" t="str">
        <f>'ICS2'!I84</f>
        <v>U12_2</v>
      </c>
      <c r="B99" s="121">
        <f>'ICS2'!B84</f>
        <v>46312</v>
      </c>
      <c r="C99" s="122">
        <f>'ICS2'!C84</f>
        <v>0.625</v>
      </c>
      <c r="D99" s="120" t="str">
        <f>'ICS2'!E84</f>
        <v>NEUFELD</v>
      </c>
      <c r="E99" s="120" t="str">
        <f>'ICS2'!H84</f>
        <v>St. Georgen/Eisenstadt</v>
      </c>
      <c r="F99" s="120" t="str">
        <f>A99</f>
        <v>U12_2</v>
      </c>
      <c r="G99" s="120" t="str">
        <f>IF(F99="KM","Großfeld",IF(F99="U23","Großfeld",IF(F99="U16","Großfeld",IF(F99="U15","Großfeld",IF(F99="U14","Großfeld",IF(F99="U12_1","55*40",IF(F99="U12_2","55x40",IF(F99="U11","55x40",IF(F99="U10","40x25",IF(F99="U9","40x25",IF(F99="U8","29x22",IF(F99="U7","25x20","16x15"))))))))))))</f>
        <v>55x40</v>
      </c>
      <c r="H99" s="120" t="str">
        <f>IF(F99="KM","7,32x2,44",IF(F99="U23","7,32x2,44",IF(F99="U16","7,32x2,44",IF(F99="U15","7,32x2,44",IF(F99="U14","7,32x2,44",IF(F99="U13","5x2",IF(F99="U12_1","7,32x2,44",IF(F99="U12_2","7,32x2,44",IF(F99="U11","5x2",IF(F99="U10","5x2
",IF(F99="U9","5x2","4 Minitore")))))))))))</f>
        <v>7,32x2,44</v>
      </c>
      <c r="I99" s="120" t="str">
        <f>IF(F99="KM","5",IF(F99="U23",5,IF(F99="U16","5",IF(F99="U15","5",IF(F99="U14","4",IF(F99="U13","4",IF(F99="U12_1","4",IF(F99="U12_2","4",IF(F99="U11","4",IF(F99="U10","4",IF(F99="U9","4","3")))))))))))</f>
        <v>4</v>
      </c>
      <c r="J99" s="120" t="str">
        <f>IF(F99="KM","Pleninger Stefan &amp; Matthias Wachter",IF(F99="U23","Egzon Gentiani &amp; Dinges Stefan",IF(F99="U16","Serdar Ekinci &amp; Gernot Sevelda &amp; Hubi Oberhofer",IF(F99="U15","",IF(F99="U14","Christian Neckamm  &amp; Thomas Pöschl",IF(F99="U13","",IF(F99="U12_1","Tobias Berger &amp; Mario Magler",IF(F99="U12_2","Tobias Berger &amp; Mario Magler",IF(F99="U11","Christian Wirth",IF(F99="U10","Thomas Brandl",IF(F99="U9","Tobias Berger &amp; Sebastian Putric",IF(F99="U8","Ömer Türkes &amp; Taha Mahsumi",IF(F99="U7","Alexander Zax &amp; Jürgen Joszt",IF(F99="FKG","Ronny Archam &amp; Florian Rac",IF(A99="Camp","Berger Dieter",IF(A99="Turnier","Berger Dieter","FEHLER"))))))))))))))))</f>
        <v>Tobias Berger &amp; Mario Magler</v>
      </c>
      <c r="K99" s="120" t="str">
        <f>IF(F99="KM","+43 664 415 99 09 &amp; +43 699 119 70 312",IF(F99="U23","+43 670 18 59 080 &amp; +43 664 451 22 16",IF(F99="U16","+43 690 104 20 129 &amp; +43 676 401 09 13 &amp; +43 699 181 68 504",IF(F99="U15","",IF(F99="U14","+43 699 192 49 527 &amp; +43 677 613 55 114",IF(F99="U13","",IF(F99="U12_1","+43 66 199 13 52 &amp;  +43 664 762 09 93",IF(F99="U12_2","+43 66 199 13 52 &amp;  +43 664 762 09 93",IF(F99="U11","+43 660 423 93 83",IF(F99="U10","+43 676 377 16 30",IF(F99="U9","+43 66 199 13 52 &amp;  +43 660 914 92 36",IF(F99="U8","+43 676 661 62 26 &amp;  +43 681 208 11 599",IF(F99="U7","+43 664 458 88 84 &amp;  +43 660 549 82 40",IF(F99="FKG","+43 699 111 93 828 &amp;  +43 660 600 25 06",IF(A99="Camp","+43 660 77 39 500",IF(A99="Turnier","+43 660 77 39 500","FEHLER"))))))))))))))))</f>
        <v>+43 66 199 13 52 &amp;  +43 664 762 09 93</v>
      </c>
    </row>
    <row r="100" spans="1:11" ht="15.75" x14ac:dyDescent="0.25">
      <c r="A100" s="120" t="str">
        <f>'ICS2'!I74</f>
        <v>U12_1</v>
      </c>
      <c r="B100" s="121">
        <f>'ICS2'!B74</f>
        <v>46312</v>
      </c>
      <c r="C100" s="122">
        <f>'ICS2'!C74</f>
        <v>0.70833333333333337</v>
      </c>
      <c r="D100" s="120" t="str">
        <f>'ICS2'!E74</f>
        <v>NEUFELD</v>
      </c>
      <c r="E100" s="120" t="str">
        <f>'ICS2'!H74</f>
        <v>SPG Klimpuh Juniors</v>
      </c>
      <c r="F100" s="120" t="str">
        <f>A100</f>
        <v>U12_1</v>
      </c>
      <c r="G100" s="120" t="str">
        <f>IF(F100="KM","Großfeld",IF(F100="U23","Großfeld",IF(F100="U16","Großfeld",IF(F100="U15","Großfeld",IF(F100="U14","Großfeld",IF(F100="U12_1","55*40",IF(F100="U12_2","55x40",IF(F100="U11","55x40",IF(F100="U10","40x25",IF(F100="U9","40x25",IF(F100="U8","29x22",IF(F100="U7","25x20","16x15"))))))))))))</f>
        <v>55*40</v>
      </c>
      <c r="H100" s="120" t="str">
        <f>IF(F100="KM","7,32x2,44",IF(F100="U23","7,32x2,44",IF(F100="U16","7,32x2,44",IF(F100="U15","7,32x2,44",IF(F100="U14","7,32x2,44",IF(F100="U13","5x2",IF(F100="U12_1","7,32x2,44",IF(F100="U12_2","7,32x2,44",IF(F100="U11","5x2",IF(F100="U10","5x2
",IF(F100="U9","5x2","4 Minitore")))))))))))</f>
        <v>7,32x2,44</v>
      </c>
      <c r="I100" s="120" t="str">
        <f>IF(F100="KM","5",IF(F100="U23",5,IF(F100="U16","5",IF(F100="U15","5",IF(F100="U14","4",IF(F100="U13","4",IF(F100="U12_1","4",IF(F100="U12_2","4",IF(F100="U11","4",IF(F100="U10","4",IF(F100="U9","4","3")))))))))))</f>
        <v>4</v>
      </c>
      <c r="J100" s="120" t="str">
        <f>IF(F100="KM","Pleninger Stefan &amp; Matthias Wachter",IF(F100="U23","Egzon Gentiani &amp; Dinges Stefan",IF(F100="U16","Serdar Ekinci &amp; Gernot Sevelda &amp; Hubi Oberhofer",IF(F100="U15","",IF(F100="U14","Christian Neckamm  &amp; Thomas Pöschl",IF(F100="U13","",IF(F100="U12_1","Tobias Berger &amp; Mario Magler",IF(F100="U12_2","Tobias Berger &amp; Mario Magler",IF(F100="U11","Christian Wirth",IF(F100="U10","Thomas Brandl",IF(F100="U9","Tobias Berger &amp; Sebastian Putric",IF(F100="U8","Ömer Türkes &amp; Taha Mahsumi",IF(F100="U7","Alexander Zax &amp; Jürgen Joszt",IF(F100="FKG","Ronny Archam &amp; Florian Rac",IF(A100="Camp","Berger Dieter",IF(A100="Turnier","Berger Dieter","FEHLER"))))))))))))))))</f>
        <v>Tobias Berger &amp; Mario Magler</v>
      </c>
      <c r="K100" s="120" t="str">
        <f>IF(F100="KM","+43 664 415 99 09 &amp; +43 699 119 70 312",IF(F100="U23","+43 670 18 59 080 &amp; +43 664 451 22 16",IF(F100="U16","+43 690 104 20 129 &amp; +43 676 401 09 13 &amp; +43 699 181 68 504",IF(F100="U15","",IF(F100="U14","+43 699 192 49 527 &amp; +43 677 613 55 114",IF(F100="U13","",IF(F100="U12_1","+43 66 199 13 52 &amp;  +43 664 762 09 93",IF(F100="U12_2","+43 66 199 13 52 &amp;  +43 664 762 09 93",IF(F100="U11","+43 660 423 93 83",IF(F100="U10","+43 676 377 16 30",IF(F100="U9","+43 66 199 13 52 &amp;  +43 660 914 92 36",IF(F100="U8","+43 676 661 62 26 &amp;  +43 681 208 11 599",IF(F100="U7","+43 664 458 88 84 &amp;  +43 660 549 82 40",IF(F100="FKG","+43 699 111 93 828 &amp;  +43 660 600 25 06",IF(A100="Camp","+43 660 77 39 500",IF(A100="Turnier","+43 660 77 39 500","FEHLER"))))))))))))))))</f>
        <v>+43 66 199 13 52 &amp;  +43 664 762 09 93</v>
      </c>
    </row>
    <row r="101" spans="1:11" ht="15.75" x14ac:dyDescent="0.25">
      <c r="A101" s="117" t="str">
        <f>'ICS2'!I85</f>
        <v>U12_2</v>
      </c>
      <c r="B101" s="118">
        <f>'ICS2'!B85</f>
        <v>46318</v>
      </c>
      <c r="C101" s="119">
        <f>'ICS2'!C85</f>
        <v>0.70833333333333337</v>
      </c>
      <c r="D101" s="117" t="str">
        <f>'ICS2'!E85</f>
        <v>STEINBRUNN</v>
      </c>
      <c r="E101" s="117" t="str">
        <f>'ICS2'!H85</f>
        <v>Großhöflein</v>
      </c>
      <c r="F101" s="117" t="str">
        <f>A101</f>
        <v>U12_2</v>
      </c>
      <c r="G101" s="117" t="str">
        <f>IF(F101="KM","Großfeld",IF(F101="U23","Großfeld",IF(F101="U16","Großfeld",IF(F101="U15","Großfeld",IF(F101="U14","Großfeld",IF(F101="U12_1","55*40",IF(F101="U12_2","55x40",IF(F101="U11","55x40",IF(F101="U10","40x25",IF(F101="U9","40x25",IF(F101="U8","29x22",IF(F101="U7","25x20","16x15"))))))))))))</f>
        <v>55x40</v>
      </c>
      <c r="H101" s="117" t="str">
        <f>IF(F101="KM","7,32x2,44",IF(F101="U23","7,32x2,44",IF(F101="U16","7,32x2,44",IF(F101="U15","7,32x2,44",IF(F101="U14","7,32x2,44",IF(F101="U13","5x2",IF(F101="U12_1","7,32x2,44",IF(F101="U12_2","7,32x2,44",IF(F101="U11","5x2",IF(F101="U10","5x2
",IF(F101="U9","5x2","4 Minitore")))))))))))</f>
        <v>7,32x2,44</v>
      </c>
      <c r="I101" s="117" t="str">
        <f>IF(F101="KM","5",IF(F101="U23",5,IF(F101="U16","5",IF(F101="U15","5",IF(F101="U14","4",IF(F101="U13","4",IF(F101="U12_1","4",IF(F101="U12_2","4",IF(F101="U11","4",IF(F101="U10","4",IF(F101="U9","4","3")))))))))))</f>
        <v>4</v>
      </c>
      <c r="J101" s="117" t="str">
        <f>IF(F101="KM","Pleninger Stefan &amp; Matthias Wachter",IF(F101="U23","Egzon Gentiani &amp; Dinges Stefan",IF(F101="U16","Serdar Ekinci &amp; Gernot Sevelda &amp; Hubi Oberhofer",IF(F101="U15","",IF(F101="U14","Christian Neckamm  &amp; Thomas Pöschl",IF(F101="U13","",IF(F101="U12_1","Tobias Berger &amp; Mario Magler",IF(F101="U12_2","Tobias Berger &amp; Mario Magler",IF(F101="U11","Christian Wirth",IF(F101="U10","Thomas Brandl",IF(F101="U9","Tobias Berger &amp; Sebastian Putric",IF(F101="U8","Ömer Türkes &amp; Taha Mahsumi",IF(F101="U7","Alexander Zax &amp; Jürgen Joszt",IF(F101="FKG","Ronny Archam &amp; Florian Rac",IF(A101="Camp","Berger Dieter",IF(A101="Turnier","Berger Dieter","FEHLER"))))))))))))))))</f>
        <v>Tobias Berger &amp; Mario Magler</v>
      </c>
      <c r="K101" s="117" t="str">
        <f>IF(F101="KM","+43 664 415 99 09 &amp; +43 699 119 70 312",IF(F101="U23","+43 670 18 59 080 &amp; +43 664 451 22 16",IF(F101="U16","+43 690 104 20 129 &amp; +43 676 401 09 13 &amp; +43 699 181 68 504",IF(F101="U15","",IF(F101="U14","+43 699 192 49 527 &amp; +43 677 613 55 114",IF(F101="U13","",IF(F101="U12_1","+43 66 199 13 52 &amp;  +43 664 762 09 93",IF(F101="U12_2","+43 66 199 13 52 &amp;  +43 664 762 09 93",IF(F101="U11","+43 660 423 93 83",IF(F101="U10","+43 676 377 16 30",IF(F101="U9","+43 66 199 13 52 &amp;  +43 660 914 92 36",IF(F101="U8","+43 676 661 62 26 &amp;  +43 681 208 11 599",IF(F101="U7","+43 664 458 88 84 &amp;  +43 660 549 82 40",IF(F101="FKG","+43 699 111 93 828 &amp;  +43 660 600 25 06",IF(A101="Camp","+43 660 77 39 500",IF(A101="Turnier","+43 660 77 39 500","FEHLER"))))))))))))))))</f>
        <v>+43 66 199 13 52 &amp;  +43 664 762 09 93</v>
      </c>
    </row>
    <row r="102" spans="1:11" ht="15.75" hidden="1" x14ac:dyDescent="0.25">
      <c r="A102" s="57" t="str">
        <f>'ICS2'!I54</f>
        <v>U16</v>
      </c>
      <c r="B102" s="103">
        <f>'ICS2'!B54</f>
        <v>46313</v>
      </c>
      <c r="C102" s="104">
        <f>'ICS2'!C54</f>
        <v>0</v>
      </c>
      <c r="D102" s="57" t="str">
        <f>'ICS2'!E54</f>
        <v>ST. GEORGEN</v>
      </c>
      <c r="E102" s="57" t="str">
        <f>'ICS2'!H54</f>
        <v>St. Georgen/Eisenstadt</v>
      </c>
      <c r="F102" s="57" t="str">
        <f>A102</f>
        <v>U16</v>
      </c>
      <c r="G102" s="57" t="str">
        <f>IF(F102="KM","Großfeld",IF(F102="U23","Großfeld",IF(F102="U16","Großfeld",IF(F102="U15","Großfeld",IF(F102="U14","Großfeld",IF(F102="U12_1","55*40",IF(F102="U12_2","55x40",IF(F102="U11","55x40",IF(F102="U10","40x25",IF(F102="U9","40x25",IF(F102="U8","29x22",IF(F102="U7","25x20","16x15"))))))))))))</f>
        <v>Großfeld</v>
      </c>
      <c r="H102" s="57" t="str">
        <f>IF(F102="KM","7,32x2,44",IF(F102="U23","7,32x2,44",IF(F102="U16","7,32x2,44",IF(F102="U15","7,32x2,44",IF(F102="U14","7,32x2,44",IF(F102="U13","5x2",IF(F102="U12_1","7,32x2,44",IF(F102="U12_2","7,32x2,44",IF(F102="U11","5x2",IF(F102="U10","5x2
",IF(F102="U9","5x2","4 Minitore")))))))))))</f>
        <v>7,32x2,44</v>
      </c>
      <c r="I102" s="57" t="str">
        <f>IF(F102="KM","5",IF(F102="U23",5,IF(F102="U16","5",IF(F102="U15","5",IF(F102="U14","4",IF(F102="U13","4",IF(F102="U12_1","4",IF(F102="U12_2","4",IF(F102="U11","4",IF(F102="U10","4",IF(F102="U9","4","3")))))))))))</f>
        <v>5</v>
      </c>
      <c r="J102" s="57" t="str">
        <f>IF(F102="KM","Pleninger Stefan &amp; Matthias Wachter",IF(F102="U23","Egzon Gentiani &amp; Dinges Stefan",IF(F102="U16","Serdar Ekinci &amp; Gernot Sevelda &amp; Hubi Oberhofer",IF(F102="U15","",IF(F102="U14","Christian Neckamm  &amp; Thomas Pöschl",IF(F102="U13","",IF(F102="U12_1","Tobias Berger &amp; Mario Magler",IF(F102="U12_2","Tobias Berger &amp; Mario Magler",IF(F102="U11","Christian Wirth",IF(F102="U10","Thomas Brandl",IF(F102="U9","Tobias Berger &amp; Sebastian Putric",IF(F102="U8","Ömer Türkes &amp; Taha Mahsumi",IF(F102="U7","Alexander Zax &amp; Jürgen Joszt",IF(F102="FKG","Ronny Archam &amp; Florian Rac",IF(A102="Camp","Berger Dieter",IF(A102="Turnier","Berger Dieter","FEHLER"))))))))))))))))</f>
        <v>Serdar Ekinci &amp; Gernot Sevelda &amp; Hubi Oberhofer</v>
      </c>
      <c r="K102" s="57" t="str">
        <f>IF(F102="KM","+43 664 415 99 09 &amp; +43 699 119 70 312",IF(F102="U23","+43 670 18 59 080 &amp; +43 664 451 22 16",IF(F102="U16","+43 690 104 20 129 &amp; +43 676 401 09 13 &amp; +43 699 181 68 504",IF(F102="U15","",IF(F102="U14","+43 699 192 49 527 &amp; +43 677 613 55 114",IF(F102="U13","",IF(F102="U12_1","+43 66 199 13 52 &amp;  +43 664 762 09 93",IF(F102="U12_2","+43 66 199 13 52 &amp;  +43 664 762 09 93",IF(F102="U11","+43 660 423 93 83",IF(F102="U10","+43 676 377 16 30",IF(F102="U9","+43 66 199 13 52 &amp;  +43 660 914 92 36",IF(F102="U8","+43 676 661 62 26 &amp;  +43 681 208 11 599",IF(F102="U7","+43 664 458 88 84 &amp;  +43 660 549 82 40",IF(F102="FKG","+43 699 111 93 828 &amp;  +43 660 600 25 06",IF(A102="Camp","+43 660 77 39 500",IF(A102="Turnier","+43 660 77 39 500","FEHLER"))))))))))))))))</f>
        <v>+43 690 104 20 129 &amp; +43 676 401 09 13 &amp; +43 699 181 68 504</v>
      </c>
    </row>
    <row r="103" spans="1:11" ht="15.75" x14ac:dyDescent="0.25">
      <c r="A103" s="120" t="str">
        <f>'ICS2'!I45</f>
        <v>U23</v>
      </c>
      <c r="B103" s="121">
        <f>'ICS2'!B45</f>
        <v>46319</v>
      </c>
      <c r="C103" s="122">
        <f>'ICS2'!C45</f>
        <v>0.625</v>
      </c>
      <c r="D103" s="120" t="str">
        <f>'ICS2'!E45</f>
        <v>NEUFELD</v>
      </c>
      <c r="E103" s="120" t="str">
        <f>'ICS2'!H45</f>
        <v>Gols</v>
      </c>
      <c r="F103" s="120" t="str">
        <f>A103</f>
        <v>U23</v>
      </c>
      <c r="G103" s="120" t="str">
        <f>IF(F103="KM","Großfeld",IF(F103="U23","Großfeld",IF(F103="U16","Großfeld",IF(F103="U15","Großfeld",IF(F103="U14","Großfeld",IF(F103="U12_1","55*40",IF(F103="U12_2","55x40",IF(F103="U11","55x40",IF(F103="U10","40x25",IF(F103="U9","40x25",IF(F103="U8","29x22",IF(F103="U7","25x20","16x15"))))))))))))</f>
        <v>Großfeld</v>
      </c>
      <c r="H103" s="120" t="str">
        <f>IF(F103="KM","7,32x2,44",IF(F103="U23","7,32x2,44",IF(F103="U16","7,32x2,44",IF(F103="U15","7,32x2,44",IF(F103="U14","7,32x2,44",IF(F103="U13","5x2",IF(F103="U12_1","7,32x2,44",IF(F103="U12_2","7,32x2,44",IF(F103="U11","5x2",IF(F103="U10","5x2
",IF(F103="U9","5x2","4 Minitore")))))))))))</f>
        <v>7,32x2,44</v>
      </c>
      <c r="I103" s="120">
        <f>IF(F103="KM","5",IF(F103="U23",5,IF(F103="U16","5",IF(F103="U15","5",IF(F103="U14","4",IF(F103="U13","4",IF(F103="U12_1","4",IF(F103="U12_2","4",IF(F103="U11","4",IF(F103="U10","4",IF(F103="U9","4","3")))))))))))</f>
        <v>5</v>
      </c>
      <c r="J103" s="120" t="str">
        <f>IF(F103="KM","Pleninger Stefan &amp; Matthias Wachter",IF(F103="U23","Egzon Gentiani &amp; Dinges Stefan",IF(F103="U16","Serdar Ekinci &amp; Gernot Sevelda &amp; Hubi Oberhofer",IF(F103="U15","",IF(F103="U14","Christian Neckamm  &amp; Thomas Pöschl",IF(F103="U13","",IF(F103="U12_1","Tobias Berger &amp; Mario Magler",IF(F103="U12_2","Tobias Berger &amp; Mario Magler",IF(F103="U11","Christian Wirth",IF(F103="U10","Thomas Brandl",IF(F103="U9","Tobias Berger &amp; Sebastian Putric",IF(F103="U8","Ömer Türkes &amp; Taha Mahsumi",IF(F103="U7","Alexander Zax &amp; Jürgen Joszt",IF(F103="FKG","Ronny Archam &amp; Florian Rac",IF(A103="Camp","Berger Dieter",IF(A103="Turnier","Berger Dieter","FEHLER"))))))))))))))))</f>
        <v>Egzon Gentiani &amp; Dinges Stefan</v>
      </c>
      <c r="K103" s="120" t="str">
        <f>IF(F103="KM","+43 664 415 99 09 &amp; +43 699 119 70 312",IF(F103="U23","+43 670 18 59 080 &amp; +43 664 451 22 16",IF(F103="U16","+43 690 104 20 129 &amp; +43 676 401 09 13 &amp; +43 699 181 68 504",IF(F103="U15","",IF(F103="U14","+43 699 192 49 527 &amp; +43 677 613 55 114",IF(F103="U13","",IF(F103="U12_1","+43 66 199 13 52 &amp;  +43 664 762 09 93",IF(F103="U12_2","+43 66 199 13 52 &amp;  +43 664 762 09 93",IF(F103="U11","+43 660 423 93 83",IF(F103="U10","+43 676 377 16 30",IF(F103="U9","+43 66 199 13 52 &amp;  +43 660 914 92 36",IF(F103="U8","+43 676 661 62 26 &amp;  +43 681 208 11 599",IF(F103="U7","+43 664 458 88 84 &amp;  +43 660 549 82 40",IF(F103="FKG","+43 699 111 93 828 &amp;  +43 660 600 25 06",IF(A103="Camp","+43 660 77 39 500",IF(A103="Turnier","+43 660 77 39 500","FEHLER"))))))))))))))))</f>
        <v>+43 670 18 59 080 &amp; +43 664 451 22 16</v>
      </c>
    </row>
    <row r="104" spans="1:11" ht="15.75" hidden="1" x14ac:dyDescent="0.25">
      <c r="A104" s="57" t="str">
        <f>'ICS2'!I60</f>
        <v>U14</v>
      </c>
      <c r="B104" s="103">
        <f>'ICS2'!B60</f>
        <v>46278</v>
      </c>
      <c r="C104" s="104">
        <f>'ICS2'!C60</f>
        <v>0.625</v>
      </c>
      <c r="D104" s="57" t="str">
        <f>'ICS2'!E60</f>
        <v>NEUDÖRFL</v>
      </c>
      <c r="E104" s="57" t="str">
        <f>'ICS2'!H60</f>
        <v>Neudörfl</v>
      </c>
      <c r="F104" s="57" t="str">
        <f>A104</f>
        <v>U14</v>
      </c>
      <c r="G104" s="57" t="str">
        <f>IF(F104="KM","Großfeld",IF(F104="U23","Großfeld",IF(F104="U16","Großfeld",IF(F104="U15","Großfeld",IF(F104="U14","Großfeld",IF(F104="U12_1","55*40",IF(F104="U12_2","55x40",IF(F104="U11","55x40",IF(F104="U10","40x25",IF(F104="U9","40x25",IF(F104="U8","29x22",IF(F104="U7","25x20","16x15"))))))))))))</f>
        <v>Großfeld</v>
      </c>
      <c r="H104" s="57" t="str">
        <f>IF(F104="KM","7,32x2,44",IF(F104="U23","7,32x2,44",IF(F104="U16","7,32x2,44",IF(F104="U15","7,32x2,44",IF(F104="U14","7,32x2,44",IF(F104="U13","5x2",IF(F104="U12_1","7,32x2,44",IF(F104="U12_2","7,32x2,44",IF(F104="U11","5x2",IF(F104="U10","5x2
",IF(F104="U9","5x2","4 Minitore")))))))))))</f>
        <v>7,32x2,44</v>
      </c>
      <c r="I104" s="57" t="str">
        <f>IF(F104="KM","5",IF(F104="U23",5,IF(F104="U16","5",IF(F104="U15","5",IF(F104="U14","4",IF(F104="U13","4",IF(F104="U12_1","4",IF(F104="U12_2","4",IF(F104="U11","4",IF(F104="U10","4",IF(F104="U9","4","3")))))))))))</f>
        <v>4</v>
      </c>
      <c r="J104" s="57" t="str">
        <f>IF(F104="KM","Pleninger Stefan &amp; Matthias Wachter",IF(F104="U23","Egzon Gentiani &amp; Dinges Stefan",IF(F104="U16","Serdar Ekinci &amp; Gernot Sevelda &amp; Hubi Oberhofer",IF(F104="U15","",IF(F104="U14","Christian Neckamm  &amp; Thomas Pöschl",IF(F104="U13","",IF(F104="U12_1","Tobias Berger &amp; Mario Magler",IF(F104="U12_2","Tobias Berger &amp; Mario Magler",IF(F104="U11","Christian Wirth",IF(F104="U10","Thomas Brandl",IF(F104="U9","Tobias Berger &amp; Sebastian Putric",IF(F104="U8","Ömer Türkes &amp; Taha Mahsumi",IF(F104="U7","Alexander Zax &amp; Jürgen Joszt",IF(F104="FKG","Ronny Archam &amp; Florian Rac",IF(A104="Camp","Berger Dieter",IF(A104="Turnier","Berger Dieter","FEHLER"))))))))))))))))</f>
        <v>Christian Neckamm  &amp; Thomas Pöschl</v>
      </c>
      <c r="K104" s="57" t="str">
        <f>IF(F104="KM","+43 664 415 99 09 &amp; +43 699 119 70 312",IF(F104="U23","+43 670 18 59 080 &amp; +43 664 451 22 16",IF(F104="U16","+43 690 104 20 129 &amp; +43 676 401 09 13 &amp; +43 699 181 68 504",IF(F104="U15","",IF(F104="U14","+43 699 192 49 527 &amp; +43 677 613 55 114",IF(F104="U13","",IF(F104="U12_1","+43 66 199 13 52 &amp;  +43 664 762 09 93",IF(F104="U12_2","+43 66 199 13 52 &amp;  +43 664 762 09 93",IF(F104="U11","+43 660 423 93 83",IF(F104="U10","+43 676 377 16 30",IF(F104="U9","+43 66 199 13 52 &amp;  +43 660 914 92 36",IF(F104="U8","+43 676 661 62 26 &amp;  +43 681 208 11 599",IF(F104="U7","+43 664 458 88 84 &amp;  +43 660 549 82 40",IF(F104="FKG","+43 699 111 93 828 &amp;  +43 660 600 25 06",IF(A104="Camp","+43 660 77 39 500",IF(A104="Turnier","+43 660 77 39 500","FEHLER"))))))))))))))))</f>
        <v>+43 699 192 49 527 &amp; +43 677 613 55 114</v>
      </c>
    </row>
    <row r="105" spans="1:11" ht="15.75" x14ac:dyDescent="0.25">
      <c r="A105" s="120" t="str">
        <f>'ICS2'!I32</f>
        <v>KM</v>
      </c>
      <c r="B105" s="121">
        <f>'ICS2'!B32</f>
        <v>46319</v>
      </c>
      <c r="C105" s="122">
        <f>'ICS2'!C32</f>
        <v>0.70833333333333337</v>
      </c>
      <c r="D105" s="120" t="str">
        <f>'ICS2'!E32</f>
        <v>NEUFELD</v>
      </c>
      <c r="E105" s="120" t="str">
        <f>'ICS2'!H32</f>
        <v>Gols</v>
      </c>
      <c r="F105" s="120" t="str">
        <f>A105</f>
        <v>KM</v>
      </c>
      <c r="G105" s="120" t="str">
        <f>IF(F105="KM","Großfeld",IF(F105="U23","Großfeld",IF(F105="U16","Großfeld",IF(F105="U15","Großfeld",IF(F105="U14","Großfeld",IF(F105="U12_1","55*40",IF(F105="U12_2","55x40",IF(F105="U11","55x40",IF(F105="U10","40x25",IF(F105="U9","40x25",IF(F105="U8","29x22",IF(F105="U7","25x20","16x15"))))))))))))</f>
        <v>Großfeld</v>
      </c>
      <c r="H105" s="120" t="str">
        <f>IF(F105="KM","7,32x2,44",IF(F105="U23","7,32x2,44",IF(F105="U16","7,32x2,44",IF(F105="U15","7,32x2,44",IF(F105="U14","7,32x2,44",IF(F105="U13","5x2",IF(F105="U12_1","7,32x2,44",IF(F105="U12_2","7,32x2,44",IF(F105="U11","5x2",IF(F105="U10","5x2
",IF(F105="U9","5x2","4 Minitore")))))))))))</f>
        <v>7,32x2,44</v>
      </c>
      <c r="I105" s="120" t="str">
        <f>IF(F105="KM","5",IF(F105="U23",5,IF(F105="U16","5",IF(F105="U15","5",IF(F105="U14","4",IF(F105="U13","4",IF(F105="U12_1","4",IF(F105="U12_2","4",IF(F105="U11","4",IF(F105="U10","4",IF(F105="U9","4","3")))))))))))</f>
        <v>5</v>
      </c>
      <c r="J105" s="120" t="str">
        <f>IF(F105="KM","Pleninger Stefan &amp; Matthias Wachter",IF(F105="U23","Egzon Gentiani &amp; Dinges Stefan",IF(F105="U16","Serdar Ekinci &amp; Gernot Sevelda &amp; Hubi Oberhofer",IF(F105="U15","",IF(F105="U14","Christian Neckamm  &amp; Thomas Pöschl",IF(F105="U13","",IF(F105="U12_1","Tobias Berger &amp; Mario Magler",IF(F105="U12_2","Tobias Berger &amp; Mario Magler",IF(F105="U11","Christian Wirth",IF(F105="U10","Thomas Brandl",IF(F105="U9","Tobias Berger &amp; Sebastian Putric",IF(F105="U8","Ömer Türkes &amp; Taha Mahsumi",IF(F105="U7","Alexander Zax &amp; Jürgen Joszt",IF(F105="FKG","Ronny Archam &amp; Florian Rac",IF(A105="Camp","Berger Dieter",IF(A105="Turnier","Berger Dieter","FEHLER"))))))))))))))))</f>
        <v>Pleninger Stefan &amp; Matthias Wachter</v>
      </c>
      <c r="K105" s="120" t="str">
        <f>IF(F105="KM","+43 664 415 99 09 &amp; +43 699 119 70 312",IF(F105="U23","+43 670 18 59 080 &amp; +43 664 451 22 16",IF(F105="U16","+43 690 104 20 129 &amp; +43 676 401 09 13 &amp; +43 699 181 68 504",IF(F105="U15","",IF(F105="U14","+43 699 192 49 527 &amp; +43 677 613 55 114",IF(F105="U13","",IF(F105="U12_1","+43 66 199 13 52 &amp;  +43 664 762 09 93",IF(F105="U12_2","+43 66 199 13 52 &amp;  +43 664 762 09 93",IF(F105="U11","+43 660 423 93 83",IF(F105="U10","+43 676 377 16 30",IF(F105="U9","+43 66 199 13 52 &amp;  +43 660 914 92 36",IF(F105="U8","+43 676 661 62 26 &amp;  +43 681 208 11 599",IF(F105="U7","+43 664 458 88 84 &amp;  +43 660 549 82 40",IF(F105="FKG","+43 699 111 93 828 &amp;  +43 660 600 25 06",IF(A105="Camp","+43 660 77 39 500",IF(A105="Turnier","+43 660 77 39 500","FEHLER"))))))))))))))))</f>
        <v>+43 664 415 99 09 &amp; +43 699 119 70 312</v>
      </c>
    </row>
    <row r="106" spans="1:11" ht="15.75" hidden="1" x14ac:dyDescent="0.25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>A106</f>
        <v>U23</v>
      </c>
      <c r="G106" s="57" t="str">
        <f>IF(F106="KM","Großfeld",IF(F106="U23","Großfeld",IF(F106="U16","Großfeld",IF(F106="U15","Großfeld",IF(F106="U14","Großfeld",IF(F106="U12_1","55*40",IF(F106="U12_2","55x40",IF(F106="U11","55x40",IF(F106="U10","40x25",IF(F106="U9","40x25",IF(F106="U8","29x22",IF(F106="U7","25x20","16x15"))))))))))))</f>
        <v>Großfeld</v>
      </c>
      <c r="H106" s="57" t="str">
        <f>IF(F106="KM","7,32x2,44",IF(F106="U23","7,32x2,44",IF(F106="U16","7,32x2,44",IF(F106="U15","7,32x2,44",IF(F106="U14","7,32x2,44",IF(F106="U13","5x2",IF(F106="U12_1","7,32x2,44",IF(F106="U12_2","7,32x2,44",IF(F106="U11","5x2",IF(F106="U10","5x2
",IF(F106="U9","5x2","4 Minitore")))))))))))</f>
        <v>7,32x2,44</v>
      </c>
      <c r="I106" s="57">
        <f>IF(F106="KM","5",IF(F106="U23",5,IF(F106="U16","5",IF(F106="U15","5",IF(F106="U14","4",IF(F106="U13","4",IF(F106="U12_1","4",IF(F106="U12_2","4",IF(F106="U11","4",IF(F106="U10","4",IF(F106="U9","4","3")))))))))))</f>
        <v>5</v>
      </c>
      <c r="J106" s="57" t="str">
        <f>IF(F106="KM","Pleninger Stefan &amp; Matthias Wachter",IF(F106="U23","Egzon Gentiani &amp; Dinges Stefan",IF(F106="U16","Serdar Ekinci &amp; Gernot Sevelda &amp; Hubi Oberhofer",IF(F106="U15","",IF(F106="U14","Christian Neckamm  &amp; Thomas Pöschl",IF(F106="U13","",IF(F106="U12_1","Tobias Berger &amp; Mario Magler",IF(F106="U12_2","Tobias Berger &amp; Mario Magler",IF(F106="U11","Christian Wirth",IF(F106="U10","Thomas Brandl",IF(F106="U9","Tobias Berger &amp; Sebastian Putric",IF(F106="U8","Ömer Türkes &amp; Taha Mahsumi",IF(F106="U7","Alexander Zax &amp; Jürgen Joszt",IF(F106="FKG","Ronny Archam &amp; Florian Rac",IF(A106="Camp","Berger Dieter",IF(A106="Turnier","Berger Dieter","FEHLER"))))))))))))))))</f>
        <v>Egzon Gentiani &amp; Dinges Stefan</v>
      </c>
      <c r="K106" s="57" t="str">
        <f>IF(F106="KM","+43 664 415 99 09 &amp; +43 699 119 70 312",IF(F106="U23","+43 670 18 59 080 &amp; +43 664 451 22 16",IF(F106="U16","+43 690 104 20 129 &amp; +43 676 401 09 13 &amp; +43 699 181 68 504",IF(F106="U15","",IF(F106="U14","+43 699 192 49 527 &amp; +43 677 613 55 114",IF(F106="U13","",IF(F106="U12_1","+43 66 199 13 52 &amp;  +43 664 762 09 93",IF(F106="U12_2","+43 66 199 13 52 &amp;  +43 664 762 09 93",IF(F106="U11","+43 660 423 93 83",IF(F106="U10","+43 676 377 16 30",IF(F106="U9","+43 66 199 13 52 &amp;  +43 660 914 92 36",IF(F106="U8","+43 676 661 62 26 &amp;  +43 681 208 11 599",IF(F106="U7","+43 664 458 88 84 &amp;  +43 660 549 82 40",IF(F106="FKG","+43 699 111 93 828 &amp;  +43 660 600 25 06",IF(A106="Camp","+43 660 77 39 500",IF(A106="Turnier","+43 660 77 39 500","FEHLER"))))))))))))))))</f>
        <v>+43 670 18 59 080 &amp; +43 664 451 22 16</v>
      </c>
    </row>
    <row r="107" spans="1:11" s="123" customFormat="1" ht="15.75" hidden="1" x14ac:dyDescent="0.25">
      <c r="A107" s="57" t="str">
        <f>'ICS2'!I35</f>
        <v>U23</v>
      </c>
      <c r="B107" s="103">
        <f>'ICS2'!B35</f>
        <v>46250</v>
      </c>
      <c r="C107" s="104">
        <f>'ICS2'!C35</f>
        <v>0.64583333333333337</v>
      </c>
      <c r="D107" s="57" t="str">
        <f>'ICS2'!E35</f>
        <v>KITTSEE</v>
      </c>
      <c r="E107" s="57" t="str">
        <f>'ICS2'!H35</f>
        <v>Kittsee</v>
      </c>
      <c r="F107" s="57" t="str">
        <f>A107</f>
        <v>U23</v>
      </c>
      <c r="G107" s="57" t="str">
        <f>IF(F107="KM","Großfeld",IF(F107="U23","Großfeld",IF(F107="U16","Großfeld",IF(F107="U15","Großfeld",IF(F107="U14","Großfeld",IF(F107="U12_1","55*40",IF(F107="U12_2","55x40",IF(F107="U11","55x40",IF(F107="U10","40x25",IF(F107="U9","40x25",IF(F107="U8","29x22",IF(F107="U7","25x20","16x15"))))))))))))</f>
        <v>Großfeld</v>
      </c>
      <c r="H107" s="57" t="str">
        <f>IF(F107="KM","7,32x2,44",IF(F107="U23","7,32x2,44",IF(F107="U16","7,32x2,44",IF(F107="U15","7,32x2,44",IF(F107="U14","7,32x2,44",IF(F107="U13","5x2",IF(F107="U12_1","7,32x2,44",IF(F107="U12_2","7,32x2,44",IF(F107="U11","5x2",IF(F107="U10","5x2
",IF(F107="U9","5x2","4 Minitore")))))))))))</f>
        <v>7,32x2,44</v>
      </c>
      <c r="I107" s="57">
        <f>IF(F107="KM","5",IF(F107="U23",5,IF(F107="U16","5",IF(F107="U15","5",IF(F107="U14","4",IF(F107="U13","4",IF(F107="U12_1","4",IF(F107="U12_2","4",IF(F107="U11","4",IF(F107="U10","4",IF(F107="U9","4","3")))))))))))</f>
        <v>5</v>
      </c>
      <c r="J107" s="57" t="str">
        <f>IF(F107="KM","Pleninger Stefan &amp; Matthias Wachter",IF(F107="U23","Egzon Gentiani &amp; Dinges Stefan",IF(F107="U16","Serdar Ekinci &amp; Gernot Sevelda &amp; Hubi Oberhofer",IF(F107="U15","",IF(F107="U14","Christian Neckamm  &amp; Thomas Pöschl",IF(F107="U13","",IF(F107="U12_1","Tobias Berger &amp; Mario Magler",IF(F107="U12_2","Tobias Berger &amp; Mario Magler",IF(F107="U11","Christian Wirth",IF(F107="U10","Thomas Brandl",IF(F107="U9","Tobias Berger &amp; Sebastian Putric",IF(F107="U8","Ömer Türkes &amp; Taha Mahsumi",IF(F107="U7","Alexander Zax &amp; Jürgen Joszt",IF(F107="FKG","Ronny Archam &amp; Florian Rac",IF(A107="Camp","Berger Dieter",IF(A107="Turnier","Berger Dieter","FEHLER"))))))))))))))))</f>
        <v>Egzon Gentiani &amp; Dinges Stefan</v>
      </c>
      <c r="K107" s="57" t="str">
        <f>IF(F107="KM","+43 664 415 99 09 &amp; +43 699 119 70 312",IF(F107="U23","+43 670 18 59 080 &amp; +43 664 451 22 16",IF(F107="U16","+43 690 104 20 129 &amp; +43 676 401 09 13 &amp; +43 699 181 68 504",IF(F107="U15","",IF(F107="U14","+43 699 192 49 527 &amp; +43 677 613 55 114",IF(F107="U13","",IF(F107="U12_1","+43 66 199 13 52 &amp;  +43 664 762 09 93",IF(F107="U12_2","+43 66 199 13 52 &amp;  +43 664 762 09 93",IF(F107="U11","+43 660 423 93 83",IF(F107="U10","+43 676 377 16 30",IF(F107="U9","+43 66 199 13 52 &amp;  +43 660 914 92 36",IF(F107="U8","+43 676 661 62 26 &amp;  +43 681 208 11 599",IF(F107="U7","+43 664 458 88 84 &amp;  +43 660 549 82 40",IF(F107="FKG","+43 699 111 93 828 &amp;  +43 660 600 25 06",IF(A107="Camp","+43 660 77 39 500",IF(A107="Turnier","+43 660 77 39 500","FEHLER"))))))))))))))))</f>
        <v>+43 670 18 59 080 &amp; +43 664 451 22 16</v>
      </c>
    </row>
    <row r="108" spans="1:11" ht="15.75" hidden="1" x14ac:dyDescent="0.25">
      <c r="A108" s="57" t="str">
        <f>'ICS2'!I36</f>
        <v>U23</v>
      </c>
      <c r="B108" s="103">
        <f>'ICS2'!B36</f>
        <v>46255</v>
      </c>
      <c r="C108" s="104">
        <f>'ICS2'!C36</f>
        <v>0.75</v>
      </c>
      <c r="D108" s="57" t="str">
        <f>'ICS2'!E36</f>
        <v>DEUTSCH JAHRNDORF</v>
      </c>
      <c r="E108" s="57" t="str">
        <f>'ICS2'!H36</f>
        <v>Deutsch Jahrndorf</v>
      </c>
      <c r="F108" s="57" t="str">
        <f>A108</f>
        <v>U23</v>
      </c>
      <c r="G108" s="57" t="str">
        <f>IF(F108="KM","Großfeld",IF(F108="U23","Großfeld",IF(F108="U16","Großfeld",IF(F108="U15","Großfeld",IF(F108="U14","Großfeld",IF(F108="U12_1","55*40",IF(F108="U12_2","55x40",IF(F108="U11","55x40",IF(F108="U10","40x25",IF(F108="U9","40x25",IF(F108="U8","29x22",IF(F108="U7","25x20","16x15"))))))))))))</f>
        <v>Großfeld</v>
      </c>
      <c r="H108" s="57" t="str">
        <f>IF(F108="KM","7,32x2,44",IF(F108="U23","7,32x2,44",IF(F108="U16","7,32x2,44",IF(F108="U15","7,32x2,44",IF(F108="U14","7,32x2,44",IF(F108="U13","5x2",IF(F108="U12_1","7,32x2,44",IF(F108="U12_2","7,32x2,44",IF(F108="U11","5x2",IF(F108="U10","5x2
",IF(F108="U9","5x2","4 Minitore")))))))))))</f>
        <v>7,32x2,44</v>
      </c>
      <c r="I108" s="57">
        <f>IF(F108="KM","5",IF(F108="U23",5,IF(F108="U16","5",IF(F108="U15","5",IF(F108="U14","4",IF(F108="U13","4",IF(F108="U12_1","4",IF(F108="U12_2","4",IF(F108="U11","4",IF(F108="U10","4",IF(F108="U9","4","3")))))))))))</f>
        <v>5</v>
      </c>
      <c r="J108" s="57" t="str">
        <f>IF(F108="KM","Pleninger Stefan &amp; Matthias Wachter",IF(F108="U23","Egzon Gentiani &amp; Dinges Stefan",IF(F108="U16","Serdar Ekinci &amp; Gernot Sevelda &amp; Hubi Oberhofer",IF(F108="U15","",IF(F108="U14","Christian Neckamm  &amp; Thomas Pöschl",IF(F108="U13","",IF(F108="U12_1","Tobias Berger &amp; Mario Magler",IF(F108="U12_2","Tobias Berger &amp; Mario Magler",IF(F108="U11","Christian Wirth",IF(F108="U10","Thomas Brandl",IF(F108="U9","Tobias Berger &amp; Sebastian Putric",IF(F108="U8","Ömer Türkes &amp; Taha Mahsumi",IF(F108="U7","Alexander Zax &amp; Jürgen Joszt",IF(F108="FKG","Ronny Archam &amp; Florian Rac",IF(A108="Camp","Berger Dieter",IF(A108="Turnier","Berger Dieter","FEHLER"))))))))))))))))</f>
        <v>Egzon Gentiani &amp; Dinges Stefan</v>
      </c>
      <c r="K108" s="57" t="str">
        <f>IF(F108="KM","+43 664 415 99 09 &amp; +43 699 119 70 312",IF(F108="U23","+43 670 18 59 080 &amp; +43 664 451 22 16",IF(F108="U16","+43 690 104 20 129 &amp; +43 676 401 09 13 &amp; +43 699 181 68 504",IF(F108="U15","",IF(F108="U14","+43 699 192 49 527 &amp; +43 677 613 55 114",IF(F108="U13","",IF(F108="U12_1","+43 66 199 13 52 &amp;  +43 664 762 09 93",IF(F108="U12_2","+43 66 199 13 52 &amp;  +43 664 762 09 93",IF(F108="U11","+43 660 423 93 83",IF(F108="U10","+43 676 377 16 30",IF(F108="U9","+43 66 199 13 52 &amp;  +43 660 914 92 36",IF(F108="U8","+43 676 661 62 26 &amp;  +43 681 208 11 599",IF(F108="U7","+43 664 458 88 84 &amp;  +43 660 549 82 40",IF(F108="FKG","+43 699 111 93 828 &amp;  +43 660 600 25 06",IF(A108="Camp","+43 660 77 39 500",IF(A108="Turnier","+43 660 77 39 500","FEHLER"))))))))))))))))</f>
        <v>+43 670 18 59 080 &amp; +43 664 451 22 16</v>
      </c>
    </row>
    <row r="109" spans="1:11" s="123" customFormat="1" ht="15.75" x14ac:dyDescent="0.25">
      <c r="A109" s="120" t="str">
        <f>'ICS2'!I66</f>
        <v>U14</v>
      </c>
      <c r="B109" s="121">
        <f>'ICS2'!B66</f>
        <v>46320</v>
      </c>
      <c r="C109" s="122">
        <f>'ICS2'!C66</f>
        <v>0.58333333333333337</v>
      </c>
      <c r="D109" s="120" t="str">
        <f>'ICS2'!E66</f>
        <v>NEUFELD</v>
      </c>
      <c r="E109" s="120" t="str">
        <f>'ICS2'!H66</f>
        <v>MSV 2020</v>
      </c>
      <c r="F109" s="120" t="str">
        <f>A109</f>
        <v>U14</v>
      </c>
      <c r="G109" s="120" t="str">
        <f>IF(F109="KM","Großfeld",IF(F109="U23","Großfeld",IF(F109="U16","Großfeld",IF(F109="U15","Großfeld",IF(F109="U14","Großfeld",IF(F109="U12_1","55*40",IF(F109="U12_2","55x40",IF(F109="U11","55x40",IF(F109="U10","40x25",IF(F109="U9","40x25",IF(F109="U8","29x22",IF(F109="U7","25x20","16x15"))))))))))))</f>
        <v>Großfeld</v>
      </c>
      <c r="H109" s="120" t="str">
        <f>IF(F109="KM","7,32x2,44",IF(F109="U23","7,32x2,44",IF(F109="U16","7,32x2,44",IF(F109="U15","7,32x2,44",IF(F109="U14","7,32x2,44",IF(F109="U13","5x2",IF(F109="U12_1","7,32x2,44",IF(F109="U12_2","7,32x2,44",IF(F109="U11","5x2",IF(F109="U10","5x2
",IF(F109="U9","5x2","4 Minitore")))))))))))</f>
        <v>7,32x2,44</v>
      </c>
      <c r="I109" s="120" t="str">
        <f>IF(F109="KM","5",IF(F109="U23",5,IF(F109="U16","5",IF(F109="U15","5",IF(F109="U14","4",IF(F109="U13","4",IF(F109="U12_1","4",IF(F109="U12_2","4",IF(F109="U11","4",IF(F109="U10","4",IF(F109="U9","4","3")))))))))))</f>
        <v>4</v>
      </c>
      <c r="J109" s="120" t="str">
        <f>IF(F109="KM","Pleninger Stefan &amp; Matthias Wachter",IF(F109="U23","Egzon Gentiani &amp; Dinges Stefan",IF(F109="U16","Serdar Ekinci &amp; Gernot Sevelda &amp; Hubi Oberhofer",IF(F109="U15","",IF(F109="U14","Christian Neckamm  &amp; Thomas Pöschl",IF(F109="U13","",IF(F109="U12_1","Tobias Berger &amp; Mario Magler",IF(F109="U12_2","Tobias Berger &amp; Mario Magler",IF(F109="U11","Christian Wirth",IF(F109="U10","Thomas Brandl",IF(F109="U9","Tobias Berger &amp; Sebastian Putric",IF(F109="U8","Ömer Türkes &amp; Taha Mahsumi",IF(F109="U7","Alexander Zax &amp; Jürgen Joszt",IF(F109="FKG","Ronny Archam &amp; Florian Rac",IF(A109="Camp","Berger Dieter",IF(A109="Turnier","Berger Dieter","FEHLER"))))))))))))))))</f>
        <v>Christian Neckamm  &amp; Thomas Pöschl</v>
      </c>
      <c r="K109" s="120" t="str">
        <f>IF(F109="KM","+43 664 415 99 09 &amp; +43 699 119 70 312",IF(F109="U23","+43 670 18 59 080 &amp; +43 664 451 22 16",IF(F109="U16","+43 690 104 20 129 &amp; +43 676 401 09 13 &amp; +43 699 181 68 504",IF(F109="U15","",IF(F109="U14","+43 699 192 49 527 &amp; +43 677 613 55 114",IF(F109="U13","",IF(F109="U12_1","+43 66 199 13 52 &amp;  +43 664 762 09 93",IF(F109="U12_2","+43 66 199 13 52 &amp;  +43 664 762 09 93",IF(F109="U11","+43 660 423 93 83",IF(F109="U10","+43 676 377 16 30",IF(F109="U9","+43 66 199 13 52 &amp;  +43 660 914 92 36",IF(F109="U8","+43 676 661 62 26 &amp;  +43 681 208 11 599",IF(F109="U7","+43 664 458 88 84 &amp;  +43 660 549 82 40",IF(F109="FKG","+43 699 111 93 828 &amp;  +43 660 600 25 06",IF(A109="Camp","+43 660 77 39 500",IF(A109="Turnier","+43 660 77 39 500","FEHLER"))))))))))))))))</f>
        <v>+43 699 192 49 527 &amp; +43 677 613 55 114</v>
      </c>
    </row>
    <row r="110" spans="1:11" s="112" customFormat="1" ht="15.75" hidden="1" x14ac:dyDescent="0.25">
      <c r="A110" s="57" t="str">
        <f>'ICS2'!I38</f>
        <v>U23</v>
      </c>
      <c r="B110" s="103">
        <f>'ICS2'!B38</f>
        <v>46270</v>
      </c>
      <c r="C110" s="104">
        <f>'ICS2'!C38</f>
        <v>0.60416666666666663</v>
      </c>
      <c r="D110" s="57" t="str">
        <f>'ICS2'!E38</f>
        <v>MÖNCHHOF</v>
      </c>
      <c r="E110" s="57" t="str">
        <f>'ICS2'!H38</f>
        <v>Mönchhof</v>
      </c>
      <c r="F110" s="57" t="str">
        <f>A110</f>
        <v>U23</v>
      </c>
      <c r="G110" s="57" t="str">
        <f>IF(F110="KM","Großfeld",IF(F110="U23","Großfeld",IF(F110="U16","Großfeld",IF(F110="U15","Großfeld",IF(F110="U14","Großfeld",IF(F110="U12_1","55*40",IF(F110="U12_2","55x40",IF(F110="U11","55x40",IF(F110="U10","40x25",IF(F110="U9","40x25",IF(F110="U8","29x22",IF(F110="U7","25x20","16x15"))))))))))))</f>
        <v>Großfeld</v>
      </c>
      <c r="H110" s="57" t="str">
        <f>IF(F110="KM","7,32x2,44",IF(F110="U23","7,32x2,44",IF(F110="U16","7,32x2,44",IF(F110="U15","7,32x2,44",IF(F110="U14","7,32x2,44",IF(F110="U13","5x2",IF(F110="U12_1","7,32x2,44",IF(F110="U12_2","7,32x2,44",IF(F110="U11","5x2",IF(F110="U10","5x2
",IF(F110="U9","5x2","4 Minitore")))))))))))</f>
        <v>7,32x2,44</v>
      </c>
      <c r="I110" s="57">
        <f>IF(F110="KM","5",IF(F110="U23",5,IF(F110="U16","5",IF(F110="U15","5",IF(F110="U14","4",IF(F110="U13","4",IF(F110="U12_1","4",IF(F110="U12_2","4",IF(F110="U11","4",IF(F110="U10","4",IF(F110="U9","4","3")))))))))))</f>
        <v>5</v>
      </c>
      <c r="J110" s="57" t="str">
        <f>IF(F110="KM","Pleninger Stefan &amp; Matthias Wachter",IF(F110="U23","Egzon Gentiani &amp; Dinges Stefan",IF(F110="U16","Serdar Ekinci &amp; Gernot Sevelda &amp; Hubi Oberhofer",IF(F110="U15","",IF(F110="U14","Christian Neckamm  &amp; Thomas Pöschl",IF(F110="U13","",IF(F110="U12_1","Tobias Berger &amp; Mario Magler",IF(F110="U12_2","Tobias Berger &amp; Mario Magler",IF(F110="U11","Christian Wirth",IF(F110="U10","Thomas Brandl",IF(F110="U9","Tobias Berger &amp; Sebastian Putric",IF(F110="U8","Ömer Türkes &amp; Taha Mahsumi",IF(F110="U7","Alexander Zax &amp; Jürgen Joszt",IF(F110="FKG","Ronny Archam &amp; Florian Rac",IF(A110="Camp","Berger Dieter",IF(A110="Turnier","Berger Dieter","FEHLER"))))))))))))))))</f>
        <v>Egzon Gentiani &amp; Dinges Stefan</v>
      </c>
      <c r="K110" s="57" t="str">
        <f>IF(F110="KM","+43 664 415 99 09 &amp; +43 699 119 70 312",IF(F110="U23","+43 670 18 59 080 &amp; +43 664 451 22 16",IF(F110="U16","+43 690 104 20 129 &amp; +43 676 401 09 13 &amp; +43 699 181 68 504",IF(F110="U15","",IF(F110="U14","+43 699 192 49 527 &amp; +43 677 613 55 114",IF(F110="U13","",IF(F110="U12_1","+43 66 199 13 52 &amp;  +43 664 762 09 93",IF(F110="U12_2","+43 66 199 13 52 &amp;  +43 664 762 09 93",IF(F110="U11","+43 660 423 93 83",IF(F110="U10","+43 676 377 16 30",IF(F110="U9","+43 66 199 13 52 &amp;  +43 660 914 92 36",IF(F110="U8","+43 676 661 62 26 &amp;  +43 681 208 11 599",IF(F110="U7","+43 664 458 88 84 &amp;  +43 660 549 82 40",IF(F110="FKG","+43 699 111 93 828 &amp;  +43 660 600 25 06",IF(A110="Camp","+43 660 77 39 500",IF(A110="Turnier","+43 660 77 39 500","FEHLER"))))))))))))))))</f>
        <v>+43 670 18 59 080 &amp; +43 664 451 22 16</v>
      </c>
    </row>
    <row r="111" spans="1:11" s="123" customFormat="1" ht="15.75" hidden="1" x14ac:dyDescent="0.25">
      <c r="A111" s="57" t="str">
        <f>'ICS2'!I130</f>
        <v>Camp</v>
      </c>
      <c r="B111" s="103">
        <f>'ICS2'!B130</f>
        <v>46321</v>
      </c>
      <c r="C111" s="104">
        <f>'ICS2'!C130</f>
        <v>0.375</v>
      </c>
      <c r="D111" s="57" t="str">
        <f>'ICS2'!E130</f>
        <v>NEUFELD</v>
      </c>
      <c r="E111" s="57" t="str">
        <f>'ICS2'!H130</f>
        <v>Teco 7 Camp</v>
      </c>
      <c r="F111" s="57" t="str">
        <f>A111</f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>IF(F111="KM","Pleninger Stefan &amp; Matthias Wachter",IF(F111="U23","Egzon Gentiani &amp; Dinges Stefan",IF(F111="U16","Serdar Ekinci &amp; Gernot Sevelda &amp; Hubi Oberhofer",IF(F111="U15","",IF(F111="U14","Christian Neckamm  &amp; Thomas Pöschl",IF(F111="U13","",IF(F111="U12_1","Tobias Berger &amp; Mario Magler",IF(F111="U12_2","Tobias Berger &amp; Mario Magler",IF(F111="U11","Christian Wirth",IF(F111="U10","Thomas Brandl",IF(F111="U9","Tobias Berger &amp; Sebastian Putric",IF(F111="U8","Ömer Türkes &amp; Taha Mahsumi",IF(F111="U7","Alexander Zax &amp; Jürgen Joszt",IF(F111="FKG","Ronny Archam &amp; Florian Rac",IF(A111="Camp","Berger Dieter",IF(A111="Turnier","Berger Dieter","FEHLER"))))))))))))))))</f>
        <v>Berger Dieter</v>
      </c>
      <c r="K111" s="57" t="str">
        <f>IF(F111="KM","+43 664 415 99 09 &amp; +43 699 119 70 312",IF(F111="U23","+43 670 18 59 080 &amp; +43 664 451 22 16",IF(F111="U16","+43 690 104 20 129 &amp; +43 676 401 09 13 &amp; +43 699 181 68 504",IF(F111="U15","",IF(F111="U14","+43 699 192 49 527 &amp; +43 677 613 55 114",IF(F111="U13","",IF(F111="U12_1","+43 66 199 13 52 &amp;  +43 664 762 09 93",IF(F111="U12_2","+43 66 199 13 52 &amp;  +43 664 762 09 93",IF(F111="U11","+43 660 423 93 83",IF(F111="U10","+43 676 377 16 30",IF(F111="U9","+43 66 199 13 52 &amp;  +43 660 914 92 36",IF(F111="U8","+43 676 661 62 26 &amp;  +43 681 208 11 599",IF(F111="U7","+43 664 458 88 84 &amp;  +43 660 549 82 40",IF(F111="FKG","+43 699 111 93 828 &amp;  +43 660 600 25 06",IF(A111="Camp","+43 660 77 39 500",IF(A111="Turnier","+43 660 77 39 500","FEHLER"))))))))))))))))</f>
        <v>+43 660 77 39 500</v>
      </c>
    </row>
    <row r="112" spans="1:11" s="123" customFormat="1" ht="15.75" hidden="1" x14ac:dyDescent="0.25">
      <c r="A112" s="57" t="str">
        <f>'ICS2'!I40</f>
        <v>U23</v>
      </c>
      <c r="B112" s="103">
        <f>'ICS2'!B40</f>
        <v>46284</v>
      </c>
      <c r="C112" s="104">
        <f>'ICS2'!C40</f>
        <v>0.58333333333333337</v>
      </c>
      <c r="D112" s="57" t="str">
        <f>'ICS2'!E40</f>
        <v>GATTENDORF</v>
      </c>
      <c r="E112" s="57" t="str">
        <f>'ICS2'!H40</f>
        <v>Gattendorf</v>
      </c>
      <c r="F112" s="57" t="str">
        <f>A112</f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>IF(F112="KM","Pleninger Stefan &amp; Matthias Wachter",IF(F112="U23","Egzon Gentiani &amp; Dinges Stefan",IF(F112="U16","Serdar Ekinci &amp; Gernot Sevelda &amp; Hubi Oberhofer",IF(F112="U15","",IF(F112="U14","Christian Neckamm  &amp; Thomas Pöschl",IF(F112="U13","",IF(F112="U12_1","Tobias Berger &amp; Mario Magler",IF(F112="U12_2","Tobias Berger &amp; Mario Magler",IF(F112="U11","Christian Wirth",IF(F112="U10","Thomas Brandl",IF(F112="U9","Tobias Berger &amp; Sebastian Putric",IF(F112="U8","Ömer Türkes &amp; Taha Mahsumi",IF(F112="U7","Alexander Zax &amp; Jürgen Joszt",IF(F112="FKG","Ronny Archam &amp; Florian Rac",IF(A112="Camp","Berger Dieter",IF(A112="Turnier","Berger Dieter","FEHLER"))))))))))))))))</f>
        <v>Egzon Gentiani &amp; Dinges Stefan</v>
      </c>
      <c r="K112" s="57" t="str">
        <f>IF(F112="KM","+43 664 415 99 09 &amp; +43 699 119 70 312",IF(F112="U23","+43 670 18 59 080 &amp; +43 664 451 22 16",IF(F112="U16","+43 690 104 20 129 &amp; +43 676 401 09 13 &amp; +43 699 181 68 504",IF(F112="U15","",IF(F112="U14","+43 699 192 49 527 &amp; +43 677 613 55 114",IF(F112="U13","",IF(F112="U12_1","+43 66 199 13 52 &amp;  +43 664 762 09 93",IF(F112="U12_2","+43 66 199 13 52 &amp;  +43 664 762 09 93",IF(F112="U11","+43 660 423 93 83",IF(F112="U10","+43 676 377 16 30",IF(F112="U9","+43 66 199 13 52 &amp;  +43 660 914 92 36",IF(F112="U8","+43 676 661 62 26 &amp;  +43 681 208 11 599",IF(F112="U7","+43 664 458 88 84 &amp;  +43 660 549 82 40",IF(F112="FKG","+43 699 111 93 828 &amp;  +43 660 600 25 06",IF(A112="Camp","+43 660 77 39 500",IF(A112="Turnier","+43 660 77 39 500","FEHLER"))))))))))))))))</f>
        <v>+43 670 18 59 080 &amp; +43 664 451 22 16</v>
      </c>
    </row>
    <row r="113" spans="1:11" ht="15.75" hidden="1" x14ac:dyDescent="0.25">
      <c r="A113" s="57" t="str">
        <f>'ICS2'!I131</f>
        <v>Camp</v>
      </c>
      <c r="B113" s="103">
        <f>'ICS2'!B131</f>
        <v>46322</v>
      </c>
      <c r="C113" s="104">
        <f>'ICS2'!C131</f>
        <v>0.375</v>
      </c>
      <c r="D113" s="57" t="str">
        <f>'ICS2'!E131</f>
        <v>NEUFELD</v>
      </c>
      <c r="E113" s="57" t="str">
        <f>'ICS2'!H131</f>
        <v>Teco 7 Camp</v>
      </c>
      <c r="F113" s="57" t="str">
        <f>A113</f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>IF(F113="KM","Pleninger Stefan &amp; Matthias Wachter",IF(F113="U23","Egzon Gentiani &amp; Dinges Stefan",IF(F113="U16","Serdar Ekinci &amp; Gernot Sevelda &amp; Hubi Oberhofer",IF(F113="U15","",IF(F113="U14","Christian Neckamm  &amp; Thomas Pöschl",IF(F113="U13","",IF(F113="U12_1","Tobias Berger &amp; Mario Magler",IF(F113="U12_2","Tobias Berger &amp; Mario Magler",IF(F113="U11","Christian Wirth",IF(F113="U10","Thomas Brandl",IF(F113="U9","Tobias Berger &amp; Sebastian Putric",IF(F113="U8","Ömer Türkes &amp; Taha Mahsumi",IF(F113="U7","Alexander Zax &amp; Jürgen Joszt",IF(F113="FKG","Ronny Archam &amp; Florian Rac",IF(A113="Camp","Berger Dieter",IF(A113="Turnier","Berger Dieter","FEHLER"))))))))))))))))</f>
        <v>Berger Dieter</v>
      </c>
      <c r="K113" s="57" t="str">
        <f>IF(F113="KM","+43 664 415 99 09 &amp; +43 699 119 70 312",IF(F113="U23","+43 670 18 59 080 &amp; +43 664 451 22 16",IF(F113="U16","+43 690 104 20 129 &amp; +43 676 401 09 13 &amp; +43 699 181 68 504",IF(F113="U15","",IF(F113="U14","+43 699 192 49 527 &amp; +43 677 613 55 114",IF(F113="U13","",IF(F113="U12_1","+43 66 199 13 52 &amp;  +43 664 762 09 93",IF(F113="U12_2","+43 66 199 13 52 &amp;  +43 664 762 09 93",IF(F113="U11","+43 660 423 93 83",IF(F113="U10","+43 676 377 16 30",IF(F113="U9","+43 66 199 13 52 &amp;  +43 660 914 92 36",IF(F113="U8","+43 676 661 62 26 &amp;  +43 681 208 11 599",IF(F113="U7","+43 664 458 88 84 &amp;  +43 660 549 82 40",IF(F113="FKG","+43 699 111 93 828 &amp;  +43 660 600 25 06",IF(A113="Camp","+43 660 77 39 500",IF(A113="Turnier","+43 660 77 39 500","FEHLER"))))))))))))))))</f>
        <v>+43 660 77 39 500</v>
      </c>
    </row>
    <row r="114" spans="1:11" s="123" customFormat="1" ht="15.75" hidden="1" x14ac:dyDescent="0.25">
      <c r="A114" s="57" t="str">
        <f>'ICS2'!I42</f>
        <v>U23</v>
      </c>
      <c r="B114" s="103">
        <f>'ICS2'!B42</f>
        <v>46298</v>
      </c>
      <c r="C114" s="104">
        <f>'ICS2'!C42</f>
        <v>0.70833333333333337</v>
      </c>
      <c r="D114" s="57" t="str">
        <f>'ICS2'!E42</f>
        <v>SIEGENDORF</v>
      </c>
      <c r="E114" s="57" t="str">
        <f>'ICS2'!H42</f>
        <v>Siegendorf</v>
      </c>
      <c r="F114" s="57" t="str">
        <f>A114</f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>IF(F114="KM","Pleninger Stefan &amp; Matthias Wachter",IF(F114="U23","Egzon Gentiani &amp; Dinges Stefan",IF(F114="U16","Serdar Ekinci &amp; Gernot Sevelda &amp; Hubi Oberhofer",IF(F114="U15","",IF(F114="U14","Christian Neckamm  &amp; Thomas Pöschl",IF(F114="U13","",IF(F114="U12_1","Tobias Berger &amp; Mario Magler",IF(F114="U12_2","Tobias Berger &amp; Mario Magler",IF(F114="U11","Christian Wirth",IF(F114="U10","Thomas Brandl",IF(F114="U9","Tobias Berger &amp; Sebastian Putric",IF(F114="U8","Ömer Türkes &amp; Taha Mahsumi",IF(F114="U7","Alexander Zax &amp; Jürgen Joszt",IF(F114="FKG","Ronny Archam &amp; Florian Rac",IF(A114="Camp","Berger Dieter",IF(A114="Turnier","Berger Dieter","FEHLER"))))))))))))))))</f>
        <v>Egzon Gentiani &amp; Dinges Stefan</v>
      </c>
      <c r="K114" s="57" t="str">
        <f>IF(F114="KM","+43 664 415 99 09 &amp; +43 699 119 70 312",IF(F114="U23","+43 670 18 59 080 &amp; +43 664 451 22 16",IF(F114="U16","+43 690 104 20 129 &amp; +43 676 401 09 13 &amp; +43 699 181 68 504",IF(F114="U15","",IF(F114="U14","+43 699 192 49 527 &amp; +43 677 613 55 114",IF(F114="U13","",IF(F114="U12_1","+43 66 199 13 52 &amp;  +43 664 762 09 93",IF(F114="U12_2","+43 66 199 13 52 &amp;  +43 664 762 09 93",IF(F114="U11","+43 660 423 93 83",IF(F114="U10","+43 676 377 16 30",IF(F114="U9","+43 66 199 13 52 &amp;  +43 660 914 92 36",IF(F114="U8","+43 676 661 62 26 &amp;  +43 681 208 11 599",IF(F114="U7","+43 664 458 88 84 &amp;  +43 660 549 82 40",IF(F114="FKG","+43 699 111 93 828 &amp;  +43 660 600 25 06",IF(A114="Camp","+43 660 77 39 500",IF(A114="Turnier","+43 660 77 39 500","FEHLER"))))))))))))))))</f>
        <v>+43 670 18 59 080 &amp; +43 664 451 22 16</v>
      </c>
    </row>
    <row r="115" spans="1:11" ht="15.75" hidden="1" x14ac:dyDescent="0.25">
      <c r="A115" s="57" t="str">
        <f>'ICS2'!I132</f>
        <v>Camp</v>
      </c>
      <c r="B115" s="103">
        <f>'ICS2'!B132</f>
        <v>46323</v>
      </c>
      <c r="C115" s="104">
        <f>'ICS2'!C132</f>
        <v>0.375</v>
      </c>
      <c r="D115" s="57" t="str">
        <f>'ICS2'!E132</f>
        <v>NEUFELD</v>
      </c>
      <c r="E115" s="57" t="str">
        <f>'ICS2'!H132</f>
        <v>Teco 7 Camp</v>
      </c>
      <c r="F115" s="57" t="str">
        <f>A115</f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>IF(F115="KM","Pleninger Stefan &amp; Matthias Wachter",IF(F115="U23","Egzon Gentiani &amp; Dinges Stefan",IF(F115="U16","Serdar Ekinci &amp; Gernot Sevelda &amp; Hubi Oberhofer",IF(F115="U15","",IF(F115="U14","Christian Neckamm  &amp; Thomas Pöschl",IF(F115="U13","",IF(F115="U12_1","Tobias Berger &amp; Mario Magler",IF(F115="U12_2","Tobias Berger &amp; Mario Magler",IF(F115="U11","Christian Wirth",IF(F115="U10","Thomas Brandl",IF(F115="U9","Tobias Berger &amp; Sebastian Putric",IF(F115="U8","Ömer Türkes &amp; Taha Mahsumi",IF(F115="U7","Alexander Zax &amp; Jürgen Joszt",IF(F115="FKG","Ronny Archam &amp; Florian Rac",IF(A115="Camp","Berger Dieter",IF(A115="Turnier","Berger Dieter","FEHLER"))))))))))))))))</f>
        <v>Berger Dieter</v>
      </c>
      <c r="K115" s="57" t="str">
        <f>IF(F115="KM","+43 664 415 99 09 &amp; +43 699 119 70 312",IF(F115="U23","+43 670 18 59 080 &amp; +43 664 451 22 16",IF(F115="U16","+43 690 104 20 129 &amp; +43 676 401 09 13 &amp; +43 699 181 68 504",IF(F115="U15","",IF(F115="U14","+43 699 192 49 527 &amp; +43 677 613 55 114",IF(F115="U13","",IF(F115="U12_1","+43 66 199 13 52 &amp;  +43 664 762 09 93",IF(F115="U12_2","+43 66 199 13 52 &amp;  +43 664 762 09 93",IF(F115="U11","+43 660 423 93 83",IF(F115="U10","+43 676 377 16 30",IF(F115="U9","+43 66 199 13 52 &amp;  +43 660 914 92 36",IF(F115="U8","+43 676 661 62 26 &amp;  +43 681 208 11 599",IF(F115="U7","+43 664 458 88 84 &amp;  +43 660 549 82 40",IF(F115="FKG","+43 699 111 93 828 &amp;  +43 660 600 25 06",IF(A115="Camp","+43 660 77 39 500",IF(A115="Turnier","+43 660 77 39 500","FEHLER"))))))))))))))))</f>
        <v>+43 660 77 39 500</v>
      </c>
    </row>
    <row r="116" spans="1:11" s="123" customFormat="1" ht="15.75" hidden="1" x14ac:dyDescent="0.25">
      <c r="A116" s="57" t="str">
        <f>'ICS2'!I44</f>
        <v>U23</v>
      </c>
      <c r="B116" s="103">
        <f>'ICS2'!B44</f>
        <v>46311</v>
      </c>
      <c r="C116" s="104">
        <f>'ICS2'!C44</f>
        <v>0.72916666666666663</v>
      </c>
      <c r="D116" s="57" t="str">
        <f>'ICS2'!E44</f>
        <v>HORNSTEIN</v>
      </c>
      <c r="E116" s="57" t="str">
        <f>'ICS2'!H44</f>
        <v>Hornstein</v>
      </c>
      <c r="F116" s="57" t="str">
        <f>A116</f>
        <v>U23</v>
      </c>
      <c r="G116" s="57" t="str">
        <f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>IF(F116="KM","Pleninger Stefan &amp; Matthias Wachter",IF(F116="U23","Egzon Gentiani &amp; Dinges Stefan",IF(F116="U16","Serdar Ekinci &amp; Gernot Sevelda &amp; Hubi Oberhofer",IF(F116="U15","",IF(F116="U14","Christian Neckamm  &amp; Thomas Pöschl",IF(F116="U13","",IF(F116="U12_1","Tobias Berger &amp; Mario Magler",IF(F116="U12_2","Tobias Berger &amp; Mario Magler",IF(F116="U11","Christian Wirth",IF(F116="U10","Thomas Brandl",IF(F116="U9","Tobias Berger &amp; Sebastian Putric",IF(F116="U8","Ömer Türkes &amp; Taha Mahsumi",IF(F116="U7","Alexander Zax &amp; Jürgen Joszt",IF(F116="FKG","Ronny Archam &amp; Florian Rac",IF(A116="Camp","Berger Dieter",IF(A116="Turnier","Berger Dieter","FEHLER"))))))))))))))))</f>
        <v>Egzon Gentiani &amp; Dinges Stefan</v>
      </c>
      <c r="K116" s="57" t="str">
        <f>IF(F116="KM","+43 664 415 99 09 &amp; +43 699 119 70 312",IF(F116="U23","+43 670 18 59 080 &amp; +43 664 451 22 16",IF(F116="U16","+43 690 104 20 129 &amp; +43 676 401 09 13 &amp; +43 699 181 68 504",IF(F116="U15","",IF(F116="U14","+43 699 192 49 527 &amp; +43 677 613 55 114",IF(F116="U13","",IF(F116="U12_1","+43 66 199 13 52 &amp;  +43 664 762 09 93",IF(F116="U12_2","+43 66 199 13 52 &amp;  +43 664 762 09 93",IF(F116="U11","+43 660 423 93 83",IF(F116="U10","+43 676 377 16 30",IF(F116="U9","+43 66 199 13 52 &amp;  +43 660 914 92 36",IF(F116="U8","+43 676 661 62 26 &amp;  +43 681 208 11 599",IF(F116="U7","+43 664 458 88 84 &amp;  +43 660 549 82 40",IF(F116="FKG","+43 699 111 93 828 &amp;  +43 660 600 25 06",IF(A116="Camp","+43 660 77 39 500",IF(A116="Turnier","+43 660 77 39 500","FEHLER"))))))))))))))))</f>
        <v>+43 670 18 59 080 &amp; +43 664 451 22 16</v>
      </c>
    </row>
    <row r="117" spans="1:11" ht="15.75" x14ac:dyDescent="0.25">
      <c r="A117" s="120" t="str">
        <f>'ICS2'!I110</f>
        <v>U9</v>
      </c>
      <c r="B117" s="121">
        <f>'ICS2'!B110</f>
        <v>46326</v>
      </c>
      <c r="C117" s="122">
        <f>'ICS2'!C110</f>
        <v>0.4375</v>
      </c>
      <c r="D117" s="120" t="str">
        <f>'ICS2'!E110</f>
        <v>NEUFELD</v>
      </c>
      <c r="E117" s="120" t="str">
        <f>'ICS2'!H110</f>
        <v>Eisenstadt</v>
      </c>
      <c r="F117" s="120" t="str">
        <f>A117</f>
        <v>U9</v>
      </c>
      <c r="G117" s="120" t="str">
        <f>IF(F117="KM","Großfeld",IF(F117="U23","Großfeld",IF(F117="U16","Großfeld",IF(F117="U15","Großfeld",IF(F117="U14","Großfeld",IF(F117="U12_1","55*40",IF(F117="U12_2","55x40",IF(F117="U11","55x40",IF(F117="U10","40x25",IF(F117="U9","40x25",IF(F117="U8","29x22",IF(F117="U7","25x20","16x15"))))))))))))</f>
        <v>40x25</v>
      </c>
      <c r="H117" s="120" t="str">
        <f>IF(F117="KM","7,32x2,44",IF(F117="U23","7,32x2,44",IF(F117="U16","7,32x2,44",IF(F117="U15","7,32x2,44",IF(F117="U14","7,32x2,44",IF(F117="U13","5x2",IF(F117="U12_1","7,32x2,44",IF(F117="U12_2","7,32x2,44",IF(F117="U11","5x2",IF(F117="U10","5x2
",IF(F117="U9","5x2","4 Minitore")))))))))))</f>
        <v>5x2</v>
      </c>
      <c r="I117" s="120" t="str">
        <f>IF(F117="KM","5",IF(F117="U23",5,IF(F117="U16","5",IF(F117="U15","5",IF(F117="U14","4",IF(F117="U13","4",IF(F117="U12_1","4",IF(F117="U12_2","4",IF(F117="U11","4",IF(F117="U10","4",IF(F117="U9","4","3")))))))))))</f>
        <v>4</v>
      </c>
      <c r="J117" s="120" t="str">
        <f>IF(F117="KM","Pleninger Stefan &amp; Matthias Wachter",IF(F117="U23","Egzon Gentiani &amp; Dinges Stefan",IF(F117="U16","Serdar Ekinci &amp; Gernot Sevelda &amp; Hubi Oberhofer",IF(F117="U15","",IF(F117="U14","Christian Neckamm  &amp; Thomas Pöschl",IF(F117="U13","",IF(F117="U12_1","Tobias Berger &amp; Mario Magler",IF(F117="U12_2","Tobias Berger &amp; Mario Magler",IF(F117="U11","Christian Wirth",IF(F117="U10","Thomas Brandl",IF(F117="U9","Tobias Berger &amp; Sebastian Putric",IF(F117="U8","Ömer Türkes &amp; Taha Mahsumi",IF(F117="U7","Alexander Zax &amp; Jürgen Joszt",IF(F117="FKG","Ronny Archam &amp; Florian Rac",IF(A117="Camp","Berger Dieter",IF(A117="Turnier","Berger Dieter","FEHLER"))))))))))))))))</f>
        <v>Tobias Berger &amp; Sebastian Putric</v>
      </c>
      <c r="K117" s="120" t="str">
        <f>IF(F117="KM","+43 664 415 99 09 &amp; +43 699 119 70 312",IF(F117="U23","+43 670 18 59 080 &amp; +43 664 451 22 16",IF(F117="U16","+43 690 104 20 129 &amp; +43 676 401 09 13 &amp; +43 699 181 68 504",IF(F117="U15","",IF(F117="U14","+43 699 192 49 527 &amp; +43 677 613 55 114",IF(F117="U13","",IF(F117="U12_1","+43 66 199 13 52 &amp;  +43 664 762 09 93",IF(F117="U12_2","+43 66 199 13 52 &amp;  +43 664 762 09 93",IF(F117="U11","+43 660 423 93 83",IF(F117="U10","+43 676 377 16 30",IF(F117="U9","+43 66 199 13 52 &amp;  +43 660 914 92 36",IF(F117="U8","+43 676 661 62 26 &amp;  +43 681 208 11 599",IF(F117="U7","+43 664 458 88 84 &amp;  +43 660 549 82 40",IF(F117="FKG","+43 699 111 93 828 &amp;  +43 660 600 25 06",IF(A117="Camp","+43 660 77 39 500",IF(A117="Turnier","+43 660 77 39 500","FEHLER"))))))))))))))))</f>
        <v>+43 66 199 13 52 &amp;  +43 660 914 92 36</v>
      </c>
    </row>
    <row r="118" spans="1:11" ht="15.75" hidden="1" x14ac:dyDescent="0.25">
      <c r="A118" s="57" t="str">
        <f>'ICS2'!I46</f>
        <v>U23</v>
      </c>
      <c r="B118" s="103">
        <f>'ICS2'!B46</f>
        <v>46326</v>
      </c>
      <c r="C118" s="104">
        <f>'ICS2'!C46</f>
        <v>0.66666666666666663</v>
      </c>
      <c r="D118" s="57" t="str">
        <f>'ICS2'!E46</f>
        <v>ILLMITZ</v>
      </c>
      <c r="E118" s="57" t="str">
        <f>'ICS2'!H46</f>
        <v>Illmitz</v>
      </c>
      <c r="F118" s="57" t="str">
        <f>A118</f>
        <v>U23</v>
      </c>
      <c r="G118" s="57" t="str">
        <f>IF(F118="KM","Großfeld",IF(F118="U23","Großfeld",IF(F118="U16","Großfeld",IF(F118="U15","Großfeld",IF(F118="U14","Großfeld",IF(F118="U12_1","55*40",IF(F118="U12_2","55x40",IF(F118="U11","55x40",IF(F118="U10","40x25",IF(F118="U9","40x25",IF(F118="U8","29x22",IF(F118="U7","25x20","16x15"))))))))))))</f>
        <v>Großfeld</v>
      </c>
      <c r="H118" s="57" t="str">
        <f>IF(F118="KM","7,32x2,44",IF(F118="U23","7,32x2,44",IF(F118="U16","7,32x2,44",IF(F118="U15","7,32x2,44",IF(F118="U14","7,32x2,44",IF(F118="U13","5x2",IF(F118="U12_1","7,32x2,44",IF(F118="U12_2","7,32x2,44",IF(F118="U11","5x2",IF(F118="U10","5x2
",IF(F118="U9","5x2","4 Minitore")))))))))))</f>
        <v>7,32x2,44</v>
      </c>
      <c r="I118" s="57">
        <f>IF(F118="KM","5",IF(F118="U23",5,IF(F118="U16","5",IF(F118="U15","5",IF(F118="U14","4",IF(F118="U13","4",IF(F118="U12_1","4",IF(F118="U12_2","4",IF(F118="U11","4",IF(F118="U10","4",IF(F118="U9","4","3")))))))))))</f>
        <v>5</v>
      </c>
      <c r="J118" s="57" t="str">
        <f>IF(F118="KM","Pleninger Stefan &amp; Matthias Wachter",IF(F118="U23","Egzon Gentiani &amp; Dinges Stefan",IF(F118="U16","Serdar Ekinci &amp; Gernot Sevelda &amp; Hubi Oberhofer",IF(F118="U15","",IF(F118="U14","Christian Neckamm  &amp; Thomas Pöschl",IF(F118="U13","",IF(F118="U12_1","Tobias Berger &amp; Mario Magler",IF(F118="U12_2","Tobias Berger &amp; Mario Magler",IF(F118="U11","Christian Wirth",IF(F118="U10","Thomas Brandl",IF(F118="U9","Tobias Berger &amp; Sebastian Putric",IF(F118="U8","Ömer Türkes &amp; Taha Mahsumi",IF(F118="U7","Alexander Zax &amp; Jürgen Joszt",IF(F118="FKG","Ronny Archam &amp; Florian Rac",IF(A118="Camp","Berger Dieter",IF(A118="Turnier","Berger Dieter","FEHLER"))))))))))))))))</f>
        <v>Egzon Gentiani &amp; Dinges Stefan</v>
      </c>
      <c r="K118" s="57" t="str">
        <f>IF(F118="KM","+43 664 415 99 09 &amp; +43 699 119 70 312",IF(F118="U23","+43 670 18 59 080 &amp; +43 664 451 22 16",IF(F118="U16","+43 690 104 20 129 &amp; +43 676 401 09 13 &amp; +43 699 181 68 504",IF(F118="U15","",IF(F118="U14","+43 699 192 49 527 &amp; +43 677 613 55 114",IF(F118="U13","",IF(F118="U12_1","+43 66 199 13 52 &amp;  +43 664 762 09 93",IF(F118="U12_2","+43 66 199 13 52 &amp;  +43 664 762 09 93",IF(F118="U11","+43 660 423 93 83",IF(F118="U10","+43 676 377 16 30",IF(F118="U9","+43 66 199 13 52 &amp;  +43 660 914 92 36",IF(F118="U8","+43 676 661 62 26 &amp;  +43 681 208 11 599",IF(F118="U7","+43 664 458 88 84 &amp;  +43 660 549 82 40",IF(F118="FKG","+43 699 111 93 828 &amp;  +43 660 600 25 06",IF(A118="Camp","+43 660 77 39 500",IF(A118="Turnier","+43 660 77 39 500","FEHLER"))))))))))))))))</f>
        <v>+43 670 18 59 080 &amp; +43 664 451 22 16</v>
      </c>
    </row>
    <row r="119" spans="1:11" ht="15.75" x14ac:dyDescent="0.25">
      <c r="A119" s="120" t="str">
        <f>'ICS2'!I76</f>
        <v>U12_1</v>
      </c>
      <c r="B119" s="121">
        <f>'ICS2'!B76</f>
        <v>46326</v>
      </c>
      <c r="C119" s="122">
        <f>'ICS2'!C76</f>
        <v>0.52083333333333337</v>
      </c>
      <c r="D119" s="120" t="str">
        <f>'ICS2'!E76</f>
        <v>NEUFELD</v>
      </c>
      <c r="E119" s="120" t="str">
        <f>'ICS2'!H76</f>
        <v>SC "muki" Eisenstadt/Rust</v>
      </c>
      <c r="F119" s="120" t="str">
        <f>A119</f>
        <v>U12_1</v>
      </c>
      <c r="G119" s="120" t="str">
        <f>IF(F119="KM","Großfeld",IF(F119="U23","Großfeld",IF(F119="U16","Großfeld",IF(F119="U15","Großfeld",IF(F119="U14","Großfeld",IF(F119="U12_1","55*40",IF(F119="U12_2","55x40",IF(F119="U11","55x40",IF(F119="U10","40x25",IF(F119="U9","40x25",IF(F119="U8","29x22",IF(F119="U7","25x20","16x15"))))))))))))</f>
        <v>55*40</v>
      </c>
      <c r="H119" s="120" t="str">
        <f>IF(F119="KM","7,32x2,44",IF(F119="U23","7,32x2,44",IF(F119="U16","7,32x2,44",IF(F119="U15","7,32x2,44",IF(F119="U14","7,32x2,44",IF(F119="U13","5x2",IF(F119="U12_1","7,32x2,44",IF(F119="U12_2","7,32x2,44",IF(F119="U11","5x2",IF(F119="U10","5x2
",IF(F119="U9","5x2","4 Minitore")))))))))))</f>
        <v>7,32x2,44</v>
      </c>
      <c r="I119" s="120" t="str">
        <f>IF(F119="KM","5",IF(F119="U23",5,IF(F119="U16","5",IF(F119="U15","5",IF(F119="U14","4",IF(F119="U13","4",IF(F119="U12_1","4",IF(F119="U12_2","4",IF(F119="U11","4",IF(F119="U10","4",IF(F119="U9","4","3")))))))))))</f>
        <v>4</v>
      </c>
      <c r="J119" s="120" t="str">
        <f>IF(F119="KM","Pleninger Stefan &amp; Matthias Wachter",IF(F119="U23","Egzon Gentiani &amp; Dinges Stefan",IF(F119="U16","Serdar Ekinci &amp; Gernot Sevelda &amp; Hubi Oberhofer",IF(F119="U15","",IF(F119="U14","Christian Neckamm  &amp; Thomas Pöschl",IF(F119="U13","",IF(F119="U12_1","Tobias Berger &amp; Mario Magler",IF(F119="U12_2","Tobias Berger &amp; Mario Magler",IF(F119="U11","Christian Wirth",IF(F119="U10","Thomas Brandl",IF(F119="U9","Tobias Berger &amp; Sebastian Putric",IF(F119="U8","Ömer Türkes &amp; Taha Mahsumi",IF(F119="U7","Alexander Zax &amp; Jürgen Joszt",IF(F119="FKG","Ronny Archam &amp; Florian Rac",IF(A119="Camp","Berger Dieter",IF(A119="Turnier","Berger Dieter","FEHLER"))))))))))))))))</f>
        <v>Tobias Berger &amp; Mario Magler</v>
      </c>
      <c r="K119" s="120" t="str">
        <f>IF(F119="KM","+43 664 415 99 09 &amp; +43 699 119 70 312",IF(F119="U23","+43 670 18 59 080 &amp; +43 664 451 22 16",IF(F119="U16","+43 690 104 20 129 &amp; +43 676 401 09 13 &amp; +43 699 181 68 504",IF(F119="U15","",IF(F119="U14","+43 699 192 49 527 &amp; +43 677 613 55 114",IF(F119="U13","",IF(F119="U12_1","+43 66 199 13 52 &amp;  +43 664 762 09 93",IF(F119="U12_2","+43 66 199 13 52 &amp;  +43 664 762 09 93",IF(F119="U11","+43 660 423 93 83",IF(F119="U10","+43 676 377 16 30",IF(F119="U9","+43 66 199 13 52 &amp;  +43 660 914 92 36",IF(F119="U8","+43 676 661 62 26 &amp;  +43 681 208 11 599",IF(F119="U7","+43 664 458 88 84 &amp;  +43 660 549 82 40",IF(F119="FKG","+43 699 111 93 828 &amp;  +43 660 600 25 06",IF(A119="Camp","+43 660 77 39 500",IF(A119="Turnier","+43 660 77 39 500","FEHLER"))))))))))))))))</f>
        <v>+43 66 199 13 52 &amp;  +43 664 762 09 93</v>
      </c>
    </row>
    <row r="120" spans="1:11" ht="15.75" hidden="1" x14ac:dyDescent="0.25">
      <c r="A120" s="109" t="str">
        <f>'ICS2'!I117</f>
        <v>U7</v>
      </c>
      <c r="B120" s="110">
        <f>'ICS2'!B117</f>
        <v>0</v>
      </c>
      <c r="C120" s="111">
        <f>'ICS2'!C117</f>
        <v>0</v>
      </c>
      <c r="D120" s="109" t="str">
        <f>'ICS2'!E117</f>
        <v/>
      </c>
      <c r="E120" s="109">
        <f>'ICS2'!H117</f>
        <v>0</v>
      </c>
      <c r="F120" s="109" t="str">
        <f>A120</f>
        <v>U7</v>
      </c>
      <c r="G120" s="109" t="str">
        <f>IF(F120="KM","Großfeld",IF(F120="U23","Großfeld",IF(F120="U16","Großfeld",IF(F120="U15","Großfeld",IF(F120="U14","Großfeld",IF(F120="U12_1","55*40",IF(F120="U12_2","55x40",IF(F120="U11","55x40",IF(F120="U10","40x25",IF(F120="U9","40x25",IF(F120="U8","29x22",IF(F120="U7","25x20","16x15"))))))))))))</f>
        <v>25x20</v>
      </c>
      <c r="H120" s="109" t="str">
        <f>IF(F120="KM","7,32x2,44",IF(F120="U23","7,32x2,44",IF(F120="U16","7,32x2,44",IF(F120="U15","7,32x2,44",IF(F120="U14","7,32x2,44",IF(F120="U13","5x2",IF(F120="U12_1","7,32x2,44",IF(F120="U12_2","7,32x2,44",IF(F120="U11","5x2",IF(F120="U10","5x2
",IF(F120="U9","5x2","4 Minitore")))))))))))</f>
        <v>4 Minitore</v>
      </c>
      <c r="I120" s="109" t="str">
        <f>IF(F120="KM","5",IF(F120="U23",5,IF(F120="U16","5",IF(F120="U15","5",IF(F120="U14","4",IF(F120="U13","4",IF(F120="U12_1","4",IF(F120="U12_2","4",IF(F120="U11","4",IF(F120="U10","4",IF(F120="U9","4","3")))))))))))</f>
        <v>3</v>
      </c>
      <c r="J120" s="109" t="str">
        <f>IF(F120="KM","Pleninger Stefan &amp; Matthias Wachter",IF(F120="U23","Egzon Gentiani &amp; Dinges Stefan",IF(F120="U16","Serdar Ekinci &amp; Gernot Sevelda &amp; Hubi Oberhofer",IF(F120="U15","",IF(F120="U14","Christian Neckamm  &amp; Thomas Pöschl",IF(F120="U13","",IF(F120="U12_1","Tobias Berger &amp; Mario Magler",IF(F120="U12_2","Tobias Berger &amp; Mario Magler",IF(F120="U11","Christian Wirth",IF(F120="U10","Thomas Brandl",IF(F120="U9","Tobias Berger &amp; Sebastian Putric",IF(F120="U8","Ömer Türkes &amp; Taha Mahsumi",IF(F120="U7","Alexander Zax &amp; Jürgen Joszt",IF(F120="FKG","Ronny Archam &amp; Florian Rac",IF(A120="Camp","Berger Dieter",IF(A120="Turnier","Berger Dieter","FEHLER"))))))))))))))))</f>
        <v>Alexander Zax &amp; Jürgen Joszt</v>
      </c>
      <c r="K120" s="109" t="str">
        <f>IF(F120="KM","+43 664 415 99 09 &amp; +43 699 119 70 312",IF(F120="U23","+43 670 18 59 080 &amp; +43 664 451 22 16",IF(F120="U16","+43 690 104 20 129 &amp; +43 676 401 09 13 &amp; +43 699 181 68 504",IF(F120="U15","",IF(F120="U14","+43 699 192 49 527 &amp; +43 677 613 55 114",IF(F120="U13","",IF(F120="U12_1","+43 66 199 13 52 &amp;  +43 664 762 09 93",IF(F120="U12_2","+43 66 199 13 52 &amp;  +43 664 762 09 93",IF(F120="U11","+43 660 423 93 83",IF(F120="U10","+43 676 377 16 30",IF(F120="U9","+43 66 199 13 52 &amp;  +43 660 914 92 36",IF(F120="U8","+43 676 661 62 26 &amp;  +43 681 208 11 599",IF(F120="U7","+43 664 458 88 84 &amp;  +43 660 549 82 40",IF(F120="FKG","+43 699 111 93 828 &amp;  +43 660 600 25 06",IF(A120="Camp","+43 660 77 39 500",IF(A120="Turnier","+43 660 77 39 500","FEHLER"))))))))))))))))</f>
        <v>+43 664 458 88 84 &amp;  +43 660 549 82 40</v>
      </c>
    </row>
    <row r="121" spans="1:11" s="123" customFormat="1" ht="15.75" hidden="1" x14ac:dyDescent="0.25">
      <c r="A121" s="57" t="str">
        <f>'ICS2'!I118</f>
        <v>U7</v>
      </c>
      <c r="B121" s="103">
        <f>'ICS2'!B118</f>
        <v>0</v>
      </c>
      <c r="C121" s="104">
        <f>'ICS2'!C118</f>
        <v>0</v>
      </c>
      <c r="D121" s="57" t="str">
        <f>'ICS2'!E118</f>
        <v/>
      </c>
      <c r="E121" s="57">
        <f>'ICS2'!H118</f>
        <v>0</v>
      </c>
      <c r="F121" s="57" t="str">
        <f>A121</f>
        <v>U7</v>
      </c>
      <c r="G121" s="57" t="str">
        <f>IF(F121="KM","Großfeld",IF(F121="U23","Großfeld",IF(F121="U16","Großfeld",IF(F121="U15","Großfeld",IF(F121="U14","Großfeld",IF(F121="U12_1","55*40",IF(F121="U12_2","55x40",IF(F121="U11","55x40",IF(F121="U10","40x25",IF(F121="U9","40x25",IF(F121="U8","29x22",IF(F121="U7","25x20","16x15"))))))))))))</f>
        <v>25x20</v>
      </c>
      <c r="H121" s="57" t="str">
        <f>IF(F121="KM","7,32x2,44",IF(F121="U23","7,32x2,44",IF(F121="U16","7,32x2,44",IF(F121="U15","7,32x2,44",IF(F121="U14","7,32x2,44",IF(F121="U13","5x2",IF(F121="U12_1","7,32x2,44",IF(F121="U12_2","7,32x2,44",IF(F121="U11","5x2",IF(F121="U10","5x2
",IF(F121="U9","5x2","4 Minitore")))))))))))</f>
        <v>4 Minitore</v>
      </c>
      <c r="I121" s="57" t="str">
        <f>IF(F121="KM","5",IF(F121="U23",5,IF(F121="U16","5",IF(F121="U15","5",IF(F121="U14","4",IF(F121="U13","4",IF(F121="U12_1","4",IF(F121="U12_2","4",IF(F121="U11","4",IF(F121="U10","4",IF(F121="U9","4","3")))))))))))</f>
        <v>3</v>
      </c>
      <c r="J121" s="57" t="str">
        <f>IF(F121="KM","Pleninger Stefan &amp; Matthias Wachter",IF(F121="U23","Egzon Gentiani &amp; Dinges Stefan",IF(F121="U16","Serdar Ekinci &amp; Gernot Sevelda &amp; Hubi Oberhofer",IF(F121="U15","",IF(F121="U14","Christian Neckamm  &amp; Thomas Pöschl",IF(F121="U13","",IF(F121="U12_1","Tobias Berger &amp; Mario Magler",IF(F121="U12_2","Tobias Berger &amp; Mario Magler",IF(F121="U11","Christian Wirth",IF(F121="U10","Thomas Brandl",IF(F121="U9","Tobias Berger &amp; Sebastian Putric",IF(F121="U8","Ömer Türkes &amp; Taha Mahsumi",IF(F121="U7","Alexander Zax &amp; Jürgen Joszt",IF(F121="FKG","Ronny Archam &amp; Florian Rac",IF(A121="Camp","Berger Dieter",IF(A121="Turnier","Berger Dieter","FEHLER"))))))))))))))))</f>
        <v>Alexander Zax &amp; Jürgen Joszt</v>
      </c>
      <c r="K121" s="57" t="str">
        <f>IF(F121="KM","+43 664 415 99 09 &amp; +43 699 119 70 312",IF(F121="U23","+43 670 18 59 080 &amp; +43 664 451 22 16",IF(F121="U16","+43 690 104 20 129 &amp; +43 676 401 09 13 &amp; +43 699 181 68 504",IF(F121="U15","",IF(F121="U14","+43 699 192 49 527 &amp; +43 677 613 55 114",IF(F121="U13","",IF(F121="U12_1","+43 66 199 13 52 &amp;  +43 664 762 09 93",IF(F121="U12_2","+43 66 199 13 52 &amp;  +43 664 762 09 93",IF(F121="U11","+43 660 423 93 83",IF(F121="U10","+43 676 377 16 30",IF(F121="U9","+43 66 199 13 52 &amp;  +43 660 914 92 36",IF(F121="U8","+43 676 661 62 26 &amp;  +43 681 208 11 599",IF(F121="U7","+43 664 458 88 84 &amp;  +43 660 549 82 40",IF(F121="FKG","+43 699 111 93 828 &amp;  +43 660 600 25 06",IF(A121="Camp","+43 660 77 39 500",IF(A121="Turnier","+43 660 77 39 500","FEHLER"))))))))))))))))</f>
        <v>+43 664 458 88 84 &amp;  +43 660 549 82 40</v>
      </c>
    </row>
    <row r="122" spans="1:11" s="123" customFormat="1" ht="15.75" hidden="1" x14ac:dyDescent="0.25">
      <c r="A122" s="57" t="str">
        <f>'ICS2'!I119</f>
        <v>U7</v>
      </c>
      <c r="B122" s="103">
        <f>'ICS2'!B119</f>
        <v>0</v>
      </c>
      <c r="C122" s="104">
        <f>'ICS2'!C119</f>
        <v>0</v>
      </c>
      <c r="D122" s="57" t="str">
        <f>'ICS2'!E119</f>
        <v/>
      </c>
      <c r="E122" s="57">
        <f>'ICS2'!H119</f>
        <v>0</v>
      </c>
      <c r="F122" s="57" t="str">
        <f>A122</f>
        <v>U7</v>
      </c>
      <c r="G122" s="57" t="str">
        <f>IF(F122="KM","Großfeld",IF(F122="U23","Großfeld",IF(F122="U16","Großfeld",IF(F122="U15","Großfeld",IF(F122="U14","Großfeld",IF(F122="U12_1","55*40",IF(F122="U12_2","55x40",IF(F122="U11","55x40",IF(F122="U10","40x25",IF(F122="U9","40x25",IF(F122="U8","29x22",IF(F122="U7","25x20","16x15"))))))))))))</f>
        <v>25x20</v>
      </c>
      <c r="H122" s="57" t="str">
        <f>IF(F122="KM","7,32x2,44",IF(F122="U23","7,32x2,44",IF(F122="U16","7,32x2,44",IF(F122="U15","7,32x2,44",IF(F122="U14","7,32x2,44",IF(F122="U13","5x2",IF(F122="U12_1","7,32x2,44",IF(F122="U12_2","7,32x2,44",IF(F122="U11","5x2",IF(F122="U10","5x2
",IF(F122="U9","5x2","4 Minitore")))))))))))</f>
        <v>4 Minitore</v>
      </c>
      <c r="I122" s="57" t="str">
        <f>IF(F122="KM","5",IF(F122="U23",5,IF(F122="U16","5",IF(F122="U15","5",IF(F122="U14","4",IF(F122="U13","4",IF(F122="U12_1","4",IF(F122="U12_2","4",IF(F122="U11","4",IF(F122="U10","4",IF(F122="U9","4","3")))))))))))</f>
        <v>3</v>
      </c>
      <c r="J122" s="57" t="str">
        <f>IF(F122="KM","Pleninger Stefan &amp; Matthias Wachter",IF(F122="U23","Egzon Gentiani &amp; Dinges Stefan",IF(F122="U16","Serdar Ekinci &amp; Gernot Sevelda &amp; Hubi Oberhofer",IF(F122="U15","",IF(F122="U14","Christian Neckamm  &amp; Thomas Pöschl",IF(F122="U13","",IF(F122="U12_1","Tobias Berger &amp; Mario Magler",IF(F122="U12_2","Tobias Berger &amp; Mario Magler",IF(F122="U11","Christian Wirth",IF(F122="U10","Thomas Brandl",IF(F122="U9","Tobias Berger &amp; Sebastian Putric",IF(F122="U8","Ömer Türkes &amp; Taha Mahsumi",IF(F122="U7","Alexander Zax &amp; Jürgen Joszt",IF(F122="FKG","Ronny Archam &amp; Florian Rac",IF(A122="Camp","Berger Dieter",IF(A122="Turnier","Berger Dieter","FEHLER"))))))))))))))))</f>
        <v>Alexander Zax &amp; Jürgen Joszt</v>
      </c>
      <c r="K122" s="57" t="str">
        <f>IF(F122="KM","+43 664 415 99 09 &amp; +43 699 119 70 312",IF(F122="U23","+43 670 18 59 080 &amp; +43 664 451 22 16",IF(F122="U16","+43 690 104 20 129 &amp; +43 676 401 09 13 &amp; +43 699 181 68 504",IF(F122="U15","",IF(F122="U14","+43 699 192 49 527 &amp; +43 677 613 55 114",IF(F122="U13","",IF(F122="U12_1","+43 66 199 13 52 &amp;  +43 664 762 09 93",IF(F122="U12_2","+43 66 199 13 52 &amp;  +43 664 762 09 93",IF(F122="U11","+43 660 423 93 83",IF(F122="U10","+43 676 377 16 30",IF(F122="U9","+43 66 199 13 52 &amp;  +43 660 914 92 36",IF(F122="U8","+43 676 661 62 26 &amp;  +43 681 208 11 599",IF(F122="U7","+43 664 458 88 84 &amp;  +43 660 549 82 40",IF(F122="FKG","+43 699 111 93 828 &amp;  +43 660 600 25 06",IF(A122="Camp","+43 660 77 39 500",IF(A122="Turnier","+43 660 77 39 500","FEHLER"))))))))))))))))</f>
        <v>+43 664 458 88 84 &amp;  +43 660 549 82 40</v>
      </c>
    </row>
    <row r="123" spans="1:11" ht="15.75" hidden="1" x14ac:dyDescent="0.25">
      <c r="A123" s="57" t="str">
        <f>'ICS2'!I120</f>
        <v>U7</v>
      </c>
      <c r="B123" s="103">
        <f>'ICS2'!B120</f>
        <v>0</v>
      </c>
      <c r="C123" s="104">
        <f>'ICS2'!C120</f>
        <v>0</v>
      </c>
      <c r="D123" s="57" t="str">
        <f>'ICS2'!E120</f>
        <v/>
      </c>
      <c r="E123" s="57">
        <f>'ICS2'!H120</f>
        <v>0</v>
      </c>
      <c r="F123" s="57" t="str">
        <f>A123</f>
        <v>U7</v>
      </c>
      <c r="G123" s="57" t="str">
        <f>IF(F123="KM","Großfeld",IF(F123="U23","Großfeld",IF(F123="U16","Großfeld",IF(F123="U15","Großfeld",IF(F123="U14","Großfeld",IF(F123="U12_1","55*40",IF(F123="U12_2","55x40",IF(F123="U11","55x40",IF(F123="U10","40x25",IF(F123="U9","40x25",IF(F123="U8","29x22",IF(F123="U7","25x20","16x15"))))))))))))</f>
        <v>25x20</v>
      </c>
      <c r="H123" s="57" t="str">
        <f>IF(F123="KM","7,32x2,44",IF(F123="U23","7,32x2,44",IF(F123="U16","7,32x2,44",IF(F123="U15","7,32x2,44",IF(F123="U14","7,32x2,44",IF(F123="U13","5x2",IF(F123="U12_1","7,32x2,44",IF(F123="U12_2","7,32x2,44",IF(F123="U11","5x2",IF(F123="U10","5x2
",IF(F123="U9","5x2","4 Minitore")))))))))))</f>
        <v>4 Minitore</v>
      </c>
      <c r="I123" s="57" t="str">
        <f>IF(F123="KM","5",IF(F123="U23",5,IF(F123="U16","5",IF(F123="U15","5",IF(F123="U14","4",IF(F123="U13","4",IF(F123="U12_1","4",IF(F123="U12_2","4",IF(F123="U11","4",IF(F123="U10","4",IF(F123="U9","4","3")))))))))))</f>
        <v>3</v>
      </c>
      <c r="J123" s="57" t="str">
        <f>IF(F123="KM","Pleninger Stefan &amp; Matthias Wachter",IF(F123="U23","Egzon Gentiani &amp; Dinges Stefan",IF(F123="U16","Serdar Ekinci &amp; Gernot Sevelda &amp; Hubi Oberhofer",IF(F123="U15","",IF(F123="U14","Christian Neckamm  &amp; Thomas Pöschl",IF(F123="U13","",IF(F123="U12_1","Tobias Berger &amp; Mario Magler",IF(F123="U12_2","Tobias Berger &amp; Mario Magler",IF(F123="U11","Christian Wirth",IF(F123="U10","Thomas Brandl",IF(F123="U9","Tobias Berger &amp; Sebastian Putric",IF(F123="U8","Ömer Türkes &amp; Taha Mahsumi",IF(F123="U7","Alexander Zax &amp; Jürgen Joszt",IF(F123="FKG","Ronny Archam &amp; Florian Rac",IF(A123="Camp","Berger Dieter",IF(A123="Turnier","Berger Dieter","FEHLER"))))))))))))))))</f>
        <v>Alexander Zax &amp; Jürgen Joszt</v>
      </c>
      <c r="K123" s="57" t="str">
        <f>IF(F123="KM","+43 664 415 99 09 &amp; +43 699 119 70 312",IF(F123="U23","+43 670 18 59 080 &amp; +43 664 451 22 16",IF(F123="U16","+43 690 104 20 129 &amp; +43 676 401 09 13 &amp; +43 699 181 68 504",IF(F123="U15","",IF(F123="U14","+43 699 192 49 527 &amp; +43 677 613 55 114",IF(F123="U13","",IF(F123="U12_1","+43 66 199 13 52 &amp;  +43 664 762 09 93",IF(F123="U12_2","+43 66 199 13 52 &amp;  +43 664 762 09 93",IF(F123="U11","+43 660 423 93 83",IF(F123="U10","+43 676 377 16 30",IF(F123="U9","+43 66 199 13 52 &amp;  +43 660 914 92 36",IF(F123="U8","+43 676 661 62 26 &amp;  +43 681 208 11 599",IF(F123="U7","+43 664 458 88 84 &amp;  +43 660 549 82 40",IF(F123="FKG","+43 699 111 93 828 &amp;  +43 660 600 25 06",IF(A123="Camp","+43 660 77 39 500",IF(A123="Turnier","+43 660 77 39 500","FEHLER"))))))))))))))))</f>
        <v>+43 664 458 88 84 &amp;  +43 660 549 82 40</v>
      </c>
    </row>
    <row r="124" spans="1:11" ht="15.75" hidden="1" x14ac:dyDescent="0.25">
      <c r="A124" s="57" t="str">
        <f>'ICS2'!I121</f>
        <v>U7</v>
      </c>
      <c r="B124" s="103">
        <f>'ICS2'!B121</f>
        <v>0</v>
      </c>
      <c r="C124" s="104">
        <f>'ICS2'!C121</f>
        <v>0</v>
      </c>
      <c r="D124" s="57" t="str">
        <f>'ICS2'!E121</f>
        <v/>
      </c>
      <c r="E124" s="57">
        <f>'ICS2'!H121</f>
        <v>0</v>
      </c>
      <c r="F124" s="57" t="str">
        <f>A124</f>
        <v>U7</v>
      </c>
      <c r="G124" s="57" t="str">
        <f>IF(F124="KM","Großfeld",IF(F124="U23","Großfeld",IF(F124="U16","Großfeld",IF(F124="U15","Großfeld",IF(F124="U14","Großfeld",IF(F124="U12_1","55*40",IF(F124="U12_2","55x40",IF(F124="U11","55x40",IF(F124="U10","40x25",IF(F124="U9","40x25",IF(F124="U8","29x22",IF(F124="U7","25x20","16x15"))))))))))))</f>
        <v>25x20</v>
      </c>
      <c r="H124" s="57" t="str">
        <f>IF(F124="KM","7,32x2,44",IF(F124="U23","7,32x2,44",IF(F124="U16","7,32x2,44",IF(F124="U15","7,32x2,44",IF(F124="U14","7,32x2,44",IF(F124="U13","5x2",IF(F124="U12_1","7,32x2,44",IF(F124="U12_2","7,32x2,44",IF(F124="U11","5x2",IF(F124="U10","5x2
",IF(F124="U9","5x2","4 Minitore")))))))))))</f>
        <v>4 Minitore</v>
      </c>
      <c r="I124" s="57" t="str">
        <f>IF(F124="KM","5",IF(F124="U23",5,IF(F124="U16","5",IF(F124="U15","5",IF(F124="U14","4",IF(F124="U13","4",IF(F124="U12_1","4",IF(F124="U12_2","4",IF(F124="U11","4",IF(F124="U10","4",IF(F124="U9","4","3")))))))))))</f>
        <v>3</v>
      </c>
      <c r="J124" s="57" t="str">
        <f>IF(F124="KM","Pleninger Stefan &amp; Matthias Wachter",IF(F124="U23","Egzon Gentiani &amp; Dinges Stefan",IF(F124="U16","Serdar Ekinci &amp; Gernot Sevelda &amp; Hubi Oberhofer",IF(F124="U15","",IF(F124="U14","Christian Neckamm  &amp; Thomas Pöschl",IF(F124="U13","",IF(F124="U12_1","Tobias Berger &amp; Mario Magler",IF(F124="U12_2","Tobias Berger &amp; Mario Magler",IF(F124="U11","Christian Wirth",IF(F124="U10","Thomas Brandl",IF(F124="U9","Tobias Berger &amp; Sebastian Putric",IF(F124="U8","Ömer Türkes &amp; Taha Mahsumi",IF(F124="U7","Alexander Zax &amp; Jürgen Joszt",IF(F124="FKG","Ronny Archam &amp; Florian Rac",IF(A124="Camp","Berger Dieter",IF(A124="Turnier","Berger Dieter","FEHLER"))))))))))))))))</f>
        <v>Alexander Zax &amp; Jürgen Joszt</v>
      </c>
      <c r="K124" s="57" t="str">
        <f>IF(F124="KM","+43 664 415 99 09 &amp; +43 699 119 70 312",IF(F124="U23","+43 670 18 59 080 &amp; +43 664 451 22 16",IF(F124="U16","+43 690 104 20 129 &amp; +43 676 401 09 13 &amp; +43 699 181 68 504",IF(F124="U15","",IF(F124="U14","+43 699 192 49 527 &amp; +43 677 613 55 114",IF(F124="U13","",IF(F124="U12_1","+43 66 199 13 52 &amp;  +43 664 762 09 93",IF(F124="U12_2","+43 66 199 13 52 &amp;  +43 664 762 09 93",IF(F124="U11","+43 660 423 93 83",IF(F124="U10","+43 676 377 16 30",IF(F124="U9","+43 66 199 13 52 &amp;  +43 660 914 92 36",IF(F124="U8","+43 676 661 62 26 &amp;  +43 681 208 11 599",IF(F124="U7","+43 664 458 88 84 &amp;  +43 660 549 82 40",IF(F124="FKG","+43 699 111 93 828 &amp;  +43 660 600 25 06",IF(A124="Camp","+43 660 77 39 500",IF(A124="Turnier","+43 660 77 39 500","FEHLER"))))))))))))))))</f>
        <v>+43 664 458 88 84 &amp;  +43 660 549 82 40</v>
      </c>
    </row>
    <row r="125" spans="1:11" ht="15.75" hidden="1" x14ac:dyDescent="0.25">
      <c r="A125" s="57" t="str">
        <f>'ICS2'!I115</f>
        <v>U8</v>
      </c>
      <c r="B125" s="103">
        <f>'ICS2'!B115</f>
        <v>46091</v>
      </c>
      <c r="C125" s="104">
        <f>'ICS2'!C115</f>
        <v>0</v>
      </c>
      <c r="D125" s="57" t="str">
        <f>'ICS2'!E115</f>
        <v>HORNSTEIN</v>
      </c>
      <c r="E125" s="57" t="str">
        <f>'ICS2'!H115</f>
        <v>Turnier</v>
      </c>
      <c r="F125" s="57" t="str">
        <f>A125</f>
        <v>U8</v>
      </c>
      <c r="G125" s="57" t="str">
        <f>IF(F125="KM","Großfeld",IF(F125="U23","Großfeld",IF(F125="U16","Großfeld",IF(F125="U15","Großfeld",IF(F125="U14","Großfeld",IF(F125="U12_1","55*40",IF(F125="U12_2","55x40",IF(F125="U11","55x40",IF(F125="U10","40x25",IF(F125="U9","40x25",IF(F125="U8","29x22",IF(F125="U7","25x20","16x15"))))))))))))</f>
        <v>29x22</v>
      </c>
      <c r="H125" s="57" t="str">
        <f>IF(F125="KM","7,32x2,44",IF(F125="U23","7,32x2,44",IF(F125="U16","7,32x2,44",IF(F125="U15","7,32x2,44",IF(F125="U14","7,32x2,44",IF(F125="U13","5x2",IF(F125="U12_1","7,32x2,44",IF(F125="U12_2","7,32x2,44",IF(F125="U11","5x2",IF(F125="U10","5x2
",IF(F125="U9","5x2","4 Minitore")))))))))))</f>
        <v>4 Minitore</v>
      </c>
      <c r="I125" s="57" t="str">
        <f>IF(F125="KM","5",IF(F125="U23",5,IF(F125="U16","5",IF(F125="U15","5",IF(F125="U14","4",IF(F125="U13","4",IF(F125="U12_1","4",IF(F125="U12_2","4",IF(F125="U11","4",IF(F125="U10","4",IF(F125="U9","4","3")))))))))))</f>
        <v>3</v>
      </c>
      <c r="J125" s="57" t="str">
        <f>IF(F125="KM","Pleninger Stefan &amp; Matthias Wachter",IF(F125="U23","Egzon Gentiani &amp; Dinges Stefan",IF(F125="U16","Serdar Ekinci &amp; Gernot Sevelda &amp; Hubi Oberhofer",IF(F125="U15","",IF(F125="U14","Christian Neckamm  &amp; Thomas Pöschl",IF(F125="U13","",IF(F125="U12_1","Tobias Berger &amp; Mario Magler",IF(F125="U12_2","Tobias Berger &amp; Mario Magler",IF(F125="U11","Christian Wirth",IF(F125="U10","Thomas Brandl",IF(F125="U9","Tobias Berger &amp; Sebastian Putric",IF(F125="U8","Ömer Türkes &amp; Taha Mahsumi",IF(F125="U7","Alexander Zax &amp; Jürgen Joszt",IF(F125="FKG","Ronny Archam &amp; Florian Rac",IF(A125="Camp","Berger Dieter",IF(A125="Turnier","Berger Dieter","FEHLER"))))))))))))))))</f>
        <v>Ömer Türkes &amp; Taha Mahsumi</v>
      </c>
      <c r="K125" s="57" t="str">
        <f>IF(F125="KM","+43 664 415 99 09 &amp; +43 699 119 70 312",IF(F125="U23","+43 670 18 59 080 &amp; +43 664 451 22 16",IF(F125="U16","+43 690 104 20 129 &amp; +43 676 401 09 13 &amp; +43 699 181 68 504",IF(F125="U15","",IF(F125="U14","+43 699 192 49 527 &amp; +43 677 613 55 114",IF(F125="U13","",IF(F125="U12_1","+43 66 199 13 52 &amp;  +43 664 762 09 93",IF(F125="U12_2","+43 66 199 13 52 &amp;  +43 664 762 09 93",IF(F125="U11","+43 660 423 93 83",IF(F125="U10","+43 676 377 16 30",IF(F125="U9","+43 66 199 13 52 &amp;  +43 660 914 92 36",IF(F125="U8","+43 676 661 62 26 &amp;  +43 681 208 11 599",IF(F125="U7","+43 664 458 88 84 &amp;  +43 660 549 82 40",IF(F125="FKG","+43 699 111 93 828 &amp;  +43 660 600 25 06",IF(A125="Camp","+43 660 77 39 500",IF(A125="Turnier","+43 660 77 39 500","FEHLER"))))))))))))))))</f>
        <v>+43 676 661 62 26 &amp;  +43 681 208 11 599</v>
      </c>
    </row>
    <row r="126" spans="1:11" s="123" customFormat="1" ht="15.75" x14ac:dyDescent="0.25">
      <c r="A126" s="120" t="str">
        <f>'ICS2'!I56</f>
        <v>U16</v>
      </c>
      <c r="B126" s="121">
        <f>'ICS2'!B56</f>
        <v>46326</v>
      </c>
      <c r="C126" s="122">
        <f>'ICS2'!C56</f>
        <v>0.60416666666666663</v>
      </c>
      <c r="D126" s="120" t="str">
        <f>'ICS2'!E56</f>
        <v>NEUFELD</v>
      </c>
      <c r="E126" s="120" t="str">
        <f>'ICS2'!H56</f>
        <v>SPG GMWP</v>
      </c>
      <c r="F126" s="120" t="str">
        <f>A126</f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>IF(F126="KM","Pleninger Stefan &amp; Matthias Wachter",IF(F126="U23","Egzon Gentiani &amp; Dinges Stefan",IF(F126="U16","Serdar Ekinci &amp; Gernot Sevelda &amp; Hubi Oberhofer",IF(F126="U15","",IF(F126="U14","Christian Neckamm  &amp; Thomas Pöschl",IF(F126="U13","",IF(F126="U12_1","Tobias Berger &amp; Mario Magler",IF(F126="U12_2","Tobias Berger &amp; Mario Magler",IF(F126="U11","Christian Wirth",IF(F126="U10","Thomas Brandl",IF(F126="U9","Tobias Berger &amp; Sebastian Putric",IF(F126="U8","Ömer Türkes &amp; Taha Mahsumi",IF(F126="U7","Alexander Zax &amp; Jürgen Joszt",IF(F126="FKG","Ronny Archam &amp; Florian Rac",IF(A126="Camp","Berger Dieter",IF(A126="Turnier","Berger Dieter","FEHLER"))))))))))))))))</f>
        <v>Serdar Ekinci &amp; Gernot Sevelda &amp; Hubi Oberhofer</v>
      </c>
      <c r="K126" s="120" t="str">
        <f>IF(F126="KM","+43 664 415 99 09 &amp; +43 699 119 70 312",IF(F126="U23","+43 670 18 59 080 &amp; +43 664 451 22 16",IF(F126="U16","+43 690 104 20 129 &amp; +43 676 401 09 13 &amp; +43 699 181 68 504",IF(F126="U15","",IF(F126="U14","+43 699 192 49 527 &amp; +43 677 613 55 114",IF(F126="U13","",IF(F126="U12_1","+43 66 199 13 52 &amp;  +43 664 762 09 93",IF(F126="U12_2","+43 66 199 13 52 &amp;  +43 664 762 09 93",IF(F126="U11","+43 660 423 93 83",IF(F126="U10","+43 676 377 16 30",IF(F126="U9","+43 66 199 13 52 &amp;  +43 660 914 92 36",IF(F126="U8","+43 676 661 62 26 &amp;  +43 681 208 11 599",IF(F126="U7","+43 664 458 88 84 &amp;  +43 660 549 82 40",IF(F126="FKG","+43 699 111 93 828 &amp;  +43 660 600 25 06",IF(A126="Camp","+43 660 77 39 500",IF(A126="Turnier","+43 660 77 39 500","FEHLER"))))))))))))))))</f>
        <v>+43 690 104 20 129 &amp; +43 676 401 09 13 &amp; +43 699 181 68 504</v>
      </c>
    </row>
    <row r="127" spans="1:11" s="123" customFormat="1" ht="15.75" x14ac:dyDescent="0.25">
      <c r="A127" s="117" t="str">
        <f>'ICS2'!I87</f>
        <v>U12_2</v>
      </c>
      <c r="B127" s="118">
        <f>'ICS2'!B87</f>
        <v>46332</v>
      </c>
      <c r="C127" s="119">
        <f>'ICS2'!C87</f>
        <v>0.70833333333333337</v>
      </c>
      <c r="D127" s="117" t="str">
        <f>'ICS2'!E87</f>
        <v>STEINBRUNN</v>
      </c>
      <c r="E127" s="117" t="str">
        <f>'ICS2'!H87</f>
        <v>Oggau</v>
      </c>
      <c r="F127" s="117" t="str">
        <f>A127</f>
        <v>U12_2</v>
      </c>
      <c r="G127" s="117" t="str">
        <f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>IF(F127="KM","Pleninger Stefan &amp; Matthias Wachter",IF(F127="U23","Egzon Gentiani &amp; Dinges Stefan",IF(F127="U16","Serdar Ekinci &amp; Gernot Sevelda &amp; Hubi Oberhofer",IF(F127="U15","",IF(F127="U14","Christian Neckamm  &amp; Thomas Pöschl",IF(F127="U13","",IF(F127="U12_1","Tobias Berger &amp; Mario Magler",IF(F127="U12_2","Tobias Berger &amp; Mario Magler",IF(F127="U11","Christian Wirth",IF(F127="U10","Thomas Brandl",IF(F127="U9","Tobias Berger &amp; Sebastian Putric",IF(F127="U8","Ömer Türkes &amp; Taha Mahsumi",IF(F127="U7","Alexander Zax &amp; Jürgen Joszt",IF(F127="FKG","Ronny Archam &amp; Florian Rac",IF(A127="Camp","Berger Dieter",IF(A127="Turnier","Berger Dieter","FEHLER"))))))))))))))))</f>
        <v>Tobias Berger &amp; Mario Magler</v>
      </c>
      <c r="K127" s="117" t="str">
        <f>IF(F127="KM","+43 664 415 99 09 &amp; +43 699 119 70 312",IF(F127="U23","+43 670 18 59 080 &amp; +43 664 451 22 16",IF(F127="U16","+43 690 104 20 129 &amp; +43 676 401 09 13 &amp; +43 699 181 68 504",IF(F127="U15","",IF(F127="U14","+43 699 192 49 527 &amp; +43 677 613 55 114",IF(F127="U13","",IF(F127="U12_1","+43 66 199 13 52 &amp;  +43 664 762 09 93",IF(F127="U12_2","+43 66 199 13 52 &amp;  +43 664 762 09 93",IF(F127="U11","+43 660 423 93 83",IF(F127="U10","+43 676 377 16 30",IF(F127="U9","+43 66 199 13 52 &amp;  +43 660 914 92 36",IF(F127="U8","+43 676 661 62 26 &amp;  +43 681 208 11 599",IF(F127="U7","+43 664 458 88 84 &amp;  +43 660 549 82 40",IF(F127="FKG","+43 699 111 93 828 &amp;  +43 660 600 25 06",IF(A127="Camp","+43 660 77 39 500",IF(A127="Turnier","+43 660 77 39 500","FEHLER"))))))))))))))))</f>
        <v>+43 66 199 13 52 &amp;  +43 664 762 09 93</v>
      </c>
    </row>
    <row r="128" spans="1:11" s="108" customFormat="1" ht="15.75" hidden="1" x14ac:dyDescent="0.25">
      <c r="A128" s="57" t="str">
        <f>'ICS2'!I114</f>
        <v>U8</v>
      </c>
      <c r="B128" s="103">
        <f>'ICS2'!B114</f>
        <v>46291</v>
      </c>
      <c r="C128" s="104">
        <f>'ICS2'!C114</f>
        <v>0</v>
      </c>
      <c r="D128" s="57" t="str">
        <f>'ICS2'!E114</f>
        <v>LEITHAPRODERSDORF</v>
      </c>
      <c r="E128" s="57" t="str">
        <f>'ICS2'!H114</f>
        <v>Turnier</v>
      </c>
      <c r="F128" s="57" t="str">
        <f>A128</f>
        <v>U8</v>
      </c>
      <c r="G128" s="57" t="str">
        <f>IF(F128="KM","Großfeld",IF(F128="U23","Großfeld",IF(F128="U16","Großfeld",IF(F128="U15","Großfeld",IF(F128="U14","Großfeld",IF(F128="U12_1","55*40",IF(F128="U12_2","55x40",IF(F128="U11","55x40",IF(F128="U10","40x25",IF(F128="U9","40x25",IF(F128="U8","29x22",IF(F128="U7","25x20","16x15"))))))))))))</f>
        <v>29x22</v>
      </c>
      <c r="H128" s="57" t="str">
        <f>IF(F128="KM","7,32x2,44",IF(F128="U23","7,32x2,44",IF(F128="U16","7,32x2,44",IF(F128="U15","7,32x2,44",IF(F128="U14","7,32x2,44",IF(F128="U13","5x2",IF(F128="U12_1","7,32x2,44",IF(F128="U12_2","7,32x2,44",IF(F128="U11","5x2",IF(F128="U10","5x2
",IF(F128="U9","5x2","4 Minitore")))))))))))</f>
        <v>4 Minitore</v>
      </c>
      <c r="I128" s="57" t="str">
        <f>IF(F128="KM","5",IF(F128="U23",5,IF(F128="U16","5",IF(F128="U15","5",IF(F128="U14","4",IF(F128="U13","4",IF(F128="U12_1","4",IF(F128="U12_2","4",IF(F128="U11","4",IF(F128="U10","4",IF(F128="U9","4","3")))))))))))</f>
        <v>3</v>
      </c>
      <c r="J128" s="57" t="str">
        <f>IF(F128="KM","Pleninger Stefan &amp; Matthias Wachter",IF(F128="U23","Egzon Gentiani &amp; Dinges Stefan",IF(F128="U16","Serdar Ekinci &amp; Gernot Sevelda &amp; Hubi Oberhofer",IF(F128="U15","",IF(F128="U14","Christian Neckamm  &amp; Thomas Pöschl",IF(F128="U13","",IF(F128="U12_1","Tobias Berger &amp; Mario Magler",IF(F128="U12_2","Tobias Berger &amp; Mario Magler",IF(F128="U11","Christian Wirth",IF(F128="U10","Thomas Brandl",IF(F128="U9","Tobias Berger &amp; Sebastian Putric",IF(F128="U8","Ömer Türkes &amp; Taha Mahsumi",IF(F128="U7","Alexander Zax &amp; Jürgen Joszt",IF(F128="FKG","Ronny Archam &amp; Florian Rac",IF(A128="Camp","Berger Dieter",IF(A128="Turnier","Berger Dieter","FEHLER"))))))))))))))))</f>
        <v>Ömer Türkes &amp; Taha Mahsumi</v>
      </c>
      <c r="K128" s="57" t="str">
        <f>IF(F128="KM","+43 664 415 99 09 &amp; +43 699 119 70 312",IF(F128="U23","+43 670 18 59 080 &amp; +43 664 451 22 16",IF(F128="U16","+43 690 104 20 129 &amp; +43 676 401 09 13 &amp; +43 699 181 68 504",IF(F128="U15","",IF(F128="U14","+43 699 192 49 527 &amp; +43 677 613 55 114",IF(F128="U13","",IF(F128="U12_1","+43 66 199 13 52 &amp;  +43 664 762 09 93",IF(F128="U12_2","+43 66 199 13 52 &amp;  +43 664 762 09 93",IF(F128="U11","+43 660 423 93 83",IF(F128="U10","+43 676 377 16 30",IF(F128="U9","+43 66 199 13 52 &amp;  +43 660 914 92 36",IF(F128="U8","+43 676 661 62 26 &amp;  +43 681 208 11 599",IF(F128="U7","+43 664 458 88 84 &amp;  +43 660 549 82 40",IF(F128="FKG","+43 699 111 93 828 &amp;  +43 660 600 25 06",IF(A128="Camp","+43 660 77 39 500",IF(A128="Turnier","+43 660 77 39 500","FEHLER"))))))))))))))))</f>
        <v>+43 676 661 62 26 &amp;  +43 681 208 11 599</v>
      </c>
    </row>
    <row r="129" spans="1:11" s="108" customFormat="1" ht="15.75" x14ac:dyDescent="0.25">
      <c r="A129" s="120" t="str">
        <f>'ICS2'!I47</f>
        <v>U23</v>
      </c>
      <c r="B129" s="121">
        <f>'ICS2'!B47</f>
        <v>46333</v>
      </c>
      <c r="C129" s="122">
        <f>'ICS2'!C47</f>
        <v>0.60416666666666663</v>
      </c>
      <c r="D129" s="120" t="str">
        <f>'ICS2'!E47</f>
        <v>NEUFELD</v>
      </c>
      <c r="E129" s="120" t="str">
        <f>'ICS2'!H47</f>
        <v>Andau</v>
      </c>
      <c r="F129" s="120" t="str">
        <f>A129</f>
        <v>U23</v>
      </c>
      <c r="G129" s="120" t="str">
        <f>IF(F129="KM","Großfeld",IF(F129="U23","Großfeld",IF(F129="U16","Großfeld",IF(F129="U15","Großfeld",IF(F129="U14","Großfeld",IF(F129="U12_1","55*40",IF(F129="U12_2","55x40",IF(F129="U11","55x40",IF(F129="U10","40x25",IF(F129="U9","40x25",IF(F129="U8","29x22",IF(F129="U7","25x20","16x15"))))))))))))</f>
        <v>Großfeld</v>
      </c>
      <c r="H129" s="120" t="str">
        <f>IF(F129="KM","7,32x2,44",IF(F129="U23","7,32x2,44",IF(F129="U16","7,32x2,44",IF(F129="U15","7,32x2,44",IF(F129="U14","7,32x2,44",IF(F129="U13","5x2",IF(F129="U12_1","7,32x2,44",IF(F129="U12_2","7,32x2,44",IF(F129="U11","5x2",IF(F129="U10","5x2
",IF(F129="U9","5x2","4 Minitore")))))))))))</f>
        <v>7,32x2,44</v>
      </c>
      <c r="I129" s="120">
        <f>IF(F129="KM","5",IF(F129="U23",5,IF(F129="U16","5",IF(F129="U15","5",IF(F129="U14","4",IF(F129="U13","4",IF(F129="U12_1","4",IF(F129="U12_2","4",IF(F129="U11","4",IF(F129="U10","4",IF(F129="U9","4","3")))))))))))</f>
        <v>5</v>
      </c>
      <c r="J129" s="120" t="str">
        <f>IF(F129="KM","Pleninger Stefan &amp; Matthias Wachter",IF(F129="U23","Egzon Gentiani &amp; Dinges Stefan",IF(F129="U16","Serdar Ekinci &amp; Gernot Sevelda &amp; Hubi Oberhofer",IF(F129="U15","",IF(F129="U14","Christian Neckamm  &amp; Thomas Pöschl",IF(F129="U13","",IF(F129="U12_1","Tobias Berger &amp; Mario Magler",IF(F129="U12_2","Tobias Berger &amp; Mario Magler",IF(F129="U11","Christian Wirth",IF(F129="U10","Thomas Brandl",IF(F129="U9","Tobias Berger &amp; Sebastian Putric",IF(F129="U8","Ömer Türkes &amp; Taha Mahsumi",IF(F129="U7","Alexander Zax &amp; Jürgen Joszt",IF(F129="FKG","Ronny Archam &amp; Florian Rac",IF(A129="Camp","Berger Dieter",IF(A129="Turnier","Berger Dieter","FEHLER"))))))))))))))))</f>
        <v>Egzon Gentiani &amp; Dinges Stefan</v>
      </c>
      <c r="K129" s="120" t="str">
        <f>IF(F129="KM","+43 664 415 99 09 &amp; +43 699 119 70 312",IF(F129="U23","+43 670 18 59 080 &amp; +43 664 451 22 16",IF(F129="U16","+43 690 104 20 129 &amp; +43 676 401 09 13 &amp; +43 699 181 68 504",IF(F129="U15","",IF(F129="U14","+43 699 192 49 527 &amp; +43 677 613 55 114",IF(F129="U13","",IF(F129="U12_1","+43 66 199 13 52 &amp;  +43 664 762 09 93",IF(F129="U12_2","+43 66 199 13 52 &amp;  +43 664 762 09 93",IF(F129="U11","+43 660 423 93 83",IF(F129="U10","+43 676 377 16 30",IF(F129="U9","+43 66 199 13 52 &amp;  +43 660 914 92 36",IF(F129="U8","+43 676 661 62 26 &amp;  +43 681 208 11 599",IF(F129="U7","+43 664 458 88 84 &amp;  +43 660 549 82 40",IF(F129="FKG","+43 699 111 93 828 &amp;  +43 660 600 25 06",IF(A129="Camp","+43 660 77 39 500",IF(A129="Turnier","+43 660 77 39 500","FEHLER"))))))))))))))))</f>
        <v>+43 670 18 59 080 &amp; +43 664 451 22 16</v>
      </c>
    </row>
    <row r="130" spans="1:11" s="112" customFormat="1" ht="15.75" x14ac:dyDescent="0.25">
      <c r="A130" s="120" t="str">
        <f>'ICS2'!I34</f>
        <v>KM</v>
      </c>
      <c r="B130" s="121">
        <f>'ICS2'!B34</f>
        <v>46333</v>
      </c>
      <c r="C130" s="122">
        <f>'ICS2'!C34</f>
        <v>0.6875</v>
      </c>
      <c r="D130" s="120" t="str">
        <f>'ICS2'!E34</f>
        <v>NEUFELD</v>
      </c>
      <c r="E130" s="120" t="str">
        <f>'ICS2'!H34</f>
        <v>Andau</v>
      </c>
      <c r="F130" s="120" t="str">
        <f>A130</f>
        <v>KM</v>
      </c>
      <c r="G130" s="120" t="str">
        <f>IF(F130="KM","Großfeld",IF(F130="U23","Großfeld",IF(F130="U16","Großfeld",IF(F130="U15","Großfeld",IF(F130="U14","Großfeld",IF(F130="U12_1","55*40",IF(F130="U12_2","55x40",IF(F130="U11","55x40",IF(F130="U10","40x25",IF(F130="U9","40x25",IF(F130="U8","29x22",IF(F130="U7","25x20","16x15"))))))))))))</f>
        <v>Großfeld</v>
      </c>
      <c r="H130" s="120" t="str">
        <f>IF(F130="KM","7,32x2,44",IF(F130="U23","7,32x2,44",IF(F130="U16","7,32x2,44",IF(F130="U15","7,32x2,44",IF(F130="U14","7,32x2,44",IF(F130="U13","5x2",IF(F130="U12_1","7,32x2,44",IF(F130="U12_2","7,32x2,44",IF(F130="U11","5x2",IF(F130="U10","5x2
",IF(F130="U9","5x2","4 Minitore")))))))))))</f>
        <v>7,32x2,44</v>
      </c>
      <c r="I130" s="120" t="str">
        <f>IF(F130="KM","5",IF(F130="U23",5,IF(F130="U16","5",IF(F130="U15","5",IF(F130="U14","4",IF(F130="U13","4",IF(F130="U12_1","4",IF(F130="U12_2","4",IF(F130="U11","4",IF(F130="U10","4",IF(F130="U9","4","3")))))))))))</f>
        <v>5</v>
      </c>
      <c r="J130" s="120" t="str">
        <f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75" x14ac:dyDescent="0.25">
      <c r="A131" s="120" t="str">
        <f>'ICS2'!I58</f>
        <v>U16</v>
      </c>
      <c r="B131" s="121">
        <f>'ICS2'!B58</f>
        <v>46340</v>
      </c>
      <c r="C131" s="122">
        <f>'ICS2'!C58</f>
        <v>0.45833333333333331</v>
      </c>
      <c r="D131" s="120" t="str">
        <f>'ICS2'!E58</f>
        <v>NEUFELD</v>
      </c>
      <c r="E131" s="120" t="str">
        <f>'ICS2'!H58</f>
        <v>Großhöflein</v>
      </c>
      <c r="F131" s="120" t="str">
        <f>A131</f>
        <v>U16</v>
      </c>
      <c r="G131" s="120" t="str">
        <f>IF(F131="KM","Großfeld",IF(F131="U23","Großfeld",IF(F131="U16","Großfeld",IF(F131="U15","Großfeld",IF(F131="U14","Großfeld",IF(F131="U12_1","55*40",IF(F131="U12_2","55x40",IF(F131="U11","55x40",IF(F131="U10","40x25",IF(F131="U9","40x25",IF(F131="U8","29x22",IF(F131="U7","25x20","16x15"))))))))))))</f>
        <v>Großfeld</v>
      </c>
      <c r="H131" s="120" t="str">
        <f>IF(F131="KM","7,32x2,44",IF(F131="U23","7,32x2,44",IF(F131="U16","7,32x2,44",IF(F131="U15","7,32x2,44",IF(F131="U14","7,32x2,44",IF(F131="U13","5x2",IF(F131="U12_1","7,32x2,44",IF(F131="U12_2","7,32x2,44",IF(F131="U11","5x2",IF(F131="U10","5x2
",IF(F131="U9","5x2","4 Minitore")))))))))))</f>
        <v>7,32x2,44</v>
      </c>
      <c r="I131" s="120" t="str">
        <f>IF(F131="KM","5",IF(F131="U23",5,IF(F131="U16","5",IF(F131="U15","5",IF(F131="U14","4",IF(F131="U13","4",IF(F131="U12_1","4",IF(F131="U12_2","4",IF(F131="U11","4",IF(F131="U10","4",IF(F131="U9","4","3")))))))))))</f>
        <v>5</v>
      </c>
      <c r="J131" s="120" t="str">
        <f>IF(F131="KM","Pleninger Stefan &amp; Matthias Wachter",IF(F131="U23","Egzon Gentiani &amp; Dinges Stefan",IF(F131="U16","Serdar Ekinci &amp; Gernot Sevelda &amp; Hubi Oberhofer",IF(F131="U15","",IF(F131="U14","Christian Neckamm  &amp; Thomas Pöschl",IF(F131="U13","",IF(F131="U12_1","Tobias Berger &amp; Mario Magler",IF(F131="U12_2","Tobias Berger &amp; Mario Magler",IF(F131="U11","Christian Wirth",IF(F131="U10","Thomas Brandl",IF(F131="U9","Tobias Berger &amp; Sebastian Putric",IF(F131="U8","Ömer Türkes &amp; Taha Mahsumi",IF(F131="U7","Alexander Zax &amp; Jürgen Joszt",IF(F131="FKG","Ronny Archam &amp; Florian Rac",IF(A131="Camp","Berger Dieter",IF(A131="Turnier","Berger Dieter","FEHLER"))))))))))))))))</f>
        <v>Serdar Ekinci &amp; Gernot Sevelda &amp; Hubi Oberhofer</v>
      </c>
      <c r="K131" s="120" t="str">
        <f>IF(F131="KM","+43 664 415 99 09 &amp; +43 699 119 70 312",IF(F131="U23","+43 670 18 59 080 &amp; +43 664 451 22 16",IF(F131="U16","+43 690 104 20 129 &amp; +43 676 401 09 13 &amp; +43 699 181 68 504",IF(F131="U15","",IF(F131="U14","+43 699 192 49 527 &amp; +43 677 613 55 114",IF(F131="U13","",IF(F131="U12_1","+43 66 199 13 52 &amp;  +43 664 762 09 93",IF(F131="U12_2","+43 66 199 13 52 &amp;  +43 664 762 09 93",IF(F131="U11","+43 660 423 93 83",IF(F131="U10","+43 676 377 16 30",IF(F131="U9","+43 66 199 13 52 &amp;  +43 660 914 92 36",IF(F131="U8","+43 676 661 62 26 &amp;  +43 681 208 11 599",IF(F131="U7","+43 664 458 88 84 &amp;  +43 660 549 82 40",IF(F131="FKG","+43 699 111 93 828 &amp;  +43 660 600 25 06",IF(A131="Camp","+43 660 77 39 500",IF(A131="Turnier","+43 660 77 39 500","FEHLER"))))))))))))))))</f>
        <v>+43 690 104 20 129 &amp; +43 676 401 09 13 &amp; +43 699 181 68 504</v>
      </c>
    </row>
    <row r="132" spans="1:11" s="123" customFormat="1" ht="15.75" hidden="1" x14ac:dyDescent="0.25">
      <c r="A132" s="57" t="str">
        <f>'ICS2'!I104</f>
        <v>U9</v>
      </c>
      <c r="B132" s="103">
        <f>'ICS2'!B104</f>
        <v>46283</v>
      </c>
      <c r="C132" s="104">
        <f>'ICS2'!C104</f>
        <v>0</v>
      </c>
      <c r="D132" s="57" t="str">
        <f>'ICS2'!E104</f>
        <v/>
      </c>
      <c r="E132" s="57" t="str">
        <f>'ICS2'!H104</f>
        <v>Spielfrei</v>
      </c>
      <c r="F132" s="57" t="str">
        <f>A132</f>
        <v>U9</v>
      </c>
      <c r="G132" s="57" t="str">
        <f>IF(F132="KM","Großfeld",IF(F132="U23","Großfeld",IF(F132="U16","Großfeld",IF(F132="U15","Großfeld",IF(F132="U14","Großfeld",IF(F132="U12_1","55*40",IF(F132="U12_2","55x40",IF(F132="U11","55x40",IF(F132="U10","40x25",IF(F132="U9","40x25",IF(F132="U8","29x22",IF(F132="U7","25x20","16x15"))))))))))))</f>
        <v>40x25</v>
      </c>
      <c r="H132" s="57" t="str">
        <f>IF(F132="KM","7,32x2,44",IF(F132="U23","7,32x2,44",IF(F132="U16","7,32x2,44",IF(F132="U15","7,32x2,44",IF(F132="U14","7,32x2,44",IF(F132="U13","5x2",IF(F132="U12_1","7,32x2,44",IF(F132="U12_2","7,32x2,44",IF(F132="U11","5x2",IF(F132="U10","5x2
",IF(F132="U9","5x2","4 Minitore")))))))))))</f>
        <v>5x2</v>
      </c>
      <c r="I132" s="57" t="str">
        <f>IF(F132="KM","5",IF(F132="U23",5,IF(F132="U16","5",IF(F132="U15","5",IF(F132="U14","4",IF(F132="U13","4",IF(F132="U12_1","4",IF(F132="U12_2","4",IF(F132="U11","4",IF(F132="U10","4",IF(F132="U9","4","3")))))))))))</f>
        <v>4</v>
      </c>
      <c r="J132" s="57" t="str">
        <f>IF(F132="KM","Pleninger Stefan &amp; Matthias Wachter",IF(F132="U23","Egzon Gentiani &amp; Dinges Stefan",IF(F132="U16","Serdar Ekinci &amp; Gernot Sevelda &amp; Hubi Oberhofer",IF(F132="U15","",IF(F132="U14","Christian Neckamm  &amp; Thomas Pöschl",IF(F132="U13","",IF(F132="U12_1","Tobias Berger &amp; Mario Magler",IF(F132="U12_2","Tobias Berger &amp; Mario Magler",IF(F132="U11","Christian Wirth",IF(F132="U10","Thomas Brandl",IF(F132="U9","Tobias Berger &amp; Sebastian Putric",IF(F132="U8","Ömer Türkes &amp; Taha Mahsumi",IF(F132="U7","Alexander Zax &amp; Jürgen Joszt",IF(F132="FKG","Ronny Archam &amp; Florian Rac",IF(A132="Camp","Berger Dieter",IF(A132="Turnier","Berger Dieter","FEHLER"))))))))))))))))</f>
        <v>Tobias Berger &amp; Sebastian Putric</v>
      </c>
      <c r="K132" s="57" t="str">
        <f>IF(F132="KM","+43 664 415 99 09 &amp; +43 699 119 70 312",IF(F132="U23","+43 670 18 59 080 &amp; +43 664 451 22 16",IF(F132="U16","+43 690 104 20 129 &amp; +43 676 401 09 13 &amp; +43 699 181 68 504",IF(F132="U15","",IF(F132="U14","+43 699 192 49 527 &amp; +43 677 613 55 114",IF(F132="U13","",IF(F132="U12_1","+43 66 199 13 52 &amp;  +43 664 762 09 93",IF(F132="U12_2","+43 66 199 13 52 &amp;  +43 664 762 09 93",IF(F132="U11","+43 660 423 93 83",IF(F132="U10","+43 676 377 16 30",IF(F132="U9","+43 66 199 13 52 &amp;  +43 660 914 92 36",IF(F132="U8","+43 676 661 62 26 &amp;  +43 681 208 11 599",IF(F132="U7","+43 664 458 88 84 &amp;  +43 660 549 82 40",IF(F132="FKG","+43 699 111 93 828 &amp;  +43 660 600 25 06",IF(A132="Camp","+43 660 77 39 500",IF(A132="Turnier","+43 660 77 39 500","FEHLER"))))))))))))))))</f>
        <v>+43 66 199 13 52 &amp;  +43 660 914 92 36</v>
      </c>
    </row>
    <row r="133" spans="1:11" ht="15.75" hidden="1" x14ac:dyDescent="0.25">
      <c r="A133" s="57" t="str">
        <f>'ICS2'!I105</f>
        <v>U9</v>
      </c>
      <c r="B133" s="103">
        <f>'ICS2'!B105</f>
        <v>46290</v>
      </c>
      <c r="C133" s="104">
        <f>'ICS2'!C105</f>
        <v>0</v>
      </c>
      <c r="D133" s="57" t="str">
        <f>'ICS2'!E105</f>
        <v>EISENSTADT</v>
      </c>
      <c r="E133" s="57" t="str">
        <f>'ICS2'!H105</f>
        <v>Eisenstadt</v>
      </c>
      <c r="F133" s="57" t="str">
        <f>A133</f>
        <v>U9</v>
      </c>
      <c r="G133" s="57" t="str">
        <f>IF(F133="KM","Großfeld",IF(F133="U23","Großfeld",IF(F133="U16","Großfeld",IF(F133="U15","Großfeld",IF(F133="U14","Großfeld",IF(F133="U12_1","55*40",IF(F133="U12_2","55x40",IF(F133="U11","55x40",IF(F133="U10","40x25",IF(F133="U9","40x25",IF(F133="U8","29x22",IF(F133="U7","25x20","16x15"))))))))))))</f>
        <v>40x25</v>
      </c>
      <c r="H133" s="57" t="str">
        <f>IF(F133="KM","7,32x2,44",IF(F133="U23","7,32x2,44",IF(F133="U16","7,32x2,44",IF(F133="U15","7,32x2,44",IF(F133="U14","7,32x2,44",IF(F133="U13","5x2",IF(F133="U12_1","7,32x2,44",IF(F133="U12_2","7,32x2,44",IF(F133="U11","5x2",IF(F133="U10","5x2
",IF(F133="U9","5x2","4 Minitore")))))))))))</f>
        <v>5x2</v>
      </c>
      <c r="I133" s="57" t="str">
        <f>IF(F133="KM","5",IF(F133="U23",5,IF(F133="U16","5",IF(F133="U15","5",IF(F133="U14","4",IF(F133="U13","4",IF(F133="U12_1","4",IF(F133="U12_2","4",IF(F133="U11","4",IF(F133="U10","4",IF(F133="U9","4","3")))))))))))</f>
        <v>4</v>
      </c>
      <c r="J133" s="57" t="str">
        <f>IF(F133="KM","Pleninger Stefan &amp; Matthias Wachter",IF(F133="U23","Egzon Gentiani &amp; Dinges Stefan",IF(F133="U16","Serdar Ekinci &amp; Gernot Sevelda &amp; Hubi Oberhofer",IF(F133="U15","",IF(F133="U14","Christian Neckamm  &amp; Thomas Pöschl",IF(F133="U13","",IF(F133="U12_1","Tobias Berger &amp; Mario Magler",IF(F133="U12_2","Tobias Berger &amp; Mario Magler",IF(F133="U11","Christian Wirth",IF(F133="U10","Thomas Brandl",IF(F133="U9","Tobias Berger &amp; Sebastian Putric",IF(F133="U8","Ömer Türkes &amp; Taha Mahsumi",IF(F133="U7","Alexander Zax &amp; Jürgen Joszt",IF(F133="FKG","Ronny Archam &amp; Florian Rac",IF(A133="Camp","Berger Dieter",IF(A133="Turnier","Berger Dieter","FEHLER"))))))))))))))))</f>
        <v>Tobias Berger &amp; Sebastian Putric</v>
      </c>
      <c r="K133" s="57" t="str">
        <f>IF(F133="KM","+43 664 415 99 09 &amp; +43 699 119 70 312",IF(F133="U23","+43 670 18 59 080 &amp; +43 664 451 22 16",IF(F133="U16","+43 690 104 20 129 &amp; +43 676 401 09 13 &amp; +43 699 181 68 504",IF(F133="U15","",IF(F133="U14","+43 699 192 49 527 &amp; +43 677 613 55 114",IF(F133="U13","",IF(F133="U12_1","+43 66 199 13 52 &amp;  +43 664 762 09 93",IF(F133="U12_2","+43 66 199 13 52 &amp;  +43 664 762 09 93",IF(F133="U11","+43 660 423 93 83",IF(F133="U10","+43 676 377 16 30",IF(F133="U9","+43 66 199 13 52 &amp;  +43 660 914 92 36",IF(F133="U8","+43 676 661 62 26 &amp;  +43 681 208 11 599",IF(F133="U7","+43 664 458 88 84 &amp;  +43 660 549 82 40",IF(F133="FKG","+43 699 111 93 828 &amp;  +43 660 600 25 06",IF(A133="Camp","+43 660 77 39 500",IF(A133="Turnier","+43 660 77 39 500","FEHLER"))))))))))))))))</f>
        <v>+43 66 199 13 52 &amp;  +43 660 914 92 36</v>
      </c>
    </row>
    <row r="134" spans="1:11" ht="15.75" hidden="1" x14ac:dyDescent="0.25">
      <c r="A134" s="109" t="str">
        <f>'ICS2'!I137</f>
        <v>Weihnachtsfeier</v>
      </c>
      <c r="B134" s="110">
        <f>'ICS2'!B137</f>
        <v>46359</v>
      </c>
      <c r="C134" s="111">
        <f>'ICS2'!C137</f>
        <v>0.70833333333333337</v>
      </c>
      <c r="D134" s="109" t="str">
        <f>'ICS2'!E137</f>
        <v>STEINBRUNN</v>
      </c>
      <c r="E134" s="109" t="str">
        <f>'ICS2'!H137</f>
        <v>Weihnachtsfeier 2026</v>
      </c>
      <c r="F134" s="109" t="str">
        <f>A134</f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>IF(F134="KM","Pleninger Stefan &amp; Matthias Wachter",IF(F134="U23","Egzon Gentiani &amp; Dinges Stefan",IF(F134="U16","Serdar Ekinci &amp; Gernot Sevelda &amp; Hubi Oberhofer",IF(F134="U15","",IF(F134="U14","Christian Neckamm  &amp; Thomas Pöschl",IF(F134="U13","",IF(F134="U12_1","Tobias Berger &amp; Mario Magler",IF(F134="U12_2","Tobias Berger &amp; Mario Magler",IF(F134="U11","Christian Wirth",IF(F134="U10","Thomas Brandl",IF(F134="U9","Tobias Berger &amp; Sebastian Putric",IF(F134="U8","Ömer Türkes &amp; Taha Mahsumi",IF(F134="U7","Alexander Zax &amp; Jürgen Joszt",IF(F134="FKG","Ronny Archam &amp; Florian Rac",IF(A134="Camp","Berger Dieter",IF(A134="Turnier","Berger Dieter","FEHLER"))))))))))))))))</f>
        <v>FEHLER</v>
      </c>
      <c r="K134" s="109" t="str">
        <f>IF(F134="KM","+43 664 415 99 09 &amp; +43 699 119 70 312",IF(F134="U23","+43 670 18 59 080 &amp; +43 664 451 22 16",IF(F134="U16","+43 690 104 20 129 &amp; +43 676 401 09 13 &amp; +43 699 181 68 504",IF(F134="U15","",IF(F134="U14","+43 699 192 49 527 &amp; +43 677 613 55 114",IF(F134="U13","",IF(F134="U12_1","+43 66 199 13 52 &amp;  +43 664 762 09 93",IF(F134="U12_2","+43 66 199 13 52 &amp;  +43 664 762 09 93",IF(F134="U11","+43 660 423 93 83",IF(F134="U10","+43 676 377 16 30",IF(F134="U9","+43 66 199 13 52 &amp;  +43 660 914 92 36",IF(F134="U8","+43 676 661 62 26 &amp;  +43 681 208 11 599",IF(F134="U7","+43 664 458 88 84 &amp;  +43 660 549 82 40",IF(F134="FKG","+43 699 111 93 828 &amp;  +43 660 600 25 06",IF(A134="Camp","+43 660 77 39 500",IF(A134="Turnier","+43 660 77 39 500","FEHLER"))))))))))))))))</f>
        <v>FEHLER</v>
      </c>
    </row>
    <row r="135" spans="1:11" ht="15.75" x14ac:dyDescent="0.25">
      <c r="A135" s="57" t="str">
        <f>'ICS2'!I134</f>
        <v>Turnier</v>
      </c>
      <c r="B135" s="103">
        <f>'ICS2'!B134</f>
        <v>46367</v>
      </c>
      <c r="C135" s="104">
        <f>'ICS2'!C134</f>
        <v>0.6875</v>
      </c>
      <c r="D135" s="57" t="str">
        <f>'ICS2'!E134</f>
        <v>STEINBRUNN</v>
      </c>
      <c r="E135" s="57" t="str">
        <f>'ICS2'!H134</f>
        <v>Hallencup 2026_27</v>
      </c>
      <c r="F135" s="57" t="str">
        <f>A135</f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>IF(F135="KM","Pleninger Stefan &amp; Matthias Wachter",IF(F135="U23","Egzon Gentiani &amp; Dinges Stefan",IF(F135="U16","Serdar Ekinci &amp; Gernot Sevelda &amp; Hubi Oberhofer",IF(F135="U15","",IF(F135="U14","Christian Neckamm  &amp; Thomas Pöschl",IF(F135="U13","",IF(F135="U12_1","Tobias Berger &amp; Mario Magler",IF(F135="U12_2","Tobias Berger &amp; Mario Magler",IF(F135="U11","Christian Wirth",IF(F135="U10","Thomas Brandl",IF(F135="U9","Tobias Berger &amp; Sebastian Putric",IF(F135="U8","Ömer Türkes &amp; Taha Mahsumi",IF(F135="U7","Alexander Zax &amp; Jürgen Joszt",IF(F135="FKG","Ronny Archam &amp; Florian Rac",IF(A135="Camp","Berger Dieter",IF(A135="Turnier","Berger Dieter","FEHLER"))))))))))))))))</f>
        <v>Berger Dieter</v>
      </c>
      <c r="K135" s="57" t="str">
        <f>IF(F135="KM","+43 664 415 99 09 &amp; +43 699 119 70 312",IF(F135="U23","+43 670 18 59 080 &amp; +43 664 451 22 16",IF(F135="U16","+43 690 104 20 129 &amp; +43 676 401 09 13 &amp; +43 699 181 68 504",IF(F135="U15","",IF(F135="U14","+43 699 192 49 527 &amp; +43 677 613 55 114",IF(F135="U13","",IF(F135="U12_1","+43 66 199 13 52 &amp;  +43 664 762 09 93",IF(F135="U12_2","+43 66 199 13 52 &amp;  +43 664 762 09 93",IF(F135="U11","+43 660 423 93 83",IF(F135="U10","+43 676 377 16 30",IF(F135="U9","+43 66 199 13 52 &amp;  +43 660 914 92 36",IF(F135="U8","+43 676 661 62 26 &amp;  +43 681 208 11 599",IF(F135="U7","+43 664 458 88 84 &amp;  +43 660 549 82 40",IF(F135="FKG","+43 699 111 93 828 &amp;  +43 660 600 25 06",IF(A135="Camp","+43 660 77 39 500",IF(A135="Turnier","+43 660 77 39 500","FEHLER"))))))))))))))))</f>
        <v>+43 660 77 39 500</v>
      </c>
    </row>
    <row r="136" spans="1:11" ht="15.75" x14ac:dyDescent="0.25">
      <c r="A136" s="109" t="str">
        <f>'ICS2'!I135</f>
        <v>Turnier</v>
      </c>
      <c r="B136" s="110">
        <f>'ICS2'!B135</f>
        <v>46368</v>
      </c>
      <c r="C136" s="111">
        <f>'ICS2'!C135</f>
        <v>0.35416666666666669</v>
      </c>
      <c r="D136" s="109" t="str">
        <f>'ICS2'!E135</f>
        <v>STEINBRUNN</v>
      </c>
      <c r="E136" s="109" t="str">
        <f>'ICS2'!H135</f>
        <v>Hallencup 2026_27</v>
      </c>
      <c r="F136" s="109" t="str">
        <f>A136</f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>IF(F136="KM","Pleninger Stefan &amp; Matthias Wachter",IF(F136="U23","Egzon Gentiani &amp; Dinges Stefan",IF(F136="U16","Serdar Ekinci &amp; Gernot Sevelda &amp; Hubi Oberhofer",IF(F136="U15","",IF(F136="U14","Christian Neckamm  &amp; Thomas Pöschl",IF(F136="U13","",IF(F136="U12_1","Tobias Berger &amp; Mario Magler",IF(F136="U12_2","Tobias Berger &amp; Mario Magler",IF(F136="U11","Christian Wirth",IF(F136="U10","Thomas Brandl",IF(F136="U9","Tobias Berger &amp; Sebastian Putric",IF(F136="U8","Ömer Türkes &amp; Taha Mahsumi",IF(F136="U7","Alexander Zax &amp; Jürgen Joszt",IF(F136="FKG","Ronny Archam &amp; Florian Rac",IF(A136="Camp","Berger Dieter",IF(A136="Turnier","Berger Dieter","FEHLER"))))))))))))))))</f>
        <v>Berger Dieter</v>
      </c>
      <c r="K136" s="109" t="str">
        <f>IF(F136="KM","+43 664 415 99 09 &amp; +43 699 119 70 312",IF(F136="U23","+43 670 18 59 080 &amp; +43 664 451 22 16",IF(F136="U16","+43 690 104 20 129 &amp; +43 676 401 09 13 &amp; +43 699 181 68 504",IF(F136="U15","",IF(F136="U14","+43 699 192 49 527 &amp; +43 677 613 55 114",IF(F136="U13","",IF(F136="U12_1","+43 66 199 13 52 &amp;  +43 664 762 09 93",IF(F136="U12_2","+43 66 199 13 52 &amp;  +43 664 762 09 93",IF(F136="U11","+43 660 423 93 83",IF(F136="U10","+43 676 377 16 30",IF(F136="U9","+43 66 199 13 52 &amp;  +43 660 914 92 36",IF(F136="U8","+43 676 661 62 26 &amp;  +43 681 208 11 599",IF(F136="U7","+43 664 458 88 84 &amp;  +43 660 549 82 40",IF(F136="FKG","+43 699 111 93 828 &amp;  +43 660 600 25 06",IF(A136="Camp","+43 660 77 39 500",IF(A136="Turnier","+43 660 77 39 500","FEHLER"))))))))))))))))</f>
        <v>+43 660 77 39 500</v>
      </c>
    </row>
    <row r="137" spans="1:11" ht="15.75" hidden="1" x14ac:dyDescent="0.25">
      <c r="A137" s="57" t="str">
        <f>'ICS2'!I109</f>
        <v>U9</v>
      </c>
      <c r="B137" s="103">
        <f>'ICS2'!B109</f>
        <v>46318</v>
      </c>
      <c r="C137" s="104">
        <f>'ICS2'!C109</f>
        <v>0</v>
      </c>
      <c r="D137" s="57" t="str">
        <f>'ICS2'!E109</f>
        <v/>
      </c>
      <c r="E137" s="57" t="str">
        <f>'ICS2'!H109</f>
        <v>Spielfrei</v>
      </c>
      <c r="F137" s="57" t="str">
        <f>A137</f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>IF(F137="KM","Pleninger Stefan &amp; Matthias Wachter",IF(F137="U23","Egzon Gentiani &amp; Dinges Stefan",IF(F137="U16","Serdar Ekinci &amp; Gernot Sevelda &amp; Hubi Oberhofer",IF(F137="U15","",IF(F137="U14","Christian Neckamm  &amp; Thomas Pöschl",IF(F137="U13","",IF(F137="U12_1","Tobias Berger &amp; Mario Magler",IF(F137="U12_2","Tobias Berger &amp; Mario Magler",IF(F137="U11","Christian Wirth",IF(F137="U10","Thomas Brandl",IF(F137="U9","Tobias Berger &amp; Sebastian Putric",IF(F137="U8","Ömer Türkes &amp; Taha Mahsumi",IF(F137="U7","Alexander Zax &amp; Jürgen Joszt",IF(F137="FKG","Ronny Archam &amp; Florian Rac",IF(A137="Camp","Berger Dieter",IF(A137="Turnier","Berger Dieter","FEHLER"))))))))))))))))</f>
        <v>Tobias Berger &amp; Sebastian Putric</v>
      </c>
      <c r="K137" s="57" t="str">
        <f>IF(F137="KM","+43 664 415 99 09 &amp; +43 699 119 70 312",IF(F137="U23","+43 670 18 59 080 &amp; +43 664 451 22 16",IF(F137="U16","+43 690 104 20 129 &amp; +43 676 401 09 13 &amp; +43 699 181 68 504",IF(F137="U15","",IF(F137="U14","+43 699 192 49 527 &amp; +43 677 613 55 114",IF(F137="U13","",IF(F137="U12_1","+43 66 199 13 52 &amp;  +43 664 762 09 93",IF(F137="U12_2","+43 66 199 13 52 &amp;  +43 664 762 09 93",IF(F137="U11","+43 660 423 93 83",IF(F137="U10","+43 676 377 16 30",IF(F137="U9","+43 66 199 13 52 &amp;  +43 660 914 92 36",IF(F137="U8","+43 676 661 62 26 &amp;  +43 681 208 11 599",IF(F137="U7","+43 664 458 88 84 &amp;  +43 660 549 82 40",IF(F137="FKG","+43 699 111 93 828 &amp;  +43 660 600 25 06",IF(A137="Camp","+43 660 77 39 500",IF(A137="Turnier","+43 660 77 39 500","FEHLER"))))))))))))))))</f>
        <v>+43 66 199 13 52 &amp;  +43 660 914 92 36</v>
      </c>
    </row>
    <row r="138" spans="1:11" ht="15.75" x14ac:dyDescent="0.25">
      <c r="A138" s="109" t="str">
        <f>'ICS2'!I136</f>
        <v>Turnier</v>
      </c>
      <c r="B138" s="110">
        <f>'ICS2'!B136</f>
        <v>46369</v>
      </c>
      <c r="C138" s="111">
        <f>'ICS2'!C136</f>
        <v>0.375</v>
      </c>
      <c r="D138" s="109" t="str">
        <f>'ICS2'!E136</f>
        <v>STEINBRUNN</v>
      </c>
      <c r="E138" s="109" t="str">
        <f>'ICS2'!H136</f>
        <v>Hallencup 2026_27</v>
      </c>
      <c r="F138" s="109" t="str">
        <f>A138</f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>IF(F138="KM","Pleninger Stefan &amp; Matthias Wachter",IF(F138="U23","Egzon Gentiani &amp; Dinges Stefan",IF(F138="U16","Serdar Ekinci &amp; Gernot Sevelda &amp; Hubi Oberhofer",IF(F138="U15","",IF(F138="U14","Christian Neckamm  &amp; Thomas Pöschl",IF(F138="U13","",IF(F138="U12_1","Tobias Berger &amp; Mario Magler",IF(F138="U12_2","Tobias Berger &amp; Mario Magler",IF(F138="U11","Christian Wirth",IF(F138="U10","Thomas Brandl",IF(F138="U9","Tobias Berger &amp; Sebastian Putric",IF(F138="U8","Ömer Türkes &amp; Taha Mahsumi",IF(F138="U7","Alexander Zax &amp; Jürgen Joszt",IF(F138="FKG","Ronny Archam &amp; Florian Rac",IF(A138="Camp","Berger Dieter",IF(A138="Turnier","Berger Dieter","FEHLER"))))))))))))))))</f>
        <v>Berger Dieter</v>
      </c>
      <c r="K138" s="109" t="str">
        <f>IF(F138="KM","+43 664 415 99 09 &amp; +43 699 119 70 312",IF(F138="U23","+43 670 18 59 080 &amp; +43 664 451 22 16",IF(F138="U16","+43 690 104 20 129 &amp; +43 676 401 09 13 &amp; +43 699 181 68 504",IF(F138="U15","",IF(F138="U14","+43 699 192 49 527 &amp; +43 677 613 55 114",IF(F138="U13","",IF(F138="U12_1","+43 66 199 13 52 &amp;  +43 664 762 09 93",IF(F138="U12_2","+43 66 199 13 52 &amp;  +43 664 762 09 93",IF(F138="U11","+43 660 423 93 83",IF(F138="U10","+43 676 377 16 30",IF(F138="U9","+43 66 199 13 52 &amp;  +43 660 914 92 36",IF(F138="U8","+43 676 661 62 26 &amp;  +43 681 208 11 599",IF(F138="U7","+43 664 458 88 84 &amp;  +43 660 549 82 40",IF(F138="FKG","+43 699 111 93 828 &amp;  +43 660 600 25 06",IF(A138="Camp","+43 660 77 39 500",IF(A138="Turnier","+43 660 77 39 500","FEHLER"))))))))))))))))</f>
        <v>+43 660 77 39 500</v>
      </c>
    </row>
    <row r="139" spans="1:11" ht="15.75" hidden="1" x14ac:dyDescent="0.25">
      <c r="A139" s="113" t="str">
        <f>'ICS2'!I111</f>
        <v>U9</v>
      </c>
      <c r="B139" s="114">
        <f>'ICS2'!B111</f>
        <v>46332</v>
      </c>
      <c r="C139" s="115">
        <f>'ICS2'!C111</f>
        <v>0</v>
      </c>
      <c r="D139" s="113" t="str">
        <f>'ICS2'!E111</f>
        <v>HORNSTEIN</v>
      </c>
      <c r="E139" s="113" t="str">
        <f>'ICS2'!H111</f>
        <v>Hornstein</v>
      </c>
      <c r="F139" s="113" t="str">
        <f>A139</f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>IF(F139="KM","Pleninger Stefan &amp; Matthias Wachter",IF(F139="U23","Egzon Gentiani &amp; Dinges Stefan",IF(F139="U16","Serdar Ekinci &amp; Gernot Sevelda &amp; Hubi Oberhofer",IF(F139="U15","",IF(F139="U14","Christian Neckamm  &amp; Thomas Pöschl",IF(F139="U13","",IF(F139="U12_1","Tobias Berger &amp; Mario Magler",IF(F139="U12_2","Tobias Berger &amp; Mario Magler",IF(F139="U11","Christian Wirth",IF(F139="U10","Thomas Brandl",IF(F139="U9","Tobias Berger &amp; Sebastian Putric",IF(F139="U8","Ömer Türkes &amp; Taha Mahsumi",IF(F139="U7","Alexander Zax &amp; Jürgen Joszt",IF(F139="FKG","Ronny Archam &amp; Florian Rac",IF(A139="Camp","Berger Dieter",IF(A139="Turnier","Berger Dieter","FEHLER"))))))))))))))))</f>
        <v>Tobias Berger &amp; Sebastian Putric</v>
      </c>
      <c r="K139" s="113" t="str">
        <f>IF(F139="KM","+43 664 415 99 09 &amp; +43 699 119 70 312",IF(F139="U23","+43 670 18 59 080 &amp; +43 664 451 22 16",IF(F139="U16","+43 690 104 20 129 &amp; +43 676 401 09 13 &amp; +43 699 181 68 504",IF(F139="U15","",IF(F139="U14","+43 699 192 49 527 &amp; +43 677 613 55 114",IF(F139="U13","",IF(F139="U12_1","+43 66 199 13 52 &amp;  +43 664 762 09 93",IF(F139="U12_2","+43 66 199 13 52 &amp;  +43 664 762 09 93",IF(F139="U11","+43 660 423 93 83",IF(F139="U10","+43 676 377 16 30",IF(F139="U9","+43 66 199 13 52 &amp;  +43 660 914 92 36",IF(F139="U8","+43 676 661 62 26 &amp;  +43 681 208 11 599",IF(F139="U7","+43 664 458 88 84 &amp;  +43 660 549 82 40",IF(F139="FKG","+43 699 111 93 828 &amp;  +43 660 600 25 06",IF(A139="Camp","+43 660 77 39 500",IF(A139="Turnier","+43 660 77 39 500","FEHLER"))))))))))))))))</f>
        <v>+43 66 199 13 52 &amp;  +43 660 914 92 36</v>
      </c>
    </row>
    <row r="140" spans="1:11" ht="15.75" x14ac:dyDescent="0.25">
      <c r="A140" s="57" t="str">
        <f>'ICS2'!I138</f>
        <v>Turnier</v>
      </c>
      <c r="B140" s="103">
        <f>'ICS2'!B138</f>
        <v>46402</v>
      </c>
      <c r="C140" s="104">
        <f>'ICS2'!C138</f>
        <v>0.6875</v>
      </c>
      <c r="D140" s="57" t="str">
        <f>'ICS2'!E138</f>
        <v>STEINBRUNN</v>
      </c>
      <c r="E140" s="57" t="str">
        <f>'ICS2'!H138</f>
        <v>Hallencup 2026_27</v>
      </c>
      <c r="F140" s="57" t="str">
        <f>A140</f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>IF(F140="KM","Pleninger Stefan &amp; Matthias Wachter",IF(F140="U23","Egzon Gentiani &amp; Dinges Stefan",IF(F140="U16","Serdar Ekinci &amp; Gernot Sevelda &amp; Hubi Oberhofer",IF(F140="U15","",IF(F140="U14","Christian Neckamm  &amp; Thomas Pöschl",IF(F140="U13","",IF(F140="U12_1","Tobias Berger &amp; Mario Magler",IF(F140="U12_2","Tobias Berger &amp; Mario Magler",IF(F140="U11","Christian Wirth",IF(F140="U10","Thomas Brandl",IF(F140="U9","Tobias Berger &amp; Sebastian Putric",IF(F140="U8","Ömer Türkes &amp; Taha Mahsumi",IF(F140="U7","Alexander Zax &amp; Jürgen Joszt",IF(F140="FKG","Ronny Archam &amp; Florian Rac",IF(A140="Camp","Berger Dieter",IF(A140="Turnier","Berger Dieter","FEHLER"))))))))))))))))</f>
        <v>Berger Dieter</v>
      </c>
      <c r="K140" s="57" t="str">
        <f>IF(F140="KM","+43 664 415 99 09 &amp; +43 699 119 70 312",IF(F140="U23","+43 670 18 59 080 &amp; +43 664 451 22 16",IF(F140="U16","+43 690 104 20 129 &amp; +43 676 401 09 13 &amp; +43 699 181 68 504",IF(F140="U15","",IF(F140="U14","+43 699 192 49 527 &amp; +43 677 613 55 114",IF(F140="U13","",IF(F140="U12_1","+43 66 199 13 52 &amp;  +43 664 762 09 93",IF(F140="U12_2","+43 66 199 13 52 &amp;  +43 664 762 09 93",IF(F140="U11","+43 660 423 93 83",IF(F140="U10","+43 676 377 16 30",IF(F140="U9","+43 66 199 13 52 &amp;  +43 660 914 92 36",IF(F140="U8","+43 676 661 62 26 &amp;  +43 681 208 11 599",IF(F140="U7","+43 664 458 88 84 &amp;  +43 660 549 82 40",IF(F140="FKG","+43 699 111 93 828 &amp;  +43 660 600 25 06",IF(A140="Camp","+43 660 77 39 500",IF(A140="Turnier","+43 660 77 39 500","FEHLER"))))))))))))))))</f>
        <v>+43 660 77 39 500</v>
      </c>
    </row>
    <row r="141" spans="1:11" ht="15.75" hidden="1" x14ac:dyDescent="0.25">
      <c r="A141" s="135" t="str">
        <f>'Nach Mannschaften sortiert'!C55</f>
        <v>U16</v>
      </c>
      <c r="B141" s="136">
        <f>'Nach Mannschaften sortiert'!D55</f>
        <v>46320</v>
      </c>
      <c r="C141" s="137">
        <f>'Nach Mannschaften sortiert'!E55</f>
        <v>0</v>
      </c>
      <c r="D141" s="135">
        <f>'Nach Mannschaften sortiert'!F55</f>
        <v>0</v>
      </c>
      <c r="E141" s="135" t="str">
        <f>'Nach Mannschaften sortiert'!G55</f>
        <v>Spielfrei</v>
      </c>
      <c r="F141" s="135" t="str">
        <f>A141</f>
        <v>U16</v>
      </c>
      <c r="G141" s="135"/>
      <c r="H141" s="135"/>
      <c r="I141" s="135" t="str">
        <f>IF(F141="Großfeld","5",IF(F141="U16","5",IF(F141="U15","5",IF(F141="U14","4",IF(F141="U13","4",IF(F141="U11/U12","4",IF(F141="U9/U10","4",IF(F141="U9","4","3"))))))))</f>
        <v>5</v>
      </c>
      <c r="J141" s="135" t="str">
        <f>IF(F141="KM","Pleninger Stefan &amp; Matthias Wachter",IF(F141="U23","Egzon Gentiani &amp; Dinges Stefan",IF(F141="U16","Serdar Ekinci &amp; Gernot Sevelda &amp; Hubi Oberhofer",IF(F141="U15","",IF(F141="U14","Christian Neckamm  &amp; Thomas Pöschl",IF(F141="U13","",IF(F141="U12_1","Tobias Berger &amp; Mario Magler",IF(F141="U12_2","Tobias Berger &amp; Mario Magler",IF(F141="U11","Christian Wirth",IF(F141="U10","Thomas Brandl",IF(F141="U9","Tobias Berger &amp; Sebastian Putric",IF(F141="U8","Ömer Türkes &amp; Taha Mahsumi",IF(F141="U7","Alexander Zax &amp; Jürgen Joszt",IF(F141="FKG","Ronny Archam &amp; Florian Rac",IF(A141="Camp","Berger Dieter",IF(A141="Turnier","Berger Dieter","FEHLER"))))))))))))))))</f>
        <v>Serdar Ekinci &amp; Gernot Sevelda &amp; Hubi Oberhofer</v>
      </c>
      <c r="K141" s="135" t="str">
        <f>IF(F141="KM","+43 664 415 99 09 &amp; +43 699 119 70 312",IF(F141="U23","+43 670 18 59 080 &amp; +43 664 451 22 16",IF(F141="U16","+43 690 104 20 129 &amp; +43 676 401 09 13 &amp; +43 699 181 68 504",IF(F141="U15","",IF(F141="U14","+43 699 192 49 527 &amp; +43 677 613 55 114",IF(F141="U13","",IF(F141="U12_1","+43 66 199 13 52 &amp;  +43 664 762 09 93",IF(F141="U12_2","+43 66 199 13 52 &amp;  +43 664 762 09 93",IF(F141="U11","+43 660 423 93 83",IF(F141="U10","+43 676 377 16 30",IF(F141="U9","+43 66 199 13 52 &amp;  +43 660 914 92 36",IF(F141="U8","+43 676 661 62 26 &amp;  +43 681 208 11 599",IF(F141="U7","+43 664 458 88 84 &amp;  +43 660 549 82 40",IF(F141="FKG","+43 699 111 93 828 &amp;  +43 660 600 25 06",IF(A141="Camp","+43 660 77 39 500",IF(A141="Turnier","+43 660 77 39 500","FEHLER"))))))))))))))))</f>
        <v>+43 690 104 20 129 &amp; +43 676 401 09 13 &amp; +43 699 181 68 504</v>
      </c>
    </row>
    <row r="142" spans="1:11" ht="15.75" x14ac:dyDescent="0.25">
      <c r="A142" s="57" t="str">
        <f>'ICS2'!I139</f>
        <v>Turnier</v>
      </c>
      <c r="B142" s="103">
        <f>'ICS2'!B139</f>
        <v>46403</v>
      </c>
      <c r="C142" s="104">
        <f>'ICS2'!C139</f>
        <v>0.35416666666666669</v>
      </c>
      <c r="D142" s="57" t="str">
        <f>'ICS2'!E139</f>
        <v>STEINBRUNN</v>
      </c>
      <c r="E142" s="57" t="str">
        <f>'ICS2'!H139</f>
        <v>Hallencup 2026_27</v>
      </c>
      <c r="F142" s="57" t="str">
        <f>A142</f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>IF(F142="KM","Pleninger Stefan &amp; Matthias Wachter",IF(F142="U23","Egzon Gentiani &amp; Dinges Stefan",IF(F142="U16","Serdar Ekinci &amp; Gernot Sevelda &amp; Hubi Oberhofer",IF(F142="U15","",IF(F142="U14","Christian Neckamm  &amp; Thomas Pöschl",IF(F142="U13","",IF(F142="U12_1","Tobias Berger &amp; Mario Magler",IF(F142="U12_2","Tobias Berger &amp; Mario Magler",IF(F142="U11","Christian Wirth",IF(F142="U10","Thomas Brandl",IF(F142="U9","Tobias Berger &amp; Sebastian Putric",IF(F142="U8","Ömer Türkes &amp; Taha Mahsumi",IF(F142="U7","Alexander Zax &amp; Jürgen Joszt",IF(F142="FKG","Ronny Archam &amp; Florian Rac",IF(A142="Camp","Berger Dieter",IF(A142="Turnier","Berger Dieter","FEHLER"))))))))))))))))</f>
        <v>Berger Dieter</v>
      </c>
      <c r="K142" s="57" t="str">
        <f>IF(F142="KM","+43 664 415 99 09 &amp; +43 699 119 70 312",IF(F142="U23","+43 670 18 59 080 &amp; +43 664 451 22 16",IF(F142="U16","+43 690 104 20 129 &amp; +43 676 401 09 13 &amp; +43 699 181 68 504",IF(F142="U15","",IF(F142="U14","+43 699 192 49 527 &amp; +43 677 613 55 114",IF(F142="U13","",IF(F142="U12_1","+43 66 199 13 52 &amp;  +43 664 762 09 93",IF(F142="U12_2","+43 66 199 13 52 &amp;  +43 664 762 09 93",IF(F142="U11","+43 660 423 93 83",IF(F142="U10","+43 676 377 16 30",IF(F142="U9","+43 66 199 13 52 &amp;  +43 660 914 92 36",IF(F142="U8","+43 676 661 62 26 &amp;  +43 681 208 11 599",IF(F142="U7","+43 664 458 88 84 &amp;  +43 660 549 82 40",IF(F142="FKG","+43 699 111 93 828 &amp;  +43 660 600 25 06",IF(A142="Camp","+43 660 77 39 500",IF(A142="Turnier","+43 660 77 39 500","FEHLER"))))))))))))))))</f>
        <v>+43 660 77 39 500</v>
      </c>
    </row>
    <row r="143" spans="1:11" ht="15.75" hidden="1" x14ac:dyDescent="0.25">
      <c r="A143" s="135" t="str">
        <f>'Nach Mannschaften sortiert'!C57</f>
        <v>U16</v>
      </c>
      <c r="B143" s="136">
        <f>'Nach Mannschaften sortiert'!D57</f>
        <v>46334</v>
      </c>
      <c r="C143" s="137">
        <f>'Nach Mannschaften sortiert'!E57</f>
        <v>0</v>
      </c>
      <c r="D143" s="135" t="str">
        <f>'Nach Mannschaften sortiert'!F57</f>
        <v>Eisenstadt</v>
      </c>
      <c r="E143" s="135" t="str">
        <f>'Nach Mannschaften sortiert'!G57</f>
        <v>Eisenstadt</v>
      </c>
      <c r="F143" s="135" t="str">
        <f>A143</f>
        <v>U16</v>
      </c>
      <c r="G143" s="135"/>
      <c r="H143" s="135"/>
      <c r="I143" s="135" t="str">
        <f>IF(F143="Großfeld","5",IF(F143="U16","5",IF(F143="U15","5",IF(F143="U14","4",IF(F143="U13","4",IF(F143="U11/U12","4",IF(F143="U9/U10","4",IF(F143="U9","4","3"))))))))</f>
        <v>5</v>
      </c>
      <c r="J143" s="135" t="str">
        <f>IF(F143="KM","Pleninger Stefan &amp; Matthias Wachter",IF(F143="U23","Egzon Gentiani &amp; Dinges Stefan",IF(F143="U16","Serdar Ekinci &amp; Gernot Sevelda &amp; Hubi Oberhofer",IF(F143="U15","",IF(F143="U14","Christian Neckamm  &amp; Thomas Pöschl",IF(F143="U13","",IF(F143="U12_1","Tobias Berger &amp; Mario Magler",IF(F143="U12_2","Tobias Berger &amp; Mario Magler",IF(F143="U11","Christian Wirth",IF(F143="U10","Thomas Brandl",IF(F143="U9","Tobias Berger &amp; Sebastian Putric",IF(F143="U8","Ömer Türkes &amp; Taha Mahsumi",IF(F143="U7","Alexander Zax &amp; Jürgen Joszt",IF(F143="FKG","Ronny Archam &amp; Florian Rac",IF(A143="Camp","Berger Dieter",IF(A143="Turnier","Berger Dieter","FEHLER"))))))))))))))))</f>
        <v>Serdar Ekinci &amp; Gernot Sevelda &amp; Hubi Oberhofer</v>
      </c>
      <c r="K143" s="135" t="str">
        <f>IF(F143="KM","+43 664 415 99 09 &amp; +43 699 119 70 312",IF(F143="U23","+43 670 18 59 080 &amp; +43 664 451 22 16",IF(F143="U16","+43 690 104 20 129 &amp; +43 676 401 09 13 &amp; +43 699 181 68 504",IF(F143="U15","",IF(F143="U14","+43 699 192 49 527 &amp; +43 677 613 55 114",IF(F143="U13","",IF(F143="U12_1","+43 66 199 13 52 &amp;  +43 664 762 09 93",IF(F143="U12_2","+43 66 199 13 52 &amp;  +43 664 762 09 93",IF(F143="U11","+43 660 423 93 83",IF(F143="U10","+43 676 377 16 30",IF(F143="U9","+43 66 199 13 52 &amp;  +43 660 914 92 36",IF(F143="U8","+43 676 661 62 26 &amp;  +43 681 208 11 599",IF(F143="U7","+43 664 458 88 84 &amp;  +43 660 549 82 40",IF(F143="FKG","+43 699 111 93 828 &amp;  +43 660 600 25 06",IF(A143="Camp","+43 660 77 39 500",IF(A143="Turnier","+43 660 77 39 500","FEHLER"))))))))))))))))</f>
        <v>+43 690 104 20 129 &amp; +43 676 401 09 13 &amp; +43 699 181 68 504</v>
      </c>
    </row>
    <row r="144" spans="1:11" ht="15.75" x14ac:dyDescent="0.25">
      <c r="A144" s="57" t="str">
        <f>'ICS2'!I140</f>
        <v>Turnier</v>
      </c>
      <c r="B144" s="103">
        <f>'ICS2'!B140</f>
        <v>46404</v>
      </c>
      <c r="C144" s="104">
        <f>'ICS2'!C140</f>
        <v>0.375</v>
      </c>
      <c r="D144" s="57" t="str">
        <f>'ICS2'!E140</f>
        <v>STEINBRUNN</v>
      </c>
      <c r="E144" s="57" t="str">
        <f>'ICS2'!H140</f>
        <v>Hallencup 2026_27</v>
      </c>
      <c r="F144" s="57" t="str">
        <f>A144</f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>IF(F144="KM","Pleninger Stefan &amp; Matthias Wachter",IF(F144="U23","Egzon Gentiani &amp; Dinges Stefan",IF(F144="U16","Serdar Ekinci &amp; Gernot Sevelda &amp; Hubi Oberhofer",IF(F144="U15","",IF(F144="U14","Christian Neckamm  &amp; Thomas Pöschl",IF(F144="U13","",IF(F144="U12_1","Tobias Berger &amp; Mario Magler",IF(F144="U12_2","Tobias Berger &amp; Mario Magler",IF(F144="U11","Christian Wirth",IF(F144="U10","Thomas Brandl",IF(F144="U9","Tobias Berger &amp; Sebastian Putric",IF(F144="U8","Ömer Türkes &amp; Taha Mahsumi",IF(F144="U7","Alexander Zax &amp; Jürgen Joszt",IF(F144="FKG","Ronny Archam &amp; Florian Rac",IF(A144="Camp","Berger Dieter",IF(A144="Turnier","Berger Dieter","FEHLER"))))))))))))))))</f>
        <v>Berger Dieter</v>
      </c>
      <c r="K144" s="57" t="str">
        <f>IF(F144="KM","+43 664 415 99 09 &amp; +43 699 119 70 312",IF(F144="U23","+43 670 18 59 080 &amp; +43 664 451 22 16",IF(F144="U16","+43 690 104 20 129 &amp; +43 676 401 09 13 &amp; +43 699 181 68 504",IF(F144="U15","",IF(F144="U14","+43 699 192 49 527 &amp; +43 677 613 55 114",IF(F144="U13","",IF(F144="U12_1","+43 66 199 13 52 &amp;  +43 664 762 09 93",IF(F144="U12_2","+43 66 199 13 52 &amp;  +43 664 762 09 93",IF(F144="U11","+43 660 423 93 83",IF(F144="U10","+43 676 377 16 30",IF(F144="U9","+43 66 199 13 52 &amp;  +43 660 914 92 36",IF(F144="U8","+43 676 661 62 26 &amp;  +43 681 208 11 599",IF(F144="U7","+43 664 458 88 84 &amp;  +43 660 549 82 40",IF(F144="FKG","+43 699 111 93 828 &amp;  +43 660 600 25 06",IF(A144="Camp","+43 660 77 39 500",IF(A144="Turnier","+43 660 77 39 500","FEHLER"))))))))))))))))</f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5" x14ac:dyDescent="0.25"/>
  <cols>
    <col min="1" max="1" width="28.140625" bestFit="1" customWidth="1"/>
    <col min="2" max="2" width="16.7109375" hidden="1" customWidth="1"/>
    <col min="3" max="3" width="48.28515625" bestFit="1" customWidth="1"/>
  </cols>
  <sheetData>
    <row r="1" spans="1:3" ht="19.899999999999999" customHeight="1" x14ac:dyDescent="0.25">
      <c r="A1" s="84" t="s">
        <v>81</v>
      </c>
      <c r="B1" s="84"/>
      <c r="C1" s="84" t="s">
        <v>82</v>
      </c>
    </row>
    <row r="2" spans="1:3" ht="19.899999999999999" customHeight="1" x14ac:dyDescent="0.25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899999999999999" customHeight="1" x14ac:dyDescent="0.25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899999999999999" customHeight="1" x14ac:dyDescent="0.25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899999999999999" customHeight="1" x14ac:dyDescent="0.25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899999999999999" customHeight="1" x14ac:dyDescent="0.25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899999999999999" customHeight="1" x14ac:dyDescent="0.25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899999999999999" customHeight="1" x14ac:dyDescent="0.25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899999999999999" customHeight="1" x14ac:dyDescent="0.25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899999999999999" customHeight="1" x14ac:dyDescent="0.25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899999999999999" customHeight="1" x14ac:dyDescent="0.25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899999999999999" customHeight="1" x14ac:dyDescent="0.25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899999999999999" customHeight="1" x14ac:dyDescent="0.25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899999999999999" customHeight="1" x14ac:dyDescent="0.25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899999999999999" customHeight="1" x14ac:dyDescent="0.25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899999999999999" customHeight="1" x14ac:dyDescent="0.25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25">
      <c r="B17" t="s">
        <v>113</v>
      </c>
      <c r="C17" t="str">
        <f t="shared" si="0"/>
        <v>https://dtb-asv.github.io/asv-neufeld/ Camp.ics</v>
      </c>
    </row>
    <row r="18" spans="2:3" x14ac:dyDescent="0.25">
      <c r="B18" t="s">
        <v>114</v>
      </c>
      <c r="C18" t="str">
        <f t="shared" si="0"/>
        <v>https://dtb-asv.github.io/asv-neufeld/ GGG.ics</v>
      </c>
    </row>
    <row r="21" spans="2:3" x14ac:dyDescent="0.25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5" x14ac:dyDescent="0.25"/>
  <cols>
    <col min="1" max="1" width="21.140625" customWidth="1"/>
    <col min="2" max="2" width="20.85546875" customWidth="1"/>
    <col min="3" max="4" width="13" bestFit="1" customWidth="1"/>
    <col min="5" max="5" width="13.42578125" bestFit="1" customWidth="1"/>
    <col min="6" max="6" width="14.140625" bestFit="1" customWidth="1"/>
    <col min="7" max="7" width="14.28515625" bestFit="1" customWidth="1"/>
    <col min="8" max="8" width="13" bestFit="1" customWidth="1"/>
    <col min="9" max="9" width="19.5703125" customWidth="1"/>
  </cols>
  <sheetData>
    <row r="1" spans="1:10" ht="18.600000000000001" customHeight="1" thickBot="1" x14ac:dyDescent="0.35">
      <c r="A1" s="132" t="s">
        <v>115</v>
      </c>
      <c r="B1" s="133"/>
      <c r="C1" s="133"/>
      <c r="D1" s="133"/>
      <c r="E1" s="133"/>
      <c r="F1" s="133"/>
      <c r="G1" s="133"/>
      <c r="H1" s="133"/>
    </row>
    <row r="2" spans="1:10" ht="31.9" customHeight="1" thickTop="1" x14ac:dyDescent="0.25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27" t="s">
        <v>124</v>
      </c>
      <c r="J2" s="39"/>
    </row>
    <row r="3" spans="1:10" ht="31.15" customHeight="1" x14ac:dyDescent="0.3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28"/>
      <c r="J3" s="39"/>
    </row>
    <row r="4" spans="1:10" ht="31.15" customHeight="1" x14ac:dyDescent="0.3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28"/>
      <c r="J4" s="39"/>
    </row>
    <row r="5" spans="1:10" ht="31.15" customHeight="1" x14ac:dyDescent="0.3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28"/>
      <c r="J5" s="39"/>
    </row>
    <row r="6" spans="1:10" ht="31.15" customHeight="1" x14ac:dyDescent="0.3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28"/>
      <c r="J6" s="39"/>
    </row>
    <row r="7" spans="1:10" ht="31.15" customHeight="1" x14ac:dyDescent="0.3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28"/>
      <c r="J7" s="39"/>
    </row>
    <row r="8" spans="1:10" ht="31.15" customHeight="1" x14ac:dyDescent="0.3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28"/>
      <c r="J8" s="39"/>
    </row>
    <row r="9" spans="1:10" ht="31.5" customHeight="1" x14ac:dyDescent="0.3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28"/>
      <c r="J9" s="39"/>
    </row>
    <row r="10" spans="1:10" ht="31.15" customHeight="1" x14ac:dyDescent="0.3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28"/>
      <c r="J10" s="39"/>
    </row>
    <row r="11" spans="1:10" ht="31.9" customHeight="1" thickBot="1" x14ac:dyDescent="0.35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29"/>
      <c r="J11" s="39"/>
    </row>
    <row r="12" spans="1:10" ht="18.600000000000001" customHeight="1" thickTop="1" x14ac:dyDescent="0.3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35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149999999999999" customHeight="1" thickTop="1" thickBot="1" x14ac:dyDescent="0.35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899999999999999" customHeight="1" thickTop="1" thickBot="1" x14ac:dyDescent="0.3">
      <c r="A15" s="130" t="s">
        <v>150</v>
      </c>
      <c r="B15" s="125"/>
      <c r="C15" s="125"/>
      <c r="D15" s="125"/>
      <c r="E15" s="125"/>
      <c r="F15" s="125"/>
      <c r="G15" s="125"/>
      <c r="H15" s="126"/>
    </row>
    <row r="16" spans="1:10" ht="16.899999999999999" customHeight="1" thickTop="1" thickBot="1" x14ac:dyDescent="0.3">
      <c r="A16" s="131" t="s">
        <v>151</v>
      </c>
      <c r="B16" s="125"/>
      <c r="C16" s="125"/>
      <c r="D16" s="125"/>
      <c r="E16" s="125"/>
      <c r="F16" s="125"/>
      <c r="G16" s="125"/>
      <c r="H16" s="126"/>
    </row>
    <row r="17" spans="1:8" ht="16.899999999999999" customHeight="1" thickTop="1" thickBot="1" x14ac:dyDescent="0.3">
      <c r="A17" s="134" t="s">
        <v>152</v>
      </c>
      <c r="B17" s="125"/>
      <c r="C17" s="125"/>
      <c r="D17" s="125"/>
      <c r="E17" s="125"/>
      <c r="F17" s="125"/>
      <c r="G17" s="125"/>
      <c r="H17" s="126"/>
    </row>
    <row r="18" spans="1:8" ht="16.899999999999999" customHeight="1" thickTop="1" thickBot="1" x14ac:dyDescent="0.3">
      <c r="A18" s="124" t="s">
        <v>153</v>
      </c>
      <c r="B18" s="125"/>
      <c r="C18" s="125"/>
      <c r="D18" s="125"/>
      <c r="E18" s="125"/>
      <c r="F18" s="125"/>
      <c r="G18" s="125"/>
      <c r="H18" s="126"/>
    </row>
    <row r="19" spans="1:8" ht="15" customHeight="1" thickTop="1" x14ac:dyDescent="0.25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5" x14ac:dyDescent="0.25"/>
  <cols>
    <col min="1" max="1" width="25.28515625" bestFit="1" customWidth="1"/>
    <col min="2" max="2" width="11.28515625" bestFit="1" customWidth="1"/>
    <col min="3" max="3" width="15.85546875" bestFit="1" customWidth="1"/>
    <col min="4" max="4" width="27" style="45" bestFit="1" customWidth="1"/>
    <col min="5" max="5" width="27" style="94" customWidth="1"/>
    <col min="6" max="6" width="17.140625" bestFit="1" customWidth="1"/>
    <col min="7" max="7" width="21.5703125" bestFit="1" customWidth="1"/>
    <col min="8" max="8" width="18.42578125" bestFit="1" customWidth="1"/>
  </cols>
  <sheetData>
    <row r="1" spans="1:8" x14ac:dyDescent="0.25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25">
      <c r="A2" s="54">
        <f>'Nach Mannschaften sortiert'!A22</f>
        <v>21</v>
      </c>
      <c r="B2" s="54">
        <f>'Nach Mannschaften sortiert'!B22</f>
        <v>1</v>
      </c>
      <c r="C2" s="54" t="str">
        <f>'Nach Mannschaften sortiert'!C22</f>
        <v>KM</v>
      </c>
      <c r="D2" s="55">
        <f>'Nach Mannschaften sortiert'!D22</f>
        <v>46250</v>
      </c>
      <c r="E2" s="95">
        <f>'Nach Mannschaften sortiert'!E22</f>
        <v>0.72916666666666663</v>
      </c>
      <c r="F2" s="54" t="str">
        <f>'Nach Mannschaften sortiert'!F22</f>
        <v>Kittsee</v>
      </c>
      <c r="G2" s="54" t="str">
        <f>'Nach Mannschaften sortiert'!G22</f>
        <v>Kittsee</v>
      </c>
      <c r="H2" s="54" t="str">
        <f>'Nach Mannschaften sortiert'!H22</f>
        <v>Auswärts</v>
      </c>
    </row>
    <row r="3" spans="1:8" x14ac:dyDescent="0.25">
      <c r="A3" s="54">
        <f>'Nach Mannschaften sortiert'!A23</f>
        <v>22</v>
      </c>
      <c r="B3" s="54">
        <f>'Nach Mannschaften sortiert'!B23</f>
        <v>2</v>
      </c>
      <c r="C3" s="54" t="str">
        <f>'Nach Mannschaften sortiert'!C23</f>
        <v>KM</v>
      </c>
      <c r="D3" s="55">
        <f>'Nach Mannschaften sortiert'!D23</f>
        <v>46255</v>
      </c>
      <c r="E3" s="95">
        <f>'Nach Mannschaften sortiert'!E23</f>
        <v>0.83333333333333337</v>
      </c>
      <c r="F3" s="54" t="str">
        <f>'Nach Mannschaften sortiert'!F23</f>
        <v>Deutsch Jahrndorf</v>
      </c>
      <c r="G3" s="54" t="str">
        <f>'Nach Mannschaften sortiert'!G23</f>
        <v>Deutsch Jahrndorf</v>
      </c>
      <c r="H3" s="54" t="str">
        <f>'Nach Mannschaften sortiert'!H23</f>
        <v>Auswärts</v>
      </c>
    </row>
    <row r="4" spans="1:8" hidden="1" x14ac:dyDescent="0.25">
      <c r="A4" s="54">
        <f>'Nach Mannschaften sortiert'!A24</f>
        <v>23</v>
      </c>
      <c r="B4" s="54">
        <f>'Nach Mannschaften sortiert'!B24</f>
        <v>3</v>
      </c>
      <c r="C4" s="54" t="str">
        <f>'Nach Mannschaften sortiert'!C24</f>
        <v>KM</v>
      </c>
      <c r="D4" s="55">
        <f>'Nach Mannschaften sortiert'!D24</f>
        <v>46263</v>
      </c>
      <c r="E4" s="95">
        <f>'Nach Mannschaften sortiert'!E24</f>
        <v>0.75</v>
      </c>
      <c r="F4" s="54" t="str">
        <f>'Nach Mannschaften sortiert'!F24</f>
        <v>Neufeld</v>
      </c>
      <c r="G4" s="54" t="str">
        <f>'Nach Mannschaften sortiert'!G24</f>
        <v>Tadten</v>
      </c>
      <c r="H4" s="54" t="str">
        <f>'Nach Mannschaften sortiert'!H24</f>
        <v>Heim</v>
      </c>
    </row>
    <row r="5" spans="1:8" x14ac:dyDescent="0.25">
      <c r="A5" s="54">
        <f>'Nach Mannschaften sortiert'!A59</f>
        <v>58</v>
      </c>
      <c r="B5" s="54">
        <f>'Nach Mannschaften sortiert'!B59</f>
        <v>1</v>
      </c>
      <c r="C5" s="54" t="str">
        <f>'Nach Mannschaften sortiert'!C59</f>
        <v>U14</v>
      </c>
      <c r="D5" s="55">
        <f>'Nach Mannschaften sortiert'!D59</f>
        <v>46271</v>
      </c>
      <c r="E5" s="95">
        <f>'Nach Mannschaften sortiert'!E59</f>
        <v>0.625</v>
      </c>
      <c r="F5" s="54" t="str">
        <f>'Nach Mannschaften sortiert'!F59</f>
        <v>Großhöflein</v>
      </c>
      <c r="G5" s="54" t="str">
        <f>'Nach Mannschaften sortiert'!G59</f>
        <v>St. Georgen/Eisenstadt</v>
      </c>
      <c r="H5" s="54" t="str">
        <f>'Nach Mannschaften sortiert'!H59</f>
        <v>Heim</v>
      </c>
    </row>
    <row r="6" spans="1:8" hidden="1" x14ac:dyDescent="0.25">
      <c r="A6" s="54">
        <f>'Nach Mannschaften sortiert'!A26</f>
        <v>25</v>
      </c>
      <c r="B6" s="54">
        <f>'Nach Mannschaften sortiert'!B26</f>
        <v>5</v>
      </c>
      <c r="C6" s="54" t="str">
        <f>'Nach Mannschaften sortiert'!C26</f>
        <v>KM</v>
      </c>
      <c r="D6" s="55">
        <f>'Nach Mannschaften sortiert'!D26</f>
        <v>46276</v>
      </c>
      <c r="E6" s="95">
        <f>'Nach Mannschaften sortiert'!E26</f>
        <v>0.8125</v>
      </c>
      <c r="F6" s="54" t="str">
        <f>'Nach Mannschaften sortiert'!F26</f>
        <v>Neufeld</v>
      </c>
      <c r="G6" s="54" t="str">
        <f>'Nach Mannschaften sortiert'!G26</f>
        <v>Winden</v>
      </c>
      <c r="H6" s="54" t="str">
        <f>'Nach Mannschaften sortiert'!H26</f>
        <v>Heim</v>
      </c>
    </row>
    <row r="7" spans="1:8" x14ac:dyDescent="0.25">
      <c r="A7" s="54">
        <f>'Nach Mannschaften sortiert'!A68</f>
        <v>67</v>
      </c>
      <c r="B7" s="54">
        <f>'Nach Mannschaften sortiert'!B68</f>
        <v>1</v>
      </c>
      <c r="C7" s="54" t="str">
        <f>'Nach Mannschaften sortiert'!C68</f>
        <v>U12_1</v>
      </c>
      <c r="D7" s="55">
        <f>'Nach Mannschaften sortiert'!D68</f>
        <v>46269</v>
      </c>
      <c r="E7" s="95">
        <f>'Nach Mannschaften sortiert'!E68</f>
        <v>0</v>
      </c>
      <c r="F7" s="54" t="str">
        <f>'Nach Mannschaften sortiert'!F68</f>
        <v>Steinbrunn</v>
      </c>
      <c r="G7" s="54" t="str">
        <f>'Nach Mannschaften sortiert'!G68</f>
        <v>Stotzing</v>
      </c>
      <c r="H7" s="54" t="str">
        <f>'Nach Mannschaften sortiert'!H68</f>
        <v>Heim</v>
      </c>
    </row>
    <row r="8" spans="1:8" hidden="1" x14ac:dyDescent="0.25">
      <c r="A8" s="54">
        <f>'Nach Mannschaften sortiert'!A28</f>
        <v>27</v>
      </c>
      <c r="B8" s="54">
        <f>'Nach Mannschaften sortiert'!B28</f>
        <v>7</v>
      </c>
      <c r="C8" s="54" t="str">
        <f>'Nach Mannschaften sortiert'!C28</f>
        <v>KM</v>
      </c>
      <c r="D8" s="55">
        <f>'Nach Mannschaften sortiert'!D28</f>
        <v>46291</v>
      </c>
      <c r="E8" s="95">
        <f>'Nach Mannschaften sortiert'!E28</f>
        <v>0.75</v>
      </c>
      <c r="F8" s="54" t="str">
        <f>'Nach Mannschaften sortiert'!F28</f>
        <v>Neufeld</v>
      </c>
      <c r="G8" s="54" t="str">
        <f>'Nach Mannschaften sortiert'!G28</f>
        <v>Wallern</v>
      </c>
      <c r="H8" s="54" t="str">
        <f>'Nach Mannschaften sortiert'!H28</f>
        <v>Heim</v>
      </c>
    </row>
    <row r="9" spans="1:8" x14ac:dyDescent="0.25">
      <c r="A9" s="52">
        <f>'Nach Mannschaften sortiert'!A122</f>
        <v>121</v>
      </c>
      <c r="B9" s="52">
        <f>'Nach Mannschaften sortiert'!B122</f>
        <v>1</v>
      </c>
      <c r="C9" s="52" t="str">
        <f>'Nach Mannschaften sortiert'!C122</f>
        <v>Camp</v>
      </c>
      <c r="D9" s="53">
        <f>'Nach Mannschaften sortiert'!D122</f>
        <v>46230</v>
      </c>
      <c r="E9" s="96">
        <f>'Nach Mannschaften sortiert'!E122</f>
        <v>0.375</v>
      </c>
      <c r="F9" s="52" t="str">
        <f>'Nach Mannschaften sortiert'!F122</f>
        <v>Neufeld</v>
      </c>
      <c r="G9" s="52" t="str">
        <f>'Nach Mannschaften sortiert'!G122</f>
        <v>REAL MADRID CAMP</v>
      </c>
      <c r="H9" s="52" t="str">
        <f>'Nach Mannschaften sortiert'!H122</f>
        <v>Heim</v>
      </c>
    </row>
    <row r="10" spans="1:8" hidden="1" x14ac:dyDescent="0.25">
      <c r="A10" s="54">
        <f>'Nach Mannschaften sortiert'!A30</f>
        <v>29</v>
      </c>
      <c r="B10" s="54">
        <f>'Nach Mannschaften sortiert'!B30</f>
        <v>9</v>
      </c>
      <c r="C10" s="54" t="str">
        <f>'Nach Mannschaften sortiert'!C30</f>
        <v>KM</v>
      </c>
      <c r="D10" s="55">
        <f>'Nach Mannschaften sortiert'!D30</f>
        <v>46304</v>
      </c>
      <c r="E10" s="95">
        <f>'Nach Mannschaften sortiert'!E30</f>
        <v>0.8125</v>
      </c>
      <c r="F10" s="54" t="str">
        <f>'Nach Mannschaften sortiert'!F30</f>
        <v>Neufeld</v>
      </c>
      <c r="G10" s="54" t="str">
        <f>'Nach Mannschaften sortiert'!G30</f>
        <v>Wimpassing</v>
      </c>
      <c r="H10" s="54" t="str">
        <f>'Nach Mannschaften sortiert'!H30</f>
        <v>Heim</v>
      </c>
    </row>
    <row r="11" spans="1:8" x14ac:dyDescent="0.25">
      <c r="A11" s="52">
        <f>'Nach Mannschaften sortiert'!A123</f>
        <v>122</v>
      </c>
      <c r="B11" s="52">
        <f>'Nach Mannschaften sortiert'!B123</f>
        <v>2</v>
      </c>
      <c r="C11" s="52" t="str">
        <f>'Nach Mannschaften sortiert'!C123</f>
        <v>Camp</v>
      </c>
      <c r="D11" s="53">
        <f>'Nach Mannschaften sortiert'!D123</f>
        <v>46231</v>
      </c>
      <c r="E11" s="96">
        <f>'Nach Mannschaften sortiert'!E123</f>
        <v>0.375</v>
      </c>
      <c r="F11" s="52" t="str">
        <f>'Nach Mannschaften sortiert'!F123</f>
        <v>Neufeld</v>
      </c>
      <c r="G11" s="52" t="str">
        <f>'Nach Mannschaften sortiert'!G123</f>
        <v>REAL MADRID CAMP</v>
      </c>
      <c r="H11" s="52" t="str">
        <f>'Nach Mannschaften sortiert'!H123</f>
        <v>Heim</v>
      </c>
    </row>
    <row r="12" spans="1:8" hidden="1" x14ac:dyDescent="0.25">
      <c r="A12" s="54">
        <f>'Nach Mannschaften sortiert'!A32</f>
        <v>31</v>
      </c>
      <c r="B12" s="54">
        <f>'Nach Mannschaften sortiert'!B32</f>
        <v>11</v>
      </c>
      <c r="C12" s="54" t="str">
        <f>'Nach Mannschaften sortiert'!C32</f>
        <v>KM</v>
      </c>
      <c r="D12" s="55">
        <f>'Nach Mannschaften sortiert'!D32</f>
        <v>46319</v>
      </c>
      <c r="E12" s="95">
        <f>'Nach Mannschaften sortiert'!E32</f>
        <v>0.70833333333333337</v>
      </c>
      <c r="F12" s="54" t="str">
        <f>'Nach Mannschaften sortiert'!F32</f>
        <v>Neufeld</v>
      </c>
      <c r="G12" s="54" t="str">
        <f>'Nach Mannschaften sortiert'!G32</f>
        <v>Gols</v>
      </c>
      <c r="H12" s="54" t="str">
        <f>'Nach Mannschaften sortiert'!H32</f>
        <v>Heim</v>
      </c>
    </row>
    <row r="13" spans="1:8" hidden="1" x14ac:dyDescent="0.25">
      <c r="A13" s="54">
        <f>'Nach Mannschaften sortiert'!A33</f>
        <v>32</v>
      </c>
      <c r="B13" s="54">
        <f>'Nach Mannschaften sortiert'!B33</f>
        <v>12</v>
      </c>
      <c r="C13" s="54" t="str">
        <f>'Nach Mannschaften sortiert'!C33</f>
        <v>KM</v>
      </c>
      <c r="D13" s="55">
        <f>'Nach Mannschaften sortiert'!D33</f>
        <v>46326</v>
      </c>
      <c r="E13" s="95">
        <f>'Nach Mannschaften sortiert'!E33</f>
        <v>0.75</v>
      </c>
      <c r="F13" s="54" t="str">
        <f>'Nach Mannschaften sortiert'!F33</f>
        <v>Illmitz</v>
      </c>
      <c r="G13" s="54" t="str">
        <f>'Nach Mannschaften sortiert'!G33</f>
        <v>Illmitz</v>
      </c>
      <c r="H13" s="54" t="str">
        <f>'Nach Mannschaften sortiert'!H33</f>
        <v>Auswärts</v>
      </c>
    </row>
    <row r="14" spans="1:8" x14ac:dyDescent="0.25">
      <c r="A14" s="52">
        <f>'Nach Mannschaften sortiert'!A124</f>
        <v>123</v>
      </c>
      <c r="B14" s="52">
        <f>'Nach Mannschaften sortiert'!B124</f>
        <v>3</v>
      </c>
      <c r="C14" s="52" t="str">
        <f>'Nach Mannschaften sortiert'!C124</f>
        <v>Camp</v>
      </c>
      <c r="D14" s="53">
        <f>'Nach Mannschaften sortiert'!D124</f>
        <v>46232</v>
      </c>
      <c r="E14" s="96">
        <f>'Nach Mannschaften sortiert'!E124</f>
        <v>0.375</v>
      </c>
      <c r="F14" s="52" t="str">
        <f>'Nach Mannschaften sortiert'!F124</f>
        <v>Neufeld</v>
      </c>
      <c r="G14" s="52" t="str">
        <f>'Nach Mannschaften sortiert'!G124</f>
        <v>REAL MADRID CAMP</v>
      </c>
      <c r="H14" s="52" t="str">
        <f>'Nach Mannschaften sortiert'!H124</f>
        <v>Heim</v>
      </c>
    </row>
    <row r="15" spans="1:8" hidden="1" x14ac:dyDescent="0.25">
      <c r="A15" s="54">
        <f>'Nach Mannschaften sortiert'!A48</f>
        <v>47</v>
      </c>
      <c r="B15" s="54">
        <f>'Nach Mannschaften sortiert'!B48</f>
        <v>1</v>
      </c>
      <c r="C15" s="54" t="str">
        <f>'Nach Mannschaften sortiert'!C48</f>
        <v>U16</v>
      </c>
      <c r="D15" s="55">
        <f>'Nach Mannschaften sortiert'!D48</f>
        <v>46271</v>
      </c>
      <c r="E15" s="95">
        <f>'Nach Mannschaften sortiert'!E48</f>
        <v>0</v>
      </c>
      <c r="F15" s="54">
        <f>'Nach Mannschaften sortiert'!F48</f>
        <v>0</v>
      </c>
      <c r="G15" s="54" t="str">
        <f>'Nach Mannschaften sortiert'!G48</f>
        <v>Spielfrei</v>
      </c>
      <c r="H15" s="54">
        <f>'Nach Mannschaften sortiert'!H48</f>
        <v>0</v>
      </c>
    </row>
    <row r="16" spans="1:8" hidden="1" x14ac:dyDescent="0.25">
      <c r="A16" s="48">
        <f>'Nach Mannschaften sortiert'!A49</f>
        <v>48</v>
      </c>
      <c r="B16" s="48">
        <f>'Nach Mannschaften sortiert'!B49</f>
        <v>2</v>
      </c>
      <c r="C16" s="48" t="str">
        <f>'Nach Mannschaften sortiert'!C49</f>
        <v>U16</v>
      </c>
      <c r="D16" s="49">
        <f>'Nach Mannschaften sortiert'!D49</f>
        <v>46278</v>
      </c>
      <c r="E16" s="97">
        <f>'Nach Mannschaften sortiert'!E49</f>
        <v>0</v>
      </c>
      <c r="F16" s="48" t="str">
        <f>'Nach Mannschaften sortiert'!F49</f>
        <v>Gols</v>
      </c>
      <c r="G16" s="48" t="str">
        <f>'Nach Mannschaften sortiert'!G49</f>
        <v>GMWP</v>
      </c>
      <c r="H16" s="48" t="str">
        <f>'Nach Mannschaften sortiert'!H49</f>
        <v>Auswärts</v>
      </c>
    </row>
    <row r="17" spans="1:8" hidden="1" x14ac:dyDescent="0.25">
      <c r="A17" s="54">
        <f>'Nach Mannschaften sortiert'!A50</f>
        <v>49</v>
      </c>
      <c r="B17" s="54">
        <f>'Nach Mannschaften sortiert'!B50</f>
        <v>3</v>
      </c>
      <c r="C17" s="54" t="str">
        <f>'Nach Mannschaften sortiert'!C50</f>
        <v>U16</v>
      </c>
      <c r="D17" s="55">
        <f>'Nach Mannschaften sortiert'!D50</f>
        <v>46284</v>
      </c>
      <c r="E17" s="95">
        <f>'Nach Mannschaften sortiert'!E50</f>
        <v>0.70833333333333337</v>
      </c>
      <c r="F17" s="54" t="str">
        <f>'Nach Mannschaften sortiert'!F50</f>
        <v>Wimpassing</v>
      </c>
      <c r="G17" s="54" t="str">
        <f>'Nach Mannschaften sortiert'!G50</f>
        <v>Eisenstadt</v>
      </c>
      <c r="H17" s="54" t="str">
        <f>'Nach Mannschaften sortiert'!H50</f>
        <v>Heim</v>
      </c>
    </row>
    <row r="18" spans="1:8" x14ac:dyDescent="0.25">
      <c r="A18" s="54">
        <f>'Nach Mannschaften sortiert'!A25</f>
        <v>24</v>
      </c>
      <c r="B18" s="54">
        <f>'Nach Mannschaften sortiert'!B25</f>
        <v>4</v>
      </c>
      <c r="C18" s="54" t="str">
        <f>'Nach Mannschaften sortiert'!C25</f>
        <v>KM</v>
      </c>
      <c r="D18" s="55">
        <f>'Nach Mannschaften sortiert'!D25</f>
        <v>46270</v>
      </c>
      <c r="E18" s="95">
        <f>'Nach Mannschaften sortiert'!E25</f>
        <v>0.6875</v>
      </c>
      <c r="F18" s="54" t="str">
        <f>'Nach Mannschaften sortiert'!F25</f>
        <v>Mönchhof</v>
      </c>
      <c r="G18" s="54" t="str">
        <f>'Nach Mannschaften sortiert'!G25</f>
        <v>Mönchhof</v>
      </c>
      <c r="H18" s="54" t="str">
        <f>'Nach Mannschaften sortiert'!H25</f>
        <v>Auswärts</v>
      </c>
    </row>
    <row r="19" spans="1:8" hidden="1" x14ac:dyDescent="0.25">
      <c r="A19" s="54">
        <f>'Nach Mannschaften sortiert'!A52</f>
        <v>51</v>
      </c>
      <c r="B19" s="54">
        <f>'Nach Mannschaften sortiert'!B52</f>
        <v>5</v>
      </c>
      <c r="C19" s="54" t="str">
        <f>'Nach Mannschaften sortiert'!C52</f>
        <v>U16</v>
      </c>
      <c r="D19" s="55">
        <f>'Nach Mannschaften sortiert'!D52</f>
        <v>46298</v>
      </c>
      <c r="E19" s="95">
        <f>'Nach Mannschaften sortiert'!E52</f>
        <v>0.58333333333333337</v>
      </c>
      <c r="F19" s="54" t="str">
        <f>'Nach Mannschaften sortiert'!F52</f>
        <v>Neufeld</v>
      </c>
      <c r="G19" s="54" t="str">
        <f>'Nach Mannschaften sortiert'!G52</f>
        <v>Neusiedl</v>
      </c>
      <c r="H19" s="54" t="str">
        <f>'Nach Mannschaften sortiert'!H52</f>
        <v>Heim</v>
      </c>
    </row>
    <row r="20" spans="1:8" hidden="1" x14ac:dyDescent="0.25">
      <c r="A20" s="46">
        <f>'Nach Mannschaften sortiert'!A53</f>
        <v>52</v>
      </c>
      <c r="B20" s="46">
        <f>'Nach Mannschaften sortiert'!B53</f>
        <v>6</v>
      </c>
      <c r="C20" s="46" t="str">
        <f>'Nach Mannschaften sortiert'!C53</f>
        <v>U16</v>
      </c>
      <c r="D20" s="47">
        <f>'Nach Mannschaften sortiert'!D53</f>
        <v>46305</v>
      </c>
      <c r="E20" s="98">
        <f>'Nach Mannschaften sortiert'!E53</f>
        <v>0.66666666666666663</v>
      </c>
      <c r="F20" s="46" t="str">
        <f>'Nach Mannschaften sortiert'!F53</f>
        <v>Neufeld</v>
      </c>
      <c r="G20" s="46" t="str">
        <f>'Nach Mannschaften sortiert'!G53</f>
        <v>Parndorf</v>
      </c>
      <c r="H20" s="46" t="str">
        <f>'Nach Mannschaften sortiert'!H53</f>
        <v>Heim</v>
      </c>
    </row>
    <row r="21" spans="1:8" hidden="1" x14ac:dyDescent="0.25">
      <c r="A21" s="54">
        <f>'Nach Mannschaften sortiert'!A54</f>
        <v>53</v>
      </c>
      <c r="B21" s="54">
        <f>'Nach Mannschaften sortiert'!B54</f>
        <v>7</v>
      </c>
      <c r="C21" s="54" t="str">
        <f>'Nach Mannschaften sortiert'!C54</f>
        <v>U16</v>
      </c>
      <c r="D21" s="55">
        <f>'Nach Mannschaften sortiert'!D54</f>
        <v>46313</v>
      </c>
      <c r="E21" s="95">
        <f>'Nach Mannschaften sortiert'!E54</f>
        <v>0</v>
      </c>
      <c r="F21" s="54" t="str">
        <f>'Nach Mannschaften sortiert'!F54</f>
        <v>St. Georgen</v>
      </c>
      <c r="G21" s="54" t="str">
        <f>'Nach Mannschaften sortiert'!G54</f>
        <v>St. Georgen/Eisenstadt</v>
      </c>
      <c r="H21" s="54" t="str">
        <f>'Nach Mannschaften sortiert'!H54</f>
        <v>Auswärts</v>
      </c>
    </row>
    <row r="22" spans="1:8" hidden="1" x14ac:dyDescent="0.25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25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25">
      <c r="A24" s="50">
        <f>'Nach Mannschaften sortiert'!A102</f>
        <v>101</v>
      </c>
      <c r="B24" s="50">
        <f>'Nach Mannschaften sortiert'!B102</f>
        <v>1</v>
      </c>
      <c r="C24" s="50" t="str">
        <f>'Nach Mannschaften sortiert'!C102</f>
        <v>U9</v>
      </c>
      <c r="D24" s="51">
        <f>'Nach Mannschaften sortiert'!D102</f>
        <v>46269</v>
      </c>
      <c r="E24" s="99">
        <f>'Nach Mannschaften sortiert'!E102</f>
        <v>0</v>
      </c>
      <c r="F24" s="50" t="str">
        <f>'Nach Mannschaften sortiert'!F102</f>
        <v>Großhöflein</v>
      </c>
      <c r="G24" s="50" t="str">
        <f>'Nach Mannschaften sortiert'!G102</f>
        <v>Großhöflein</v>
      </c>
      <c r="H24" s="50" t="str">
        <f>'Nach Mannschaften sortiert'!H102</f>
        <v>Auswärts</v>
      </c>
    </row>
    <row r="25" spans="1:8" hidden="1" x14ac:dyDescent="0.25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25">
      <c r="A26" s="50">
        <f>'Nach Mannschaften sortiert'!A112</f>
        <v>111</v>
      </c>
      <c r="B26" s="50">
        <f>'Nach Mannschaften sortiert'!B112</f>
        <v>1</v>
      </c>
      <c r="C26" s="50" t="str">
        <f>'Nach Mannschaften sortiert'!C112</f>
        <v>U8</v>
      </c>
      <c r="D26" s="51">
        <f>'Nach Mannschaften sortiert'!D112</f>
        <v>46312</v>
      </c>
      <c r="E26" s="99">
        <f>'Nach Mannschaften sortiert'!E112</f>
        <v>0.39583333333333331</v>
      </c>
      <c r="F26" s="50" t="str">
        <f>'Nach Mannschaften sortiert'!F112</f>
        <v>Neufeld</v>
      </c>
      <c r="G26" s="50" t="str">
        <f>'Nach Mannschaften sortiert'!G112</f>
        <v>Heimturnier</v>
      </c>
      <c r="H26" s="50" t="str">
        <f>'Nach Mannschaften sortiert'!H112</f>
        <v>Heim</v>
      </c>
    </row>
    <row r="27" spans="1:8" hidden="1" x14ac:dyDescent="0.25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25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25">
      <c r="A29" s="50">
        <f>'Nach Mannschaften sortiert'!A117</f>
        <v>116</v>
      </c>
      <c r="B29" s="50">
        <f>'Nach Mannschaften sortiert'!B117</f>
        <v>1</v>
      </c>
      <c r="C29" s="50" t="str">
        <f>'Nach Mannschaften sortiert'!C117</f>
        <v>U7</v>
      </c>
      <c r="D29" s="51">
        <f>'Nach Mannschaften sortiert'!D117</f>
        <v>0</v>
      </c>
      <c r="E29" s="99">
        <f>'Nach Mannschaften sortiert'!E117</f>
        <v>0</v>
      </c>
      <c r="F29" s="50">
        <f>'Nach Mannschaften sortiert'!F117</f>
        <v>0</v>
      </c>
      <c r="G29" s="50">
        <f>'Nach Mannschaften sortiert'!G117</f>
        <v>0</v>
      </c>
      <c r="H29" s="50">
        <f>'Nach Mannschaften sortiert'!H117</f>
        <v>0</v>
      </c>
    </row>
    <row r="30" spans="1:8" hidden="1" x14ac:dyDescent="0.25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25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25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25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25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25">
      <c r="A35" s="50">
        <f>'Nach Mannschaften sortiert'!A89</f>
        <v>88</v>
      </c>
      <c r="B35" s="50">
        <f>'Nach Mannschaften sortiert'!B89</f>
        <v>2</v>
      </c>
      <c r="C35" s="50" t="str">
        <f>'Nach Mannschaften sortiert'!C89</f>
        <v>U11</v>
      </c>
      <c r="D35" s="51">
        <f>'Nach Mannschaften sortiert'!D89</f>
        <v>46276</v>
      </c>
      <c r="E35" s="99">
        <f>'Nach Mannschaften sortiert'!E89</f>
        <v>0</v>
      </c>
      <c r="F35" s="50" t="str">
        <f>'Nach Mannschaften sortiert'!F89</f>
        <v>Hornstein</v>
      </c>
      <c r="G35" s="50" t="str">
        <f>'Nach Mannschaften sortiert'!G89</f>
        <v>Hornstein</v>
      </c>
      <c r="H35" s="50" t="str">
        <f>'Nach Mannschaften sortiert'!H89</f>
        <v>Auswärts</v>
      </c>
    </row>
    <row r="36" spans="1:8" hidden="1" x14ac:dyDescent="0.25">
      <c r="A36" s="54">
        <f>'Nach Mannschaften sortiert'!A60</f>
        <v>59</v>
      </c>
      <c r="B36" s="54">
        <f>'Nach Mannschaften sortiert'!B60</f>
        <v>2</v>
      </c>
      <c r="C36" s="54" t="str">
        <f>'Nach Mannschaften sortiert'!C60</f>
        <v>U14</v>
      </c>
      <c r="D36" s="55">
        <f>'Nach Mannschaften sortiert'!D60</f>
        <v>46278</v>
      </c>
      <c r="E36" s="95">
        <f>'Nach Mannschaften sortiert'!E60</f>
        <v>0.625</v>
      </c>
      <c r="F36" s="54" t="str">
        <f>'Nach Mannschaften sortiert'!F60</f>
        <v>Neudörfl</v>
      </c>
      <c r="G36" s="54" t="str">
        <f>'Nach Mannschaften sortiert'!G60</f>
        <v>Neudörfl</v>
      </c>
      <c r="H36" s="54" t="str">
        <f>'Nach Mannschaften sortiert'!H60</f>
        <v>Auswärts</v>
      </c>
    </row>
    <row r="37" spans="1:8" hidden="1" x14ac:dyDescent="0.25">
      <c r="A37" s="54">
        <f>'Nach Mannschaften sortiert'!A61</f>
        <v>60</v>
      </c>
      <c r="B37" s="54">
        <f>'Nach Mannschaften sortiert'!B61</f>
        <v>3</v>
      </c>
      <c r="C37" s="54" t="str">
        <f>'Nach Mannschaften sortiert'!C61</f>
        <v>U14</v>
      </c>
      <c r="D37" s="55">
        <f>'Nach Mannschaften sortiert'!D61</f>
        <v>46284</v>
      </c>
      <c r="E37" s="95">
        <f>'Nach Mannschaften sortiert'!E61</f>
        <v>0.52083333333333337</v>
      </c>
      <c r="F37" s="54" t="str">
        <f>'Nach Mannschaften sortiert'!F61</f>
        <v>Neufeld</v>
      </c>
      <c r="G37" s="54" t="str">
        <f>'Nach Mannschaften sortiert'!G61</f>
        <v>Parndorf</v>
      </c>
      <c r="H37" s="54" t="str">
        <f>'Nach Mannschaften sortiert'!H61</f>
        <v>Heim</v>
      </c>
    </row>
    <row r="38" spans="1:8" x14ac:dyDescent="0.25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25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25">
      <c r="A40" s="54">
        <f>'Nach Mannschaften sortiert'!A63</f>
        <v>62</v>
      </c>
      <c r="B40" s="54">
        <f>'Nach Mannschaften sortiert'!B63</f>
        <v>5</v>
      </c>
      <c r="C40" s="54" t="str">
        <f>'Nach Mannschaften sortiert'!C63</f>
        <v>U14</v>
      </c>
      <c r="D40" s="55">
        <f>'Nach Mannschaften sortiert'!D63</f>
        <v>46299</v>
      </c>
      <c r="E40" s="95">
        <f>'Nach Mannschaften sortiert'!E63</f>
        <v>0.625</v>
      </c>
      <c r="F40" s="54" t="str">
        <f>'Nach Mannschaften sortiert'!F63</f>
        <v>Draßburg</v>
      </c>
      <c r="G40" s="54" t="str">
        <f>'Nach Mannschaften sortiert'!G63</f>
        <v>SPG Draßburg/ZSP/Kemeten</v>
      </c>
      <c r="H40" s="54" t="str">
        <f>'Nach Mannschaften sortiert'!H63</f>
        <v>Auswärts</v>
      </c>
    </row>
    <row r="41" spans="1:8" x14ac:dyDescent="0.25">
      <c r="A41" s="48">
        <f>'Nach Mannschaften sortiert'!A27</f>
        <v>26</v>
      </c>
      <c r="B41" s="48">
        <f>'Nach Mannschaften sortiert'!B27</f>
        <v>6</v>
      </c>
      <c r="C41" s="48" t="str">
        <f>'Nach Mannschaften sortiert'!C27</f>
        <v>KM</v>
      </c>
      <c r="D41" s="49">
        <f>'Nach Mannschaften sortiert'!D27</f>
        <v>46284</v>
      </c>
      <c r="E41" s="97">
        <f>'Nach Mannschaften sortiert'!E27</f>
        <v>0.66666666666666663</v>
      </c>
      <c r="F41" s="48" t="str">
        <f>'Nach Mannschaften sortiert'!F27</f>
        <v>Gattendorf</v>
      </c>
      <c r="G41" s="48" t="str">
        <f>'Nach Mannschaften sortiert'!G27</f>
        <v>Gattendorf</v>
      </c>
      <c r="H41" s="48" t="str">
        <f>'Nach Mannschaften sortiert'!H27</f>
        <v>Auswärts</v>
      </c>
    </row>
    <row r="42" spans="1:8" x14ac:dyDescent="0.25">
      <c r="A42" s="54">
        <f>'Nach Mannschaften sortiert'!A93</f>
        <v>92</v>
      </c>
      <c r="B42" s="54">
        <f>'Nach Mannschaften sortiert'!B93</f>
        <v>6</v>
      </c>
      <c r="C42" s="54" t="str">
        <f>'Nach Mannschaften sortiert'!C93</f>
        <v>U11</v>
      </c>
      <c r="D42" s="55">
        <f>'Nach Mannschaften sortiert'!D93</f>
        <v>46304</v>
      </c>
      <c r="E42" s="95">
        <f>'Nach Mannschaften sortiert'!E93</f>
        <v>0</v>
      </c>
      <c r="F42" s="54" t="str">
        <f>'Nach Mannschaften sortiert'!F93</f>
        <v>Leithaprodersdorf</v>
      </c>
      <c r="G42" s="54" t="str">
        <f>'Nach Mannschaften sortiert'!G93</f>
        <v>Leithaprodersdorf</v>
      </c>
      <c r="H42" s="54" t="str">
        <f>'Nach Mannschaften sortiert'!H93</f>
        <v>Auswärts</v>
      </c>
    </row>
    <row r="43" spans="1:8" hidden="1" x14ac:dyDescent="0.25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25">
      <c r="A44" s="50">
        <f>'Nach Mannschaften sortiert'!A70</f>
        <v>69</v>
      </c>
      <c r="B44" s="50">
        <f>'Nach Mannschaften sortiert'!B70</f>
        <v>3</v>
      </c>
      <c r="C44" s="50" t="str">
        <f>'Nach Mannschaften sortiert'!C70</f>
        <v>U12_1</v>
      </c>
      <c r="D44" s="51">
        <f>'Nach Mannschaften sortiert'!D70</f>
        <v>46284</v>
      </c>
      <c r="E44" s="99">
        <f>'Nach Mannschaften sortiert'!E70</f>
        <v>0.4375</v>
      </c>
      <c r="F44" s="50" t="str">
        <f>'Nach Mannschaften sortiert'!F70</f>
        <v>Neufeld</v>
      </c>
      <c r="G44" s="50" t="str">
        <f>'Nach Mannschaften sortiert'!G70</f>
        <v>Leithaprodersdorf</v>
      </c>
      <c r="H44" s="50" t="str">
        <f>'Nach Mannschaften sortiert'!H70</f>
        <v>Heim</v>
      </c>
    </row>
    <row r="45" spans="1:8" x14ac:dyDescent="0.25">
      <c r="A45" s="50">
        <f>'Nach Mannschaften sortiert'!A62</f>
        <v>61</v>
      </c>
      <c r="B45" s="50">
        <f>'Nach Mannschaften sortiert'!B62</f>
        <v>4</v>
      </c>
      <c r="C45" s="50" t="str">
        <f>'Nach Mannschaften sortiert'!C62</f>
        <v>U14</v>
      </c>
      <c r="D45" s="51">
        <f>'Nach Mannschaften sortiert'!D62</f>
        <v>46292</v>
      </c>
      <c r="E45" s="99">
        <f>'Nach Mannschaften sortiert'!E62</f>
        <v>0.625</v>
      </c>
      <c r="F45" s="50" t="str">
        <f>'Nach Mannschaften sortiert'!F62</f>
        <v>Großhöflein</v>
      </c>
      <c r="G45" s="50" t="str">
        <f>'Nach Mannschaften sortiert'!G62</f>
        <v>SPG Seewinkel</v>
      </c>
      <c r="H45" s="50" t="str">
        <f>'Nach Mannschaften sortiert'!H62</f>
        <v>Heim</v>
      </c>
    </row>
    <row r="46" spans="1:8" hidden="1" x14ac:dyDescent="0.25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25">
      <c r="A47" s="54">
        <f>'Nach Mannschaften sortiert'!A69</f>
        <v>68</v>
      </c>
      <c r="B47" s="54">
        <f>'Nach Mannschaften sortiert'!B69</f>
        <v>2</v>
      </c>
      <c r="C47" s="54" t="str">
        <f>'Nach Mannschaften sortiert'!C69</f>
        <v>U12_1</v>
      </c>
      <c r="D47" s="55">
        <f>'Nach Mannschaften sortiert'!D69</f>
        <v>46276</v>
      </c>
      <c r="E47" s="95">
        <f>'Nach Mannschaften sortiert'!E69</f>
        <v>0</v>
      </c>
      <c r="F47" s="54" t="str">
        <f>'Nach Mannschaften sortiert'!F69</f>
        <v>Klingenbach</v>
      </c>
      <c r="G47" s="54" t="str">
        <f>'Nach Mannschaften sortiert'!G69</f>
        <v>SPG Klimpuh Juniors</v>
      </c>
      <c r="H47" s="54" t="str">
        <f>'Nach Mannschaften sortiert'!H69</f>
        <v>Auswärts</v>
      </c>
    </row>
    <row r="48" spans="1:8" x14ac:dyDescent="0.25">
      <c r="A48" s="48">
        <f>'Nach Mannschaften sortiert'!A51</f>
        <v>50</v>
      </c>
      <c r="B48" s="48">
        <f>'Nach Mannschaften sortiert'!B51</f>
        <v>4</v>
      </c>
      <c r="C48" s="48" t="str">
        <f>'Nach Mannschaften sortiert'!C51</f>
        <v>U16</v>
      </c>
      <c r="D48" s="49">
        <f>'Nach Mannschaften sortiert'!D51</f>
        <v>46292</v>
      </c>
      <c r="E48" s="97">
        <f>'Nach Mannschaften sortiert'!E51</f>
        <v>0</v>
      </c>
      <c r="F48" s="48" t="str">
        <f>'Nach Mannschaften sortiert'!F51</f>
        <v>Großhöflein</v>
      </c>
      <c r="G48" s="48" t="str">
        <f>'Nach Mannschaften sortiert'!G51</f>
        <v>Großhöflein</v>
      </c>
      <c r="H48" s="48" t="str">
        <f>'Nach Mannschaften sortiert'!H51</f>
        <v>Auswärts</v>
      </c>
    </row>
    <row r="49" spans="1:8" hidden="1" x14ac:dyDescent="0.25">
      <c r="A49" s="54">
        <f>'Nach Mannschaften sortiert'!A71</f>
        <v>70</v>
      </c>
      <c r="B49" s="54">
        <f>'Nach Mannschaften sortiert'!B71</f>
        <v>4</v>
      </c>
      <c r="C49" s="54" t="str">
        <f>'Nach Mannschaften sortiert'!C71</f>
        <v>U12_1</v>
      </c>
      <c r="D49" s="55">
        <f>'Nach Mannschaften sortiert'!D71</f>
        <v>46290</v>
      </c>
      <c r="E49" s="95">
        <f>'Nach Mannschaften sortiert'!E71</f>
        <v>0</v>
      </c>
      <c r="F49" s="54" t="str">
        <f>'Nach Mannschaften sortiert'!F71</f>
        <v>Rust</v>
      </c>
      <c r="G49" s="54" t="str">
        <f>'Nach Mannschaften sortiert'!G71</f>
        <v>SC "muki" Eisenstadt/Rust</v>
      </c>
      <c r="H49" s="54" t="str">
        <f>'Nach Mannschaften sortiert'!H71</f>
        <v>Auswärts</v>
      </c>
    </row>
    <row r="50" spans="1:8" hidden="1" x14ac:dyDescent="0.25">
      <c r="A50" s="54">
        <f>'Nach Mannschaften sortiert'!A72</f>
        <v>71</v>
      </c>
      <c r="B50" s="54">
        <f>'Nach Mannschaften sortiert'!B72</f>
        <v>5</v>
      </c>
      <c r="C50" s="54" t="str">
        <f>'Nach Mannschaften sortiert'!C72</f>
        <v>U12_1</v>
      </c>
      <c r="D50" s="55">
        <f>'Nach Mannschaften sortiert'!D72</f>
        <v>46298</v>
      </c>
      <c r="E50" s="95">
        <f>'Nach Mannschaften sortiert'!E72</f>
        <v>0.5</v>
      </c>
      <c r="F50" s="54" t="str">
        <f>'Nach Mannschaften sortiert'!F72</f>
        <v>Steinbrunn</v>
      </c>
      <c r="G50" s="54" t="str">
        <f>'Nach Mannschaften sortiert'!G72</f>
        <v>Hornstein/Wimpasing</v>
      </c>
      <c r="H50" s="54" t="str">
        <f>'Nach Mannschaften sortiert'!H72</f>
        <v>Heim</v>
      </c>
    </row>
    <row r="51" spans="1:8" hidden="1" x14ac:dyDescent="0.25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25">
      <c r="A52" s="48">
        <f>'Nach Mannschaften sortiert'!A29</f>
        <v>28</v>
      </c>
      <c r="B52" s="48">
        <f>'Nach Mannschaften sortiert'!B29</f>
        <v>8</v>
      </c>
      <c r="C52" s="48" t="str">
        <f>'Nach Mannschaften sortiert'!C29</f>
        <v>KM</v>
      </c>
      <c r="D52" s="49">
        <f>'Nach Mannschaften sortiert'!D29</f>
        <v>46297</v>
      </c>
      <c r="E52" s="97">
        <f>'Nach Mannschaften sortiert'!E29</f>
        <v>0.79166666666666663</v>
      </c>
      <c r="F52" s="48" t="str">
        <f>'Nach Mannschaften sortiert'!F29</f>
        <v>Siegendorf</v>
      </c>
      <c r="G52" s="48" t="str">
        <f>'Nach Mannschaften sortiert'!G29</f>
        <v>Siegendorf</v>
      </c>
      <c r="H52" s="48" t="str">
        <f>'Nach Mannschaften sortiert'!H29</f>
        <v>Auswärts</v>
      </c>
    </row>
    <row r="53" spans="1:8" hidden="1" x14ac:dyDescent="0.25">
      <c r="A53" s="54">
        <f>'Nach Mannschaften sortiert'!A74</f>
        <v>73</v>
      </c>
      <c r="B53" s="54">
        <f>'Nach Mannschaften sortiert'!B74</f>
        <v>7</v>
      </c>
      <c r="C53" s="54" t="str">
        <f>'Nach Mannschaften sortiert'!C74</f>
        <v>U12_1</v>
      </c>
      <c r="D53" s="55">
        <f>'Nach Mannschaften sortiert'!D74</f>
        <v>46312</v>
      </c>
      <c r="E53" s="95">
        <f>'Nach Mannschaften sortiert'!E74</f>
        <v>0.70833333333333337</v>
      </c>
      <c r="F53" s="54" t="str">
        <f>'Nach Mannschaften sortiert'!F74</f>
        <v>Neufeld</v>
      </c>
      <c r="G53" s="54" t="str">
        <f>'Nach Mannschaften sortiert'!G74</f>
        <v>SPG Klimpuh Juniors</v>
      </c>
      <c r="H53" s="54" t="str">
        <f>'Nach Mannschaften sortiert'!H74</f>
        <v>Heim</v>
      </c>
    </row>
    <row r="54" spans="1:8" x14ac:dyDescent="0.25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25">
      <c r="A55" s="54">
        <f>'Nach Mannschaften sortiert'!A88</f>
        <v>87</v>
      </c>
      <c r="B55" s="54">
        <f>'Nach Mannschaften sortiert'!B88</f>
        <v>1</v>
      </c>
      <c r="C55" s="54" t="str">
        <f>'Nach Mannschaften sortiert'!C88</f>
        <v>U11</v>
      </c>
      <c r="D55" s="55">
        <f>'Nach Mannschaften sortiert'!D88</f>
        <v>46270</v>
      </c>
      <c r="E55" s="95">
        <f>'Nach Mannschaften sortiert'!E88</f>
        <v>0.41666666666666669</v>
      </c>
      <c r="F55" s="54" t="str">
        <f>'Nach Mannschaften sortiert'!F88</f>
        <v>Steinbrunn</v>
      </c>
      <c r="G55" s="54" t="str">
        <f>'Nach Mannschaften sortiert'!G88</f>
        <v>Leithaprodersdorf</v>
      </c>
      <c r="H55" s="54" t="str">
        <f>'Nach Mannschaften sortiert'!H88</f>
        <v>Heim</v>
      </c>
    </row>
    <row r="56" spans="1:8" x14ac:dyDescent="0.25">
      <c r="A56" s="48">
        <f>'Nach Mannschaften sortiert'!A94</f>
        <v>93</v>
      </c>
      <c r="B56" s="48">
        <f>'Nach Mannschaften sortiert'!B94</f>
        <v>7</v>
      </c>
      <c r="C56" s="48" t="str">
        <f>'Nach Mannschaften sortiert'!C94</f>
        <v>U11</v>
      </c>
      <c r="D56" s="49">
        <f>'Nach Mannschaften sortiert'!D94</f>
        <v>46312</v>
      </c>
      <c r="E56" s="97">
        <f>'Nach Mannschaften sortiert'!E94</f>
        <v>0.54166666666666663</v>
      </c>
      <c r="F56" s="48" t="str">
        <f>'Nach Mannschaften sortiert'!F94</f>
        <v>Neufeld</v>
      </c>
      <c r="G56" s="48" t="str">
        <f>'Nach Mannschaften sortiert'!G94</f>
        <v>Leithaprodersdorf</v>
      </c>
      <c r="H56" s="48" t="str">
        <f>'Nach Mannschaften sortiert'!H94</f>
        <v>Heim</v>
      </c>
    </row>
    <row r="57" spans="1:8" hidden="1" x14ac:dyDescent="0.25">
      <c r="A57" s="54">
        <f>'Nach Mannschaften sortiert'!A91</f>
        <v>90</v>
      </c>
      <c r="B57" s="54">
        <f>'Nach Mannschaften sortiert'!B91</f>
        <v>4</v>
      </c>
      <c r="C57" s="54" t="str">
        <f>'Nach Mannschaften sortiert'!C91</f>
        <v>U11</v>
      </c>
      <c r="D57" s="55">
        <f>'Nach Mannschaften sortiert'!D91</f>
        <v>46292</v>
      </c>
      <c r="E57" s="95">
        <f>'Nach Mannschaften sortiert'!E91</f>
        <v>0.54166666666666663</v>
      </c>
      <c r="F57" s="54" t="str">
        <f>'Nach Mannschaften sortiert'!F91</f>
        <v>Neufeld</v>
      </c>
      <c r="G57" s="54" t="str">
        <f>'Nach Mannschaften sortiert'!G91</f>
        <v>Wulkaprodersdorf</v>
      </c>
      <c r="H57" s="54" t="str">
        <f>'Nach Mannschaften sortiert'!H91</f>
        <v>Heim</v>
      </c>
    </row>
    <row r="58" spans="1:8" x14ac:dyDescent="0.25">
      <c r="A58" s="48">
        <f>'Nach Mannschaften sortiert'!A31</f>
        <v>30</v>
      </c>
      <c r="B58" s="48">
        <f>'Nach Mannschaften sortiert'!B31</f>
        <v>10</v>
      </c>
      <c r="C58" s="48" t="str">
        <f>'Nach Mannschaften sortiert'!C31</f>
        <v>KM</v>
      </c>
      <c r="D58" s="49">
        <f>'Nach Mannschaften sortiert'!D31</f>
        <v>46311</v>
      </c>
      <c r="E58" s="97">
        <f>'Nach Mannschaften sortiert'!E31</f>
        <v>0.8125</v>
      </c>
      <c r="F58" s="48" t="str">
        <f>'Nach Mannschaften sortiert'!F31</f>
        <v>Hornstein</v>
      </c>
      <c r="G58" s="48" t="str">
        <f>'Nach Mannschaften sortiert'!G31</f>
        <v>Hornstein</v>
      </c>
      <c r="H58" s="48" t="str">
        <f>'Nach Mannschaften sortiert'!H31</f>
        <v>Auswärts</v>
      </c>
    </row>
    <row r="59" spans="1:8" hidden="1" x14ac:dyDescent="0.25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25">
      <c r="A60" s="48">
        <f>'Nach Mannschaften sortiert'!A66</f>
        <v>65</v>
      </c>
      <c r="B60" s="48">
        <f>'Nach Mannschaften sortiert'!B66</f>
        <v>8</v>
      </c>
      <c r="C60" s="48" t="str">
        <f>'Nach Mannschaften sortiert'!C66</f>
        <v>U14</v>
      </c>
      <c r="D60" s="49">
        <f>'Nach Mannschaften sortiert'!D66</f>
        <v>46320</v>
      </c>
      <c r="E60" s="97">
        <f>'Nach Mannschaften sortiert'!E66</f>
        <v>0.58333333333333337</v>
      </c>
      <c r="F60" s="48" t="str">
        <f>'Nach Mannschaften sortiert'!F66</f>
        <v>Neufeld</v>
      </c>
      <c r="G60" s="48" t="str">
        <f>'Nach Mannschaften sortiert'!G66</f>
        <v>MSV 2020</v>
      </c>
      <c r="H60" s="48" t="str">
        <f>'Nach Mannschaften sortiert'!H66</f>
        <v>Heim</v>
      </c>
    </row>
    <row r="61" spans="1:8" hidden="1" x14ac:dyDescent="0.25">
      <c r="A61" s="54">
        <f>'Nach Mannschaften sortiert'!A95</f>
        <v>94</v>
      </c>
      <c r="B61" s="54">
        <f>'Nach Mannschaften sortiert'!B95</f>
        <v>8</v>
      </c>
      <c r="C61" s="54" t="str">
        <f>'Nach Mannschaften sortiert'!C95</f>
        <v>U11</v>
      </c>
      <c r="D61" s="55">
        <f>'Nach Mannschaften sortiert'!D95</f>
        <v>46318</v>
      </c>
      <c r="E61" s="95">
        <f>'Nach Mannschaften sortiert'!E95</f>
        <v>0</v>
      </c>
      <c r="F61" s="54" t="str">
        <f>'Nach Mannschaften sortiert'!F95</f>
        <v>Hornstein</v>
      </c>
      <c r="G61" s="54" t="str">
        <f>'Nach Mannschaften sortiert'!G95</f>
        <v>Hornstein</v>
      </c>
      <c r="H61" s="54" t="str">
        <f>'Nach Mannschaften sortiert'!H95</f>
        <v>Auswärts</v>
      </c>
    </row>
    <row r="62" spans="1:8" x14ac:dyDescent="0.25">
      <c r="A62" s="46">
        <f>'Nach Mannschaften sortiert'!A67</f>
        <v>66</v>
      </c>
      <c r="B62" s="46">
        <f>'Nach Mannschaften sortiert'!B67</f>
        <v>9</v>
      </c>
      <c r="C62" s="46" t="str">
        <f>'Nach Mannschaften sortiert'!C67</f>
        <v>U14</v>
      </c>
      <c r="D62" s="47">
        <f>'Nach Mannschaften sortiert'!D67</f>
        <v>46327</v>
      </c>
      <c r="E62" s="98">
        <f>'Nach Mannschaften sortiert'!E67</f>
        <v>0.625</v>
      </c>
      <c r="F62" s="46" t="str">
        <f>'Nach Mannschaften sortiert'!F67</f>
        <v>Gols</v>
      </c>
      <c r="G62" s="46" t="str">
        <f>'Nach Mannschaften sortiert'!G67</f>
        <v>GMWP</v>
      </c>
      <c r="H62" s="46" t="str">
        <f>'Nach Mannschaften sortiert'!H67</f>
        <v>Auswärts</v>
      </c>
    </row>
    <row r="63" spans="1:8" hidden="1" x14ac:dyDescent="0.25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25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25">
      <c r="A65" s="48">
        <f>'Nach Mannschaften sortiert'!A96</f>
        <v>95</v>
      </c>
      <c r="B65" s="48">
        <f>'Nach Mannschaften sortiert'!B96</f>
        <v>9</v>
      </c>
      <c r="C65" s="48" t="str">
        <f>'Nach Mannschaften sortiert'!C96</f>
        <v>U11</v>
      </c>
      <c r="D65" s="49">
        <v>46164</v>
      </c>
      <c r="E65" s="97">
        <v>0.70833333333333337</v>
      </c>
      <c r="F65" s="48" t="str">
        <f>'Nach Mannschaften sortiert'!F96</f>
        <v>Wulkaprodersdorf</v>
      </c>
      <c r="G65" s="48" t="str">
        <f>'Nach Mannschaften sortiert'!G96</f>
        <v>Wulkaprodersdorf</v>
      </c>
      <c r="H65" s="48" t="str">
        <f>'Nach Mannschaften sortiert'!H96</f>
        <v>Auswärts</v>
      </c>
    </row>
    <row r="66" spans="1:8" hidden="1" x14ac:dyDescent="0.25">
      <c r="A66" s="54">
        <f>'Nach Mannschaften sortiert'!A103</f>
        <v>102</v>
      </c>
      <c r="B66" s="54">
        <f>'Nach Mannschaften sortiert'!B103</f>
        <v>2</v>
      </c>
      <c r="C66" s="54" t="str">
        <f>'Nach Mannschaften sortiert'!C103</f>
        <v>U9</v>
      </c>
      <c r="D66" s="55">
        <f>'Nach Mannschaften sortiert'!D103</f>
        <v>46278</v>
      </c>
      <c r="E66" s="95">
        <f>'Nach Mannschaften sortiert'!E103</f>
        <v>0.45833333333333331</v>
      </c>
      <c r="F66" s="54" t="str">
        <f>'Nach Mannschaften sortiert'!F103</f>
        <v>Neufeld</v>
      </c>
      <c r="G66" s="54" t="str">
        <f>'Nach Mannschaften sortiert'!G103</f>
        <v>Steinbrunn</v>
      </c>
      <c r="H66" s="54" t="str">
        <f>'Nach Mannschaften sortiert'!H103</f>
        <v>Heim</v>
      </c>
    </row>
    <row r="67" spans="1:8" hidden="1" x14ac:dyDescent="0.25">
      <c r="A67" s="54">
        <f>'Nach Mannschaften sortiert'!A104</f>
        <v>103</v>
      </c>
      <c r="B67" s="54">
        <f>'Nach Mannschaften sortiert'!B104</f>
        <v>3</v>
      </c>
      <c r="C67" s="54" t="str">
        <f>'Nach Mannschaften sortiert'!C104</f>
        <v>U9</v>
      </c>
      <c r="D67" s="55">
        <f>'Nach Mannschaften sortiert'!D104</f>
        <v>46283</v>
      </c>
      <c r="E67" s="95">
        <f>'Nach Mannschaften sortiert'!E104</f>
        <v>0</v>
      </c>
      <c r="F67" s="54">
        <f>'Nach Mannschaften sortiert'!F104</f>
        <v>0</v>
      </c>
      <c r="G67" s="54" t="str">
        <f>'Nach Mannschaften sortiert'!G104</f>
        <v>Spielfrei</v>
      </c>
      <c r="H67" s="54">
        <f>'Nach Mannschaften sortiert'!H104</f>
        <v>0</v>
      </c>
    </row>
    <row r="68" spans="1:8" hidden="1" x14ac:dyDescent="0.25">
      <c r="A68" s="54">
        <f>'Nach Mannschaften sortiert'!A105</f>
        <v>104</v>
      </c>
      <c r="B68" s="54">
        <f>'Nach Mannschaften sortiert'!B105</f>
        <v>4</v>
      </c>
      <c r="C68" s="54" t="str">
        <f>'Nach Mannschaften sortiert'!C105</f>
        <v>U9</v>
      </c>
      <c r="D68" s="55">
        <f>'Nach Mannschaften sortiert'!D105</f>
        <v>46290</v>
      </c>
      <c r="E68" s="95">
        <f>'Nach Mannschaften sortiert'!E105</f>
        <v>0</v>
      </c>
      <c r="F68" s="54" t="str">
        <f>'Nach Mannschaften sortiert'!F105</f>
        <v>Eisenstadt</v>
      </c>
      <c r="G68" s="54" t="str">
        <f>'Nach Mannschaften sortiert'!G105</f>
        <v>Eisenstadt</v>
      </c>
      <c r="H68" s="54" t="str">
        <f>'Nach Mannschaften sortiert'!H105</f>
        <v>Auswärts</v>
      </c>
    </row>
    <row r="69" spans="1:8" hidden="1" x14ac:dyDescent="0.25">
      <c r="A69" s="54">
        <f>'Nach Mannschaften sortiert'!A111</f>
        <v>110</v>
      </c>
      <c r="B69" s="54">
        <f>'Nach Mannschaften sortiert'!B111</f>
        <v>10</v>
      </c>
      <c r="C69" s="54" t="str">
        <f>'Nach Mannschaften sortiert'!C111</f>
        <v>U9</v>
      </c>
      <c r="D69" s="55">
        <f>'Nach Mannschaften sortiert'!D111</f>
        <v>46332</v>
      </c>
      <c r="E69" s="95">
        <f>'Nach Mannschaften sortiert'!E111</f>
        <v>0</v>
      </c>
      <c r="F69" s="54" t="str">
        <f>'Nach Mannschaften sortiert'!F111</f>
        <v>Hornstein</v>
      </c>
      <c r="G69" s="54" t="str">
        <f>'Nach Mannschaften sortiert'!G111</f>
        <v>Hornstein</v>
      </c>
      <c r="H69" s="54" t="str">
        <f>'Nach Mannschaften sortiert'!H111</f>
        <v>Auswärts</v>
      </c>
    </row>
    <row r="70" spans="1:8" x14ac:dyDescent="0.25">
      <c r="A70" s="48">
        <f>'Nach Mannschaften sortiert'!A73</f>
        <v>72</v>
      </c>
      <c r="B70" s="48">
        <f>'Nach Mannschaften sortiert'!B73</f>
        <v>6</v>
      </c>
      <c r="C70" s="48" t="str">
        <f>'Nach Mannschaften sortiert'!C73</f>
        <v>U12_1</v>
      </c>
      <c r="D70" s="49">
        <f>'Nach Mannschaften sortiert'!D73</f>
        <v>46304</v>
      </c>
      <c r="E70" s="97">
        <f>'Nach Mannschaften sortiert'!E73</f>
        <v>0</v>
      </c>
      <c r="F70" s="48" t="str">
        <f>'Nach Mannschaften sortiert'!F73</f>
        <v>Stotzing</v>
      </c>
      <c r="G70" s="48" t="str">
        <f>'Nach Mannschaften sortiert'!G73</f>
        <v>Stotzing</v>
      </c>
      <c r="H70" s="48" t="str">
        <f>'Nach Mannschaften sortiert'!H73</f>
        <v>Auswärts</v>
      </c>
    </row>
    <row r="71" spans="1:8" hidden="1" x14ac:dyDescent="0.25">
      <c r="A71" s="54">
        <f>'Nach Mannschaften sortiert'!A113</f>
        <v>112</v>
      </c>
      <c r="B71" s="54">
        <f>'Nach Mannschaften sortiert'!B113</f>
        <v>2</v>
      </c>
      <c r="C71" s="54" t="str">
        <f>'Nach Mannschaften sortiert'!C113</f>
        <v>U8</v>
      </c>
      <c r="D71" s="55">
        <f>'Nach Mannschaften sortiert'!D113</f>
        <v>46284</v>
      </c>
      <c r="E71" s="95">
        <f>'Nach Mannschaften sortiert'!E113</f>
        <v>0</v>
      </c>
      <c r="F71" s="54" t="str">
        <f>'Nach Mannschaften sortiert'!F113</f>
        <v>Wimpassing</v>
      </c>
      <c r="G71" s="54" t="str">
        <f>'Nach Mannschaften sortiert'!G113</f>
        <v>Turnier</v>
      </c>
      <c r="H71" s="54" t="str">
        <f>'Nach Mannschaften sortiert'!H113</f>
        <v>Auswärts</v>
      </c>
    </row>
    <row r="72" spans="1:8" hidden="1" x14ac:dyDescent="0.25">
      <c r="A72" s="54">
        <f>'Nach Mannschaften sortiert'!A114</f>
        <v>113</v>
      </c>
      <c r="B72" s="54">
        <f>'Nach Mannschaften sortiert'!B114</f>
        <v>3</v>
      </c>
      <c r="C72" s="54" t="str">
        <f>'Nach Mannschaften sortiert'!C114</f>
        <v>U8</v>
      </c>
      <c r="D72" s="55">
        <f>'Nach Mannschaften sortiert'!D114</f>
        <v>46291</v>
      </c>
      <c r="E72" s="95">
        <f>'Nach Mannschaften sortiert'!E114</f>
        <v>0</v>
      </c>
      <c r="F72" s="54" t="str">
        <f>'Nach Mannschaften sortiert'!F114</f>
        <v>Leithaprodersdorf</v>
      </c>
      <c r="G72" s="54" t="str">
        <f>'Nach Mannschaften sortiert'!G114</f>
        <v>Turnier</v>
      </c>
      <c r="H72" s="54" t="str">
        <f>'Nach Mannschaften sortiert'!H114</f>
        <v>Auswärts</v>
      </c>
    </row>
    <row r="73" spans="1:8" hidden="1" x14ac:dyDescent="0.25">
      <c r="A73" s="54">
        <f>'Nach Mannschaften sortiert'!A115</f>
        <v>114</v>
      </c>
      <c r="B73" s="54">
        <f>'Nach Mannschaften sortiert'!B115</f>
        <v>4</v>
      </c>
      <c r="C73" s="54" t="str">
        <f>'Nach Mannschaften sortiert'!C115</f>
        <v>U8</v>
      </c>
      <c r="D73" s="55">
        <f>'Nach Mannschaften sortiert'!D115</f>
        <v>46091</v>
      </c>
      <c r="E73" s="95">
        <f>'Nach Mannschaften sortiert'!E115</f>
        <v>0</v>
      </c>
      <c r="F73" s="54" t="str">
        <f>'Nach Mannschaften sortiert'!F115</f>
        <v>Hornstein</v>
      </c>
      <c r="G73" s="54" t="str">
        <f>'Nach Mannschaften sortiert'!G115</f>
        <v>Turnier</v>
      </c>
      <c r="H73" s="54" t="str">
        <f>'Nach Mannschaften sortiert'!H115</f>
        <v>Auswärts</v>
      </c>
    </row>
    <row r="74" spans="1:8" hidden="1" x14ac:dyDescent="0.25">
      <c r="A74" s="54">
        <f>'Nach Mannschaften sortiert'!A116</f>
        <v>115</v>
      </c>
      <c r="B74" s="54">
        <f>'Nach Mannschaften sortiert'!B116</f>
        <v>5</v>
      </c>
      <c r="C74" s="54" t="str">
        <f>'Nach Mannschaften sortiert'!C116</f>
        <v>U8</v>
      </c>
      <c r="D74" s="55">
        <f>'Nach Mannschaften sortiert'!D116</f>
        <v>46092</v>
      </c>
      <c r="E74" s="95">
        <f>'Nach Mannschaften sortiert'!E116</f>
        <v>0</v>
      </c>
      <c r="F74" s="54" t="str">
        <f>'Nach Mannschaften sortiert'!F116</f>
        <v>Steinbrunn</v>
      </c>
      <c r="G74" s="54" t="str">
        <f>'Nach Mannschaften sortiert'!G116</f>
        <v>Turnier</v>
      </c>
      <c r="H74" s="54" t="str">
        <f>'Nach Mannschaften sortiert'!H116</f>
        <v>Auswärts</v>
      </c>
    </row>
    <row r="75" spans="1:8" x14ac:dyDescent="0.25">
      <c r="A75" s="48">
        <f>'Nach Mannschaften sortiert'!A34</f>
        <v>33</v>
      </c>
      <c r="B75" s="48">
        <f>'Nach Mannschaften sortiert'!B34</f>
        <v>13</v>
      </c>
      <c r="C75" s="48" t="str">
        <f>'Nach Mannschaften sortiert'!C34</f>
        <v>KM</v>
      </c>
      <c r="D75" s="49">
        <f>'Nach Mannschaften sortiert'!D34</f>
        <v>46333</v>
      </c>
      <c r="E75" s="97">
        <f>'Nach Mannschaften sortiert'!E34</f>
        <v>0.6875</v>
      </c>
      <c r="F75" s="48" t="str">
        <f>'Nach Mannschaften sortiert'!F34</f>
        <v>Neufeld</v>
      </c>
      <c r="G75" s="48" t="str">
        <f>'Nach Mannschaften sortiert'!G34</f>
        <v>Andau</v>
      </c>
      <c r="H75" s="48" t="str">
        <f>'Nach Mannschaften sortiert'!H34</f>
        <v>Heim</v>
      </c>
    </row>
    <row r="76" spans="1:8" hidden="1" x14ac:dyDescent="0.25">
      <c r="A76" s="54">
        <f>'Nach Mannschaften sortiert'!A118</f>
        <v>117</v>
      </c>
      <c r="B76" s="54">
        <f>'Nach Mannschaften sortiert'!B118</f>
        <v>2</v>
      </c>
      <c r="C76" s="54" t="str">
        <f>'Nach Mannschaften sortiert'!C118</f>
        <v>U7</v>
      </c>
      <c r="D76" s="55">
        <f>'Nach Mannschaften sortiert'!D118</f>
        <v>0</v>
      </c>
      <c r="E76" s="95">
        <f>'Nach Mannschaften sortiert'!E118</f>
        <v>0</v>
      </c>
      <c r="F76" s="54">
        <f>'Nach Mannschaften sortiert'!F118</f>
        <v>0</v>
      </c>
      <c r="G76" s="54">
        <f>'Nach Mannschaften sortiert'!G118</f>
        <v>0</v>
      </c>
      <c r="H76" s="54">
        <f>'Nach Mannschaften sortiert'!H118</f>
        <v>0</v>
      </c>
    </row>
    <row r="77" spans="1:8" hidden="1" x14ac:dyDescent="0.25">
      <c r="A77" s="54">
        <f>'Nach Mannschaften sortiert'!A119</f>
        <v>118</v>
      </c>
      <c r="B77" s="54">
        <f>'Nach Mannschaften sortiert'!B119</f>
        <v>3</v>
      </c>
      <c r="C77" s="54" t="str">
        <f>'Nach Mannschaften sortiert'!C119</f>
        <v>U7</v>
      </c>
      <c r="D77" s="55">
        <f>'Nach Mannschaften sortiert'!D119</f>
        <v>0</v>
      </c>
      <c r="E77" s="95">
        <f>'Nach Mannschaften sortiert'!E119</f>
        <v>0</v>
      </c>
      <c r="F77" s="54">
        <f>'Nach Mannschaften sortiert'!F119</f>
        <v>0</v>
      </c>
      <c r="G77" s="54">
        <f>'Nach Mannschaften sortiert'!G119</f>
        <v>0</v>
      </c>
      <c r="H77" s="54">
        <f>'Nach Mannschaften sortiert'!H119</f>
        <v>0</v>
      </c>
    </row>
    <row r="78" spans="1:8" hidden="1" x14ac:dyDescent="0.25">
      <c r="A78" s="54">
        <f>'Nach Mannschaften sortiert'!A120</f>
        <v>119</v>
      </c>
      <c r="B78" s="54">
        <f>'Nach Mannschaften sortiert'!B120</f>
        <v>4</v>
      </c>
      <c r="C78" s="54" t="str">
        <f>'Nach Mannschaften sortiert'!C120</f>
        <v>U7</v>
      </c>
      <c r="D78" s="55">
        <f>'Nach Mannschaften sortiert'!D120</f>
        <v>0</v>
      </c>
      <c r="E78" s="95">
        <f>'Nach Mannschaften sortiert'!E120</f>
        <v>0</v>
      </c>
      <c r="F78" s="54">
        <f>'Nach Mannschaften sortiert'!F120</f>
        <v>0</v>
      </c>
      <c r="G78" s="54">
        <f>'Nach Mannschaften sortiert'!G120</f>
        <v>0</v>
      </c>
      <c r="H78" s="54">
        <f>'Nach Mannschaften sortiert'!H120</f>
        <v>0</v>
      </c>
    </row>
    <row r="79" spans="1:8" hidden="1" x14ac:dyDescent="0.25">
      <c r="A79" s="54">
        <f>'Nach Mannschaften sortiert'!A121</f>
        <v>120</v>
      </c>
      <c r="B79" s="54">
        <f>'Nach Mannschaften sortiert'!B121</f>
        <v>5</v>
      </c>
      <c r="C79" s="54" t="str">
        <f>'Nach Mannschaften sortiert'!C121</f>
        <v>U7</v>
      </c>
      <c r="D79" s="55">
        <f>'Nach Mannschaften sortiert'!D121</f>
        <v>0</v>
      </c>
      <c r="E79" s="95">
        <f>'Nach Mannschaften sortiert'!E121</f>
        <v>0</v>
      </c>
      <c r="F79" s="54">
        <f>'Nach Mannschaften sortiert'!F121</f>
        <v>0</v>
      </c>
      <c r="G79" s="54">
        <f>'Nach Mannschaften sortiert'!G121</f>
        <v>0</v>
      </c>
      <c r="H79" s="54">
        <f>'Nach Mannschaften sortiert'!H121</f>
        <v>0</v>
      </c>
    </row>
    <row r="80" spans="1:8" x14ac:dyDescent="0.25">
      <c r="A80" s="48">
        <f>'Nach Mannschaften sortiert'!A75</f>
        <v>74</v>
      </c>
      <c r="B80" s="48">
        <f>'Nach Mannschaften sortiert'!B75</f>
        <v>8</v>
      </c>
      <c r="C80" s="48" t="str">
        <f>'Nach Mannschaften sortiert'!C75</f>
        <v>U12_1</v>
      </c>
      <c r="D80" s="49">
        <f>'Nach Mannschaften sortiert'!D75</f>
        <v>46318</v>
      </c>
      <c r="E80" s="97">
        <f>'Nach Mannschaften sortiert'!E75</f>
        <v>0</v>
      </c>
      <c r="F80" s="48" t="str">
        <f>'Nach Mannschaften sortiert'!F75</f>
        <v>Leithaprodersdorf</v>
      </c>
      <c r="G80" s="48" t="str">
        <f>'Nach Mannschaften sortiert'!G75</f>
        <v>Leithaprodersdorf</v>
      </c>
      <c r="H80" s="48" t="str">
        <f>'Nach Mannschaften sortiert'!H75</f>
        <v>Auswärts</v>
      </c>
    </row>
    <row r="81" spans="1:8" x14ac:dyDescent="0.25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25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25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25">
      <c r="A84" s="54">
        <f>'Nach Mannschaften sortiert'!A133</f>
        <v>132</v>
      </c>
      <c r="B84" s="54">
        <f>'Nach Mannschaften sortiert'!B133</f>
        <v>2</v>
      </c>
      <c r="C84" s="54" t="str">
        <f>'Nach Mannschaften sortiert'!C133</f>
        <v>Turnier</v>
      </c>
      <c r="D84" s="55">
        <f>'Nach Mannschaften sortiert'!D133</f>
        <v>46256</v>
      </c>
      <c r="E84" s="95">
        <f>'Nach Mannschaften sortiert'!E133</f>
        <v>0.375</v>
      </c>
      <c r="F84" s="54" t="str">
        <f>'Nach Mannschaften sortiert'!F133</f>
        <v>Neufeld</v>
      </c>
      <c r="G84" s="54" t="str">
        <f>'Nach Mannschaften sortiert'!G133</f>
        <v>viele Gegner</v>
      </c>
      <c r="H84" s="54" t="str">
        <f>'Nach Mannschaften sortiert'!H133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2026-08-05T15:05:51Z</dcterms:modified>
</cp:coreProperties>
</file>
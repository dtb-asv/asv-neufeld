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9C0C9AD9-8168-47DF-A873-8C32C7616278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2" l="1"/>
  <c r="C14" i="2"/>
  <c r="D14" i="2"/>
  <c r="E14" i="2"/>
  <c r="G14" i="2"/>
  <c r="H14" i="2"/>
  <c r="I14" i="2"/>
  <c r="A14" i="1"/>
  <c r="A15" i="1"/>
  <c r="C131" i="7"/>
  <c r="B59" i="2"/>
  <c r="B131" i="7" s="1"/>
  <c r="C59" i="2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D34" i="2" s="1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E72" i="2"/>
  <c r="D58" i="7" s="1"/>
  <c r="G72" i="2"/>
  <c r="H72" i="2"/>
  <c r="E58" i="7" s="1"/>
  <c r="I72" i="2"/>
  <c r="D72" i="2" s="1"/>
  <c r="B73" i="2"/>
  <c r="B79" i="7" s="1"/>
  <c r="C73" i="2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D82" i="2" s="1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142" i="2"/>
  <c r="B67" i="7" s="1"/>
  <c r="C142" i="2"/>
  <c r="C67" i="7" s="1"/>
  <c r="E142" i="2"/>
  <c r="D67" i="7" s="1"/>
  <c r="G142" i="2"/>
  <c r="H142" i="2"/>
  <c r="E67" i="7" s="1"/>
  <c r="I142" i="2"/>
  <c r="A67" i="7" s="1"/>
  <c r="D18" i="7"/>
  <c r="A35" i="7"/>
  <c r="F35" i="7" s="1"/>
  <c r="I35" i="7" s="1"/>
  <c r="A96" i="7"/>
  <c r="F96" i="7" s="1"/>
  <c r="C64" i="7"/>
  <c r="E70" i="7"/>
  <c r="A52" i="7"/>
  <c r="F52" i="7" s="1"/>
  <c r="B33" i="7"/>
  <c r="E4" i="7"/>
  <c r="C14" i="7"/>
  <c r="C2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55" i="7"/>
  <c r="F55" i="7" s="1"/>
  <c r="A90" i="7"/>
  <c r="F90" i="7" s="1"/>
  <c r="G90" i="7" s="1"/>
  <c r="A77" i="7"/>
  <c r="F77" i="7" s="1"/>
  <c r="B53" i="7"/>
  <c r="A98" i="7"/>
  <c r="F98" i="7" s="1"/>
  <c r="A66" i="7"/>
  <c r="F66" i="7" s="1"/>
  <c r="A62" i="7"/>
  <c r="F62" i="7" s="1"/>
  <c r="A75" i="7"/>
  <c r="F75" i="7" s="1"/>
  <c r="B59" i="7"/>
  <c r="A87" i="7"/>
  <c r="F87" i="7" s="1"/>
  <c r="A80" i="7"/>
  <c r="F80" i="7" s="1"/>
  <c r="B71" i="7"/>
  <c r="A97" i="7"/>
  <c r="F97" i="7" s="1"/>
  <c r="G97" i="7" s="1"/>
  <c r="A118" i="7"/>
  <c r="F118" i="7" s="1"/>
  <c r="A103" i="7"/>
  <c r="F103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6" i="1" s="1"/>
  <c r="A17" i="1" s="1"/>
  <c r="A18" i="1" s="1"/>
  <c r="A19" i="1" s="1"/>
  <c r="A20" i="1" s="1"/>
  <c r="A21" i="1" s="1"/>
  <c r="A22" i="1" s="1"/>
  <c r="D54" i="2" l="1"/>
  <c r="A74" i="7"/>
  <c r="F74" i="7" s="1"/>
  <c r="C40" i="7"/>
  <c r="A56" i="7"/>
  <c r="F56" i="7" s="1"/>
  <c r="I56" i="7" s="1"/>
  <c r="A21" i="7"/>
  <c r="F21" i="7" s="1"/>
  <c r="A82" i="7"/>
  <c r="F82" i="7" s="1"/>
  <c r="A129" i="7"/>
  <c r="F129" i="7" s="1"/>
  <c r="G129" i="7" s="1"/>
  <c r="A71" i="7"/>
  <c r="F71" i="7" s="1"/>
  <c r="G71" i="7" s="1"/>
  <c r="A60" i="7"/>
  <c r="F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4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G104" i="7"/>
  <c r="H104" i="7"/>
  <c r="K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K98" i="7"/>
  <c r="G98" i="7"/>
  <c r="I98" i="7"/>
  <c r="J98" i="7"/>
  <c r="H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J62" i="7"/>
  <c r="I62" i="7"/>
  <c r="K62" i="7"/>
  <c r="H62" i="7"/>
  <c r="G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I82" i="7"/>
  <c r="K82" i="7"/>
  <c r="H82" i="7"/>
  <c r="G82" i="7"/>
  <c r="J129" i="7"/>
  <c r="I129" i="7"/>
  <c r="H129" i="7"/>
  <c r="I59" i="7"/>
  <c r="J59" i="7"/>
  <c r="H59" i="7"/>
  <c r="G59" i="7"/>
  <c r="K59" i="7"/>
  <c r="J60" i="7"/>
  <c r="H60" i="7"/>
  <c r="G60" i="7"/>
  <c r="K60" i="7"/>
  <c r="I60" i="7"/>
  <c r="J74" i="7"/>
  <c r="H74" i="7"/>
  <c r="I74" i="7"/>
  <c r="G74" i="7"/>
  <c r="K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I21" i="7"/>
  <c r="H21" i="7"/>
  <c r="G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H103" i="7"/>
  <c r="K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H55" i="7"/>
  <c r="I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J56" i="7" l="1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<sst xmlns="http://schemas.openxmlformats.org/spreadsheetml/2006/main" count="1115" uniqueCount="213">
  <si>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</si>
  <si>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</si>
  <si>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</si>
  <si>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</si>
  <si>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</si>
  <si>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</si>
  <si>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</si>
  <si>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</si>
  <si>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</si>
  <si>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</si>
  <si>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</si>
  <si>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</si>
  <si>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</si>
  <si>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</si>
  <si>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</si>
  <si>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</si>
  <si>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</si>
  <si>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</si>
  <si>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</si>
  <si>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</si>
  <si>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</si>
  <si>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</si>
  <si>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</si>
  <si>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</si>
  <si>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</si>
  <si>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</si>
  <si>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</si>
  <si>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</si>
  <si>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</si>
  <si>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</si>
  <si>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</si>
  <si>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</si>
  <si>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</si>
  <si>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</si>
  <si>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</si>
  <si>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</si>
  <si>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</si>
  <si>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</si>
  <si>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</si>
  <si>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</si>
  <si>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</si>
  <si>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</si>
  <si>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</si>
  <si>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</si>
  <si>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</si>
  <si>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</si>
  <si>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</si>
  <si>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</si>
  <si>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</si>
  <si>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</si>
  <si>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</si>
  <si>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</si>
  <si>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</si>
  <si>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</si>
  <si>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</si>
  <si>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</si>
  <si>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</si>
  <si>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</si>
  <si>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</si>
  <si>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</si>
  <si>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</si>
  <si>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</si>
  <si>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</si>
  <si>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</si>
  <si>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</si>
  <si>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</si>
  <si>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</si>
  <si>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</si>
  <si>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</si>
  <si>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</si>
  <si>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</si>
  <si>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</si>
  <si>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</si>
  <si>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</si>
  <si>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</si>
  <si>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</si>
  <si>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</si>
  <si>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</si>
  <si>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</si>
  <si>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</si>
  <si>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</si>
  <si>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</si>
  <si>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</si>
  <si>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</si>
  <si>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</si>
  <si>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</si>
  <si>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</si>
  <si>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</si>
  <si>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</si>
  <si>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</si>
  <si>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</si>
  <si>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</si>
  <si>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</si>
  <si>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</si>
  <si>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</si>
  <si>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</si>
  <si>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</si>
  <si>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</si>
  <si>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</si>
  <si>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</si>
  <si>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</si>
  <si>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</si>
  <si>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</si>
  <si>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</si>
  <si>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</si>
  <si>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</si>
  <si>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</si>
  <si>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</si>
  <si>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</si>
  <si>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</si>
  <si>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</si>
  <si>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</si>
  <si>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</si>
  <si>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</si>
  <si>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</si>
  <si>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</si>
  <si>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</si>
  <si>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</si>
  <si>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</si>
  <si>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</si>
  <si>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</si>
  <si>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</si>
  <si>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</si>
  <si>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</si>
  <si>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</si>
  <si>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</si>
  <si>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</si>
  <si>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</si>
  <si>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</si>
  <si>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</si>
  <si>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</si>
  <si>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</si>
  <si>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</si>
  <si>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</si>
  <si>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</si>
  <si>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</si>
  <si>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</si>
  <si>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</si>
  <si>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</si>
  <si>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</si>
  <si>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</si>
  <si>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</si>
  <si>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</si>
  <si>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</si>
  <si>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</si>
  <si>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</si>
  <si>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</si>
  <si>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</si>
  <si>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</si>
  <si>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</si>
  <si>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</si>
  <si>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</si>
  <si>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</si>
  <si>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</si>
  <si>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</si>
  <si>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</si>
  <si>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</si>
  <si>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</si>
  <si>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</si>
  <si>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</si>
  <si>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</si>
  <si>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</si>
  <si>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</si>
  <si>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</si>
  <si>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</si>
  <si>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</si>
  <si>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</si>
  <si>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</si>
  <si>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</si>
  <si>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</si>
  <si>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</si>
  <si>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</si>
  <si>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</si>
  <si>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</si>
  <si>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</si>
  <si>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</si>
  <si>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</si>
  <si>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</si>
  <si>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</si>
  <si>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</si>
  <si>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</si>
  <si>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</si>
  <si>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</si>
  <si>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</si>
  <si>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</si>
  <si>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</si>
  <si>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</si>
  <si>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</si>
  <si>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</si>
  <si>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</si>
  <si>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</si>
  <si>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</si>
  <si>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</si>
  <si>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</si>
  <si>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</si>
  <si>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</si>
  <si>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</si>
  <si>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</si>
  <si>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</si>
  <si>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</si>
  <si>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</si>
  <si>
    <t>5:1 für Mönchhof</t>
  </si>
  <si>
    <t>2:0 für Mönchhof</t>
  </si>
  <si>
    <t>16:1 für Leithaprodersdorf</t>
  </si>
  <si>
    <t>4:2 für St. Georgen/Eisenstadt</t>
  </si>
  <si>
    <t>5:1 für SPG ASV</t>
  </si>
  <si>
    <t>4:3 für Stotzing</t>
  </si>
  <si>
    <t>5:0 für Neufeld</t>
  </si>
  <si>
    <t>3:3</t>
  </si>
  <si>
    <t>4:0 für Neufeld</t>
  </si>
  <si>
    <t>2:9 für Neufeld</t>
  </si>
  <si>
    <t>15:13 für Neufeld</t>
  </si>
  <si>
    <t>3:2 für Neufeld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</si>
</sst>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2"/>
  <sheetViews>
    <sheetView zoomScaleNormal="100" workbookViewId="0">
      <pane ySplit="1" topLeftCell="A95" activePane="bottomLeft" state="frozen"/>
      <selection pane="bottomLeft" activeCell="D113" sqref="D113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46319</v>
      </c>
      <c r="E33" s="3">
        <v>0.70833333333333337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46319</v>
      </c>
      <c r="E46" s="3">
        <v>0.625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0.45833333333333331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176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46298</v>
      </c>
      <c r="E73" s="7">
        <v>0.5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 t="s">
        <v>53</v>
      </c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30" t="s">
        <v>54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40" t="s">
        <v>161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54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161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63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2"/>
  <sheetViews>
    <sheetView tabSelected="1" topLeftCell="A71" workbookViewId="0">
      <selection activeCell="F80" sqref="F80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F26" s="82" t="s">
        <v>201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F27" s="82" t="s">
        <v>209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46319</v>
      </c>
      <c r="C33" s="94">
        <f>'Nach Mannschaften sortiert'!E33</f>
        <v>0.70833333333333337</v>
      </c>
      <c r="D33" s="94">
        <f t="shared" si="0"/>
        <v>0.78125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F39" s="82" t="s">
        <v>202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F40" s="82" t="s">
        <v>207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46319</v>
      </c>
      <c r="C46" s="94">
        <f>'Nach Mannschaften sortiert'!E46</f>
        <v>0.625</v>
      </c>
      <c r="D46" s="94">
        <f t="shared" si="0"/>
        <v>0.69791666666666663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F50" s="82" t="s">
        <v>210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0.45833333333333331</v>
      </c>
      <c r="D59" s="94">
        <f t="shared" si="0"/>
        <v>0.53125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F60" s="82" t="s">
        <v>204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F69" s="82" t="s">
        <v>206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F70" s="82" t="s">
        <v>208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RUST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46298</v>
      </c>
      <c r="C73" s="94">
        <f>'Nach Mannschaften sortiert'!E73</f>
        <v>0.5</v>
      </c>
      <c r="D73" s="94">
        <f t="shared" si="2"/>
        <v>0.54861111111111116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F79" s="82" t="s">
        <v>205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F80" s="82" t="s">
        <v>212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F89" s="82" t="s">
        <v>203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F90" s="82" t="s">
        <v>208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F104" s="82" t="s">
        <v>211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sortiert'!C122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sortiert'!C130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2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sortiert'!C133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sortiert'!C138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sortiert'!C141</f>
        <v>Turnier</v>
      </c>
      <c r="J141" s="82" t="s">
        <v>77</v>
      </c>
      <c r="K141" t="s">
        <v>80</v>
      </c>
      <c r="L141" t="s">
        <v>79</v>
      </c>
    </row>
    <row r="142" spans="2:12" x14ac:dyDescent="0.3">
      <c r="B142" s="93">
        <f>'Nach Mannschaften sortiert'!D142</f>
        <v>46291</v>
      </c>
      <c r="C142" s="94">
        <f>'Nach Mannschaften sortiert'!E142</f>
        <v>0.75</v>
      </c>
      <c r="D142" s="94">
        <f t="shared" si="3"/>
        <v>0.875</v>
      </c>
      <c r="E142" s="94" t="str">
        <f>UPPER('Nach Mannschaften sortiert'!F142)</f>
        <v>NEUFELD</v>
      </c>
      <c r="G142" t="str">
        <f>'Nach Mannschaften sortiert'!H142</f>
        <v>Heim</v>
      </c>
      <c r="H142" t="str">
        <f>'Nach Mannschaften sortiert'!G142</f>
        <v>Oktoberfest 2026</v>
      </c>
      <c r="I142" t="str">
        <f>'Nach Mannschaften sortiert'!C142</f>
        <v>Fest ASV Neufeld</v>
      </c>
      <c r="J142" s="82" t="s">
        <v>77</v>
      </c>
      <c r="K142" t="s">
        <v>80</v>
      </c>
      <c r="L142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5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RUST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str">
        <f>'ICS2'!I142</f>
        <v>Fest ASV Neufeld</v>
      </c>
      <c r="B67" s="103">
        <f>'ICS2'!B142</f>
        <v>46291</v>
      </c>
      <c r="C67" s="104">
        <f>'ICS2'!C142</f>
        <v>0.75</v>
      </c>
      <c r="D67" s="57" t="str">
        <f>'ICS2'!E142</f>
        <v>NEUFELD</v>
      </c>
      <c r="E67" s="57" t="str">
        <f>'ICS2'!H142</f>
        <v>Oktoberfest 2026</v>
      </c>
      <c r="F67" s="57" t="str">
        <f t="shared" si="15"/>
        <v>Fest ASV Neufeld</v>
      </c>
      <c r="G67" s="57"/>
      <c r="H67" s="57"/>
      <c r="I67" s="57" t="str">
        <f>IF(F67="Großfeld","5",IF(F67="U16","5",IF(F67="U15","5",IF(F67="U14","4",IF(F67="U13","4",IF(F67="U11/U12","4",IF(F67="U9/U10","4",IF(F67="U9","4","3"))))))))</f>
        <v>3</v>
      </c>
      <c r="J67" s="57" t="str">
        <f t="shared" si="16"/>
        <v>FEHLER</v>
      </c>
      <c r="K67" s="57" t="str">
        <f t="shared" si="17"/>
        <v>FEHLER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46298</v>
      </c>
      <c r="C79" s="119">
        <f>'ICS2'!C73</f>
        <v>0.5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46319</v>
      </c>
      <c r="C103" s="122">
        <f>'ICS2'!C46</f>
        <v>0.625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46319</v>
      </c>
      <c r="C105" s="122">
        <f>'ICS2'!C33</f>
        <v>0.70833333333333337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0.45833333333333331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sortiert'!C123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sortiert'!C124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46319</v>
      </c>
      <c r="E12" s="95">
        <f>'Nach Mannschaften sortiert'!E33</f>
        <v>0.70833333333333337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sortiert'!C125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Rust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46298</v>
      </c>
      <c r="E50" s="95">
        <f>'Nach Mannschaften sortiert'!E73</f>
        <v>0.5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sortiert'!C119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sortiert'!C120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sortiert'!C121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sortiert'!C122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sortiert'!C134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2026-09-14T04:01:58Z</dcterms:modified>
</cp:coreProperties>
</file>
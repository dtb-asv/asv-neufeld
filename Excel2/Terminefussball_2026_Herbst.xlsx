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45A89BE1-28E1-4151-A422-B3C2C1223CB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  <sheet name="CFG_ROLES" sheetId="9" r:id="rId9"/>
    <sheet name="CFG_RIGHTS" sheetId="10" r:id="rId10"/>
    <sheet name="CFG_ROLE_RIGHTS" sheetId="11" r:id="rId11"/>
    <sheet name="CFG_LOOKUPS" sheetId="12" r:id="rId12"/>
    <sheet name="MEMBER_ROLES" sheetId="13" r:id="rId13"/>
    <sheet name="TEAM_ASSIGNMENTS" sheetId="14" r:id="rId14"/>
    <sheet name="TRAININGS" sheetId="15" r:id="rId15"/>
    <sheet name="TRAINING_PARTICIPANTS" sheetId="16" r:id="rId16"/>
    <sheet name="TRAINING_SCHEDULES" sheetId="17" r:id="rId17"/>
    <sheet name="CLUB" sheetId="18" r:id="rId18"/>
    <sheet name="SEASONS" sheetId="19" r:id="rId19"/>
    <sheet name="FACILITIES" sheetId="20" r:id="rId20"/>
    <sheet name="PLACES" sheetId="21" r:id="rId21"/>
    <sheet name="TEAMS" sheetId="22" r:id="rId22"/>
    <sheet name="TEAM_MEMBERS" sheetId="23" r:id="rId23"/>
    <sheet name="DEPARTMENTS" sheetId="24" r:id="rId24"/>
  </sheets>
  <definedNames>
    <definedName name="_xlnm._FilterDatabase" localSheetId="4" hidden="1">Heimspiele!$A$1:$H$84</definedName>
    <definedName name="_xlnm._FilterDatabase" localSheetId="0" hidden="1">'Nach Mannschaften sortiert'!$A$1:$H$117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2" l="1"/>
  <c r="C21" i="2"/>
  <c r="E21" i="2"/>
  <c r="G21" i="2"/>
  <c r="H21" i="2"/>
  <c r="I21" i="2"/>
  <c r="D21" i="2" s="1"/>
  <c r="B3" i="2"/>
  <c r="C3" i="2"/>
  <c r="E3" i="2"/>
  <c r="G3" i="2"/>
  <c r="H3" i="2"/>
  <c r="I3" i="2"/>
  <c r="D3" i="2" s="1"/>
  <c r="B4" i="2"/>
  <c r="C4" i="2"/>
  <c r="E4" i="2"/>
  <c r="G4" i="2"/>
  <c r="H4" i="2"/>
  <c r="I4" i="2"/>
  <c r="D4" i="2" s="1"/>
  <c r="B5" i="2"/>
  <c r="C5" i="2"/>
  <c r="E5" i="2"/>
  <c r="G5" i="2"/>
  <c r="H5" i="2"/>
  <c r="I5" i="2"/>
  <c r="D5" i="2" s="1"/>
  <c r="B6" i="2"/>
  <c r="C6" i="2"/>
  <c r="E6" i="2"/>
  <c r="G6" i="2"/>
  <c r="H6" i="2"/>
  <c r="I6" i="2"/>
  <c r="D6" i="2" s="1"/>
  <c r="B7" i="2"/>
  <c r="C7" i="2"/>
  <c r="E7" i="2"/>
  <c r="G7" i="2"/>
  <c r="H7" i="2"/>
  <c r="I7" i="2"/>
  <c r="D7" i="2" s="1"/>
  <c r="B8" i="2"/>
  <c r="C8" i="2"/>
  <c r="E8" i="2"/>
  <c r="G8" i="2"/>
  <c r="H8" i="2"/>
  <c r="I8" i="2"/>
  <c r="D8" i="2" s="1"/>
  <c r="B9" i="2"/>
  <c r="C9" i="2"/>
  <c r="E9" i="2"/>
  <c r="G9" i="2"/>
  <c r="H9" i="2"/>
  <c r="I9" i="2"/>
  <c r="D9" i="2" s="1"/>
  <c r="B10" i="2"/>
  <c r="C10" i="2"/>
  <c r="E10" i="2"/>
  <c r="G10" i="2"/>
  <c r="H10" i="2"/>
  <c r="I10" i="2"/>
  <c r="D10" i="2" s="1"/>
  <c r="B11" i="2"/>
  <c r="C11" i="2"/>
  <c r="E11" i="2"/>
  <c r="G11" i="2"/>
  <c r="H11" i="2"/>
  <c r="I11" i="2"/>
  <c r="D11" i="2" s="1"/>
  <c r="B12" i="2"/>
  <c r="C12" i="2"/>
  <c r="E12" i="2"/>
  <c r="G12" i="2"/>
  <c r="H12" i="2"/>
  <c r="I12" i="2"/>
  <c r="D12" i="2" s="1"/>
  <c r="B13" i="2"/>
  <c r="C13" i="2"/>
  <c r="E13" i="2"/>
  <c r="G13" i="2"/>
  <c r="H13" i="2"/>
  <c r="I13" i="2"/>
  <c r="D13" i="2" s="1"/>
  <c r="B14" i="2"/>
  <c r="C14" i="2"/>
  <c r="E14" i="2"/>
  <c r="G14" i="2"/>
  <c r="H14" i="2"/>
  <c r="I14" i="2"/>
  <c r="D14" i="2" s="1"/>
  <c r="B15" i="2"/>
  <c r="C15" i="2"/>
  <c r="E15" i="2"/>
  <c r="G15" i="2"/>
  <c r="H15" i="2"/>
  <c r="I15" i="2"/>
  <c r="D15" i="2" s="1"/>
  <c r="B16" i="2"/>
  <c r="C16" i="2"/>
  <c r="E16" i="2"/>
  <c r="G16" i="2"/>
  <c r="H16" i="2"/>
  <c r="I16" i="2"/>
  <c r="D16" i="2" s="1"/>
  <c r="B17" i="2"/>
  <c r="C17" i="2"/>
  <c r="E17" i="2"/>
  <c r="G17" i="2"/>
  <c r="H17" i="2"/>
  <c r="I17" i="2"/>
  <c r="D17" i="2" s="1"/>
  <c r="B18" i="2"/>
  <c r="C18" i="2"/>
  <c r="E18" i="2"/>
  <c r="G18" i="2"/>
  <c r="H18" i="2"/>
  <c r="I18" i="2"/>
  <c r="D18" i="2" s="1"/>
  <c r="B19" i="2"/>
  <c r="C19" i="2"/>
  <c r="E19" i="2"/>
  <c r="G19" i="2"/>
  <c r="H19" i="2"/>
  <c r="I19" i="2"/>
  <c r="D19" i="2" s="1"/>
  <c r="B20" i="2"/>
  <c r="C20" i="2"/>
  <c r="E20" i="2"/>
  <c r="G20" i="2"/>
  <c r="H20" i="2"/>
  <c r="I20" i="2"/>
  <c r="D20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J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K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J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J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K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J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K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J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K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K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J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J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K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K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K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K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J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42" i="2"/>
  <c r="H142" i="2"/>
  <c r="G142" i="2"/>
  <c r="E142" i="2"/>
  <c r="C142" i="2"/>
  <c r="B142" i="2"/>
  <c r="I141" i="2"/>
  <c r="H141" i="2"/>
  <c r="G141" i="2"/>
  <c r="E141" i="2"/>
  <c r="C141" i="2"/>
  <c r="B141" i="2"/>
  <c r="I140" i="2"/>
  <c r="H140" i="2"/>
  <c r="G140" i="2"/>
  <c r="E140" i="2"/>
  <c r="C140" i="2"/>
  <c r="B140" i="2"/>
  <c r="I139" i="2"/>
  <c r="H139" i="2"/>
  <c r="G139" i="2"/>
  <c r="E139" i="2"/>
  <c r="C139" i="2"/>
  <c r="B139" i="2"/>
  <c r="I138" i="2"/>
  <c r="H138" i="2"/>
  <c r="G138" i="2"/>
  <c r="E138" i="2"/>
  <c r="C138" i="2"/>
  <c r="B138" i="2"/>
  <c r="I137" i="2"/>
  <c r="H137" i="2"/>
  <c r="G137" i="2"/>
  <c r="E137" i="2"/>
  <c r="C137" i="2"/>
  <c r="B137" i="2"/>
  <c r="I136" i="2"/>
  <c r="H136" i="2"/>
  <c r="G136" i="2"/>
  <c r="E136" i="2"/>
  <c r="C136" i="2"/>
  <c r="B136" i="2"/>
  <c r="I135" i="2"/>
  <c r="H135" i="2"/>
  <c r="G135" i="2"/>
  <c r="E135" i="2"/>
  <c r="C135" i="2"/>
  <c r="B135" i="2"/>
  <c r="I134" i="2"/>
  <c r="H134" i="2"/>
  <c r="G134" i="2"/>
  <c r="E134" i="2"/>
  <c r="C134" i="2"/>
  <c r="D134" i="2" s="1"/>
  <c r="B134" i="2"/>
  <c r="I133" i="2"/>
  <c r="H133" i="2"/>
  <c r="G133" i="2"/>
  <c r="E133" i="2"/>
  <c r="C133" i="2"/>
  <c r="B133" i="2"/>
  <c r="I132" i="2"/>
  <c r="H132" i="2"/>
  <c r="G132" i="2"/>
  <c r="E132" i="2"/>
  <c r="C132" i="2"/>
  <c r="D132" i="2" s="1"/>
  <c r="B132" i="2"/>
  <c r="I131" i="2"/>
  <c r="H131" i="2"/>
  <c r="G131" i="2"/>
  <c r="E131" i="2"/>
  <c r="C131" i="2"/>
  <c r="D131" i="2" s="1"/>
  <c r="B131" i="2"/>
  <c r="I130" i="2"/>
  <c r="H130" i="2"/>
  <c r="G130" i="2"/>
  <c r="E130" i="2"/>
  <c r="C130" i="2"/>
  <c r="D130" i="2" s="1"/>
  <c r="B130" i="2"/>
  <c r="I129" i="2"/>
  <c r="H129" i="2"/>
  <c r="G129" i="2"/>
  <c r="E129" i="2"/>
  <c r="C129" i="2"/>
  <c r="D129" i="2" s="1"/>
  <c r="B129" i="2"/>
  <c r="I128" i="2"/>
  <c r="H128" i="2"/>
  <c r="G128" i="2"/>
  <c r="E128" i="2"/>
  <c r="C128" i="2"/>
  <c r="D128" i="2" s="1"/>
  <c r="B128" i="2"/>
  <c r="I127" i="2"/>
  <c r="H127" i="2"/>
  <c r="G127" i="2"/>
  <c r="E127" i="2"/>
  <c r="C127" i="2"/>
  <c r="B127" i="2"/>
  <c r="I126" i="2"/>
  <c r="H126" i="2"/>
  <c r="G126" i="2"/>
  <c r="E126" i="2"/>
  <c r="C126" i="2"/>
  <c r="D126" i="2" s="1"/>
  <c r="B126" i="2"/>
  <c r="I125" i="2"/>
  <c r="H125" i="2"/>
  <c r="G125" i="2"/>
  <c r="E125" i="2"/>
  <c r="C125" i="2"/>
  <c r="B125" i="2"/>
  <c r="I124" i="2"/>
  <c r="H124" i="2"/>
  <c r="G124" i="2"/>
  <c r="E124" i="2"/>
  <c r="C124" i="2"/>
  <c r="D124" i="2" s="1"/>
  <c r="B124" i="2"/>
  <c r="I123" i="2"/>
  <c r="H123" i="2"/>
  <c r="G123" i="2"/>
  <c r="E123" i="2"/>
  <c r="C123" i="2"/>
  <c r="D123" i="2" s="1"/>
  <c r="B123" i="2"/>
  <c r="I122" i="2"/>
  <c r="H122" i="2"/>
  <c r="G122" i="2"/>
  <c r="E122" i="2"/>
  <c r="C122" i="2"/>
  <c r="D122" i="2" s="1"/>
  <c r="B122" i="2"/>
  <c r="I121" i="2"/>
  <c r="H121" i="2"/>
  <c r="G121" i="2"/>
  <c r="E121" i="2"/>
  <c r="C121" i="2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D119" i="2" s="1"/>
  <c r="B119" i="2"/>
  <c r="I118" i="2"/>
  <c r="H118" i="2"/>
  <c r="G118" i="2"/>
  <c r="E118" i="2"/>
  <c r="C118" i="2"/>
  <c r="D118" i="2" s="1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D116" i="2" s="1"/>
  <c r="B116" i="2"/>
  <c r="I115" i="2"/>
  <c r="H115" i="2"/>
  <c r="G115" i="2"/>
  <c r="E115" i="2"/>
  <c r="C115" i="2"/>
  <c r="D115" i="2" s="1"/>
  <c r="B115" i="2"/>
  <c r="I114" i="2"/>
  <c r="H114" i="2"/>
  <c r="G114" i="2"/>
  <c r="E114" i="2"/>
  <c r="C114" i="2"/>
  <c r="B114" i="2"/>
  <c r="I113" i="2"/>
  <c r="H113" i="2"/>
  <c r="G113" i="2"/>
  <c r="E113" i="2"/>
  <c r="C113" i="2"/>
  <c r="B113" i="2"/>
  <c r="I112" i="2"/>
  <c r="H112" i="2"/>
  <c r="G112" i="2"/>
  <c r="E112" i="2"/>
  <c r="D112" i="2"/>
  <c r="C112" i="2"/>
  <c r="B112" i="2"/>
  <c r="I111" i="2"/>
  <c r="H111" i="2"/>
  <c r="G111" i="2"/>
  <c r="E111" i="2"/>
  <c r="C111" i="2"/>
  <c r="D111" i="2" s="1"/>
  <c r="B111" i="2"/>
  <c r="I110" i="2"/>
  <c r="H110" i="2"/>
  <c r="G110" i="2"/>
  <c r="E110" i="2"/>
  <c r="C110" i="2"/>
  <c r="D110" i="2" s="1"/>
  <c r="B110" i="2"/>
  <c r="I109" i="2"/>
  <c r="H109" i="2"/>
  <c r="G109" i="2"/>
  <c r="E109" i="2"/>
  <c r="C109" i="2"/>
  <c r="D109" i="2" s="1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B107" i="2"/>
  <c r="I106" i="2"/>
  <c r="H106" i="2"/>
  <c r="G106" i="2"/>
  <c r="E106" i="2"/>
  <c r="C106" i="2"/>
  <c r="D106" i="2" s="1"/>
  <c r="B106" i="2"/>
  <c r="I105" i="2"/>
  <c r="H105" i="2"/>
  <c r="G105" i="2"/>
  <c r="E105" i="2"/>
  <c r="C105" i="2"/>
  <c r="B105" i="2"/>
  <c r="I104" i="2"/>
  <c r="H104" i="2"/>
  <c r="G104" i="2"/>
  <c r="E104" i="2"/>
  <c r="C104" i="2"/>
  <c r="D104" i="2" s="1"/>
  <c r="B104" i="2"/>
  <c r="I103" i="2"/>
  <c r="H103" i="2"/>
  <c r="G103" i="2"/>
  <c r="E103" i="2"/>
  <c r="C103" i="2"/>
  <c r="B103" i="2"/>
  <c r="I102" i="2"/>
  <c r="H102" i="2"/>
  <c r="G102" i="2"/>
  <c r="E102" i="2"/>
  <c r="C102" i="2"/>
  <c r="D102" i="2" s="1"/>
  <c r="B102" i="2"/>
  <c r="I101" i="2"/>
  <c r="H101" i="2"/>
  <c r="G101" i="2"/>
  <c r="E101" i="2"/>
  <c r="C101" i="2"/>
  <c r="B101" i="2"/>
  <c r="I100" i="2"/>
  <c r="H100" i="2"/>
  <c r="G100" i="2"/>
  <c r="E100" i="2"/>
  <c r="C100" i="2"/>
  <c r="D100" i="2" s="1"/>
  <c r="B100" i="2"/>
  <c r="I99" i="2"/>
  <c r="H99" i="2"/>
  <c r="G99" i="2"/>
  <c r="E99" i="2"/>
  <c r="C99" i="2"/>
  <c r="B99" i="2"/>
  <c r="I98" i="2"/>
  <c r="H98" i="2"/>
  <c r="G98" i="2"/>
  <c r="E98" i="2"/>
  <c r="C98" i="2"/>
  <c r="B98" i="2"/>
  <c r="I97" i="2"/>
  <c r="H97" i="2"/>
  <c r="G97" i="2"/>
  <c r="E97" i="2"/>
  <c r="C97" i="2"/>
  <c r="B97" i="2"/>
  <c r="I96" i="2"/>
  <c r="H96" i="2"/>
  <c r="G96" i="2"/>
  <c r="E96" i="2"/>
  <c r="C96" i="2"/>
  <c r="D96" i="2" s="1"/>
  <c r="B96" i="2"/>
  <c r="I95" i="2"/>
  <c r="H95" i="2"/>
  <c r="G95" i="2"/>
  <c r="E95" i="2"/>
  <c r="C95" i="2"/>
  <c r="B95" i="2"/>
  <c r="I94" i="2"/>
  <c r="H94" i="2"/>
  <c r="G94" i="2"/>
  <c r="E94" i="2"/>
  <c r="C94" i="2"/>
  <c r="D94" i="2" s="1"/>
  <c r="B94" i="2"/>
  <c r="I93" i="2"/>
  <c r="H93" i="2"/>
  <c r="G93" i="2"/>
  <c r="E93" i="2"/>
  <c r="C93" i="2"/>
  <c r="B93" i="2"/>
  <c r="I92" i="2"/>
  <c r="H92" i="2"/>
  <c r="G92" i="2"/>
  <c r="E92" i="2"/>
  <c r="C92" i="2"/>
  <c r="D92" i="2" s="1"/>
  <c r="B92" i="2"/>
  <c r="I91" i="2"/>
  <c r="H91" i="2"/>
  <c r="G91" i="2"/>
  <c r="E91" i="2"/>
  <c r="C91" i="2"/>
  <c r="D91" i="2" s="1"/>
  <c r="B91" i="2"/>
  <c r="I90" i="2"/>
  <c r="H90" i="2"/>
  <c r="G90" i="2"/>
  <c r="E90" i="2"/>
  <c r="C90" i="2"/>
  <c r="D90" i="2" s="1"/>
  <c r="B90" i="2"/>
  <c r="I89" i="2"/>
  <c r="H89" i="2"/>
  <c r="G89" i="2"/>
  <c r="E89" i="2"/>
  <c r="C89" i="2"/>
  <c r="D89" i="2" s="1"/>
  <c r="B89" i="2"/>
  <c r="I88" i="2"/>
  <c r="H88" i="2"/>
  <c r="G88" i="2"/>
  <c r="E88" i="2"/>
  <c r="C88" i="2"/>
  <c r="D88" i="2" s="1"/>
  <c r="B88" i="2"/>
  <c r="I87" i="2"/>
  <c r="H87" i="2"/>
  <c r="G87" i="2"/>
  <c r="E87" i="2"/>
  <c r="C87" i="2"/>
  <c r="B87" i="2"/>
  <c r="I86" i="2"/>
  <c r="H86" i="2"/>
  <c r="G86" i="2"/>
  <c r="E86" i="2"/>
  <c r="C86" i="2"/>
  <c r="D86" i="2" s="1"/>
  <c r="B86" i="2"/>
  <c r="I85" i="2"/>
  <c r="H85" i="2"/>
  <c r="G85" i="2"/>
  <c r="E85" i="2"/>
  <c r="C85" i="2"/>
  <c r="D85" i="2" s="1"/>
  <c r="B85" i="2"/>
  <c r="I84" i="2"/>
  <c r="H84" i="2"/>
  <c r="G84" i="2"/>
  <c r="E84" i="2"/>
  <c r="C84" i="2"/>
  <c r="D84" i="2" s="1"/>
  <c r="B84" i="2"/>
  <c r="I83" i="2"/>
  <c r="H83" i="2"/>
  <c r="G83" i="2"/>
  <c r="E83" i="2"/>
  <c r="C83" i="2"/>
  <c r="D83" i="2" s="1"/>
  <c r="B83" i="2"/>
  <c r="I82" i="2"/>
  <c r="H82" i="2"/>
  <c r="G82" i="2"/>
  <c r="E82" i="2"/>
  <c r="C82" i="2"/>
  <c r="D82" i="2" s="1"/>
  <c r="B82" i="2"/>
  <c r="I81" i="2"/>
  <c r="H81" i="2"/>
  <c r="G81" i="2"/>
  <c r="E81" i="2"/>
  <c r="C81" i="2"/>
  <c r="D81" i="2" s="1"/>
  <c r="B81" i="2"/>
  <c r="I80" i="2"/>
  <c r="H80" i="2"/>
  <c r="G80" i="2"/>
  <c r="E80" i="2"/>
  <c r="C80" i="2"/>
  <c r="D80" i="2" s="1"/>
  <c r="B80" i="2"/>
  <c r="I79" i="2"/>
  <c r="H79" i="2"/>
  <c r="G79" i="2"/>
  <c r="E79" i="2"/>
  <c r="C79" i="2"/>
  <c r="B79" i="2"/>
  <c r="I78" i="2"/>
  <c r="H78" i="2"/>
  <c r="G78" i="2"/>
  <c r="E78" i="2"/>
  <c r="C78" i="2"/>
  <c r="D78" i="2" s="1"/>
  <c r="B78" i="2"/>
  <c r="I77" i="2"/>
  <c r="H77" i="2"/>
  <c r="G77" i="2"/>
  <c r="E77" i="2"/>
  <c r="C77" i="2"/>
  <c r="B77" i="2"/>
  <c r="I76" i="2"/>
  <c r="H76" i="2"/>
  <c r="G76" i="2"/>
  <c r="E76" i="2"/>
  <c r="C76" i="2"/>
  <c r="D76" i="2" s="1"/>
  <c r="B76" i="2"/>
  <c r="I75" i="2"/>
  <c r="H75" i="2"/>
  <c r="G75" i="2"/>
  <c r="E75" i="2"/>
  <c r="C75" i="2"/>
  <c r="D75" i="2" s="1"/>
  <c r="B75" i="2"/>
  <c r="I74" i="2"/>
  <c r="H74" i="2"/>
  <c r="G74" i="2"/>
  <c r="E74" i="2"/>
  <c r="C74" i="2"/>
  <c r="D74" i="2" s="1"/>
  <c r="B74" i="2"/>
  <c r="I73" i="2"/>
  <c r="D73" i="2" s="1"/>
  <c r="H73" i="2"/>
  <c r="G73" i="2"/>
  <c r="E73" i="2"/>
  <c r="C73" i="2"/>
  <c r="B73" i="2"/>
  <c r="I72" i="2"/>
  <c r="H72" i="2"/>
  <c r="G72" i="2"/>
  <c r="E72" i="2"/>
  <c r="C72" i="2"/>
  <c r="D72" i="2" s="1"/>
  <c r="B72" i="2"/>
  <c r="I71" i="2"/>
  <c r="H71" i="2"/>
  <c r="G71" i="2"/>
  <c r="E71" i="2"/>
  <c r="C71" i="2"/>
  <c r="D71" i="2" s="1"/>
  <c r="B71" i="2"/>
  <c r="I70" i="2"/>
  <c r="H70" i="2"/>
  <c r="G70" i="2"/>
  <c r="E70" i="2"/>
  <c r="C70" i="2"/>
  <c r="B70" i="2"/>
  <c r="I69" i="2"/>
  <c r="H69" i="2"/>
  <c r="G69" i="2"/>
  <c r="E69" i="2"/>
  <c r="C69" i="2"/>
  <c r="D69" i="2" s="1"/>
  <c r="B69" i="2"/>
  <c r="I68" i="2"/>
  <c r="H68" i="2"/>
  <c r="G68" i="2"/>
  <c r="E68" i="2"/>
  <c r="C68" i="2"/>
  <c r="D68" i="2" s="1"/>
  <c r="B68" i="2"/>
  <c r="I67" i="2"/>
  <c r="H67" i="2"/>
  <c r="G67" i="2"/>
  <c r="E67" i="2"/>
  <c r="C67" i="2"/>
  <c r="D67" i="2" s="1"/>
  <c r="B67" i="2"/>
  <c r="I66" i="2"/>
  <c r="H66" i="2"/>
  <c r="G66" i="2"/>
  <c r="E66" i="2"/>
  <c r="C66" i="2"/>
  <c r="D66" i="2" s="1"/>
  <c r="B66" i="2"/>
  <c r="I65" i="2"/>
  <c r="H65" i="2"/>
  <c r="G65" i="2"/>
  <c r="E65" i="2"/>
  <c r="C65" i="2"/>
  <c r="D65" i="2" s="1"/>
  <c r="B65" i="2"/>
  <c r="I64" i="2"/>
  <c r="H64" i="2"/>
  <c r="G64" i="2"/>
  <c r="E64" i="2"/>
  <c r="C64" i="2"/>
  <c r="B64" i="2"/>
  <c r="I63" i="2"/>
  <c r="H63" i="2"/>
  <c r="G63" i="2"/>
  <c r="E63" i="2"/>
  <c r="C63" i="2"/>
  <c r="D63" i="2" s="1"/>
  <c r="B63" i="2"/>
  <c r="I62" i="2"/>
  <c r="H62" i="2"/>
  <c r="G62" i="2"/>
  <c r="E62" i="2"/>
  <c r="C62" i="2"/>
  <c r="B62" i="2"/>
  <c r="I61" i="2"/>
  <c r="H61" i="2"/>
  <c r="G61" i="2"/>
  <c r="E61" i="2"/>
  <c r="C61" i="2"/>
  <c r="D61" i="2" s="1"/>
  <c r="B61" i="2"/>
  <c r="I60" i="2"/>
  <c r="H60" i="2"/>
  <c r="G60" i="2"/>
  <c r="E60" i="2"/>
  <c r="C60" i="2"/>
  <c r="B60" i="2"/>
  <c r="I59" i="2"/>
  <c r="H59" i="2"/>
  <c r="G59" i="2"/>
  <c r="E59" i="2"/>
  <c r="C59" i="2"/>
  <c r="D59" i="2" s="1"/>
  <c r="B59" i="2"/>
  <c r="I58" i="2"/>
  <c r="H58" i="2"/>
  <c r="G58" i="2"/>
  <c r="E58" i="2"/>
  <c r="C58" i="2"/>
  <c r="B58" i="2"/>
  <c r="I57" i="2"/>
  <c r="H57" i="2"/>
  <c r="G57" i="2"/>
  <c r="E57" i="2"/>
  <c r="C57" i="2"/>
  <c r="D57" i="2" s="1"/>
  <c r="B57" i="2"/>
  <c r="I56" i="2"/>
  <c r="H56" i="2"/>
  <c r="G56" i="2"/>
  <c r="E56" i="2"/>
  <c r="C56" i="2"/>
  <c r="B56" i="2"/>
  <c r="I55" i="2"/>
  <c r="H55" i="2"/>
  <c r="G55" i="2"/>
  <c r="E55" i="2"/>
  <c r="C55" i="2"/>
  <c r="B55" i="2"/>
  <c r="I54" i="2"/>
  <c r="H54" i="2"/>
  <c r="G54" i="2"/>
  <c r="E54" i="2"/>
  <c r="C54" i="2"/>
  <c r="B54" i="2"/>
  <c r="I53" i="2"/>
  <c r="H53" i="2"/>
  <c r="G53" i="2"/>
  <c r="E53" i="2"/>
  <c r="C53" i="2"/>
  <c r="B53" i="2"/>
  <c r="I52" i="2"/>
  <c r="H52" i="2"/>
  <c r="G52" i="2"/>
  <c r="E52" i="2"/>
  <c r="C52" i="2"/>
  <c r="D52" i="2" s="1"/>
  <c r="B52" i="2"/>
  <c r="I51" i="2"/>
  <c r="H51" i="2"/>
  <c r="G51" i="2"/>
  <c r="E51" i="2"/>
  <c r="C51" i="2"/>
  <c r="B51" i="2"/>
  <c r="I50" i="2"/>
  <c r="H50" i="2"/>
  <c r="G50" i="2"/>
  <c r="E50" i="2"/>
  <c r="C50" i="2"/>
  <c r="D50" i="2" s="1"/>
  <c r="B50" i="2"/>
  <c r="I49" i="2"/>
  <c r="H49" i="2"/>
  <c r="G49" i="2"/>
  <c r="E49" i="2"/>
  <c r="C49" i="2"/>
  <c r="D49" i="2" s="1"/>
  <c r="B49" i="2"/>
  <c r="I48" i="2"/>
  <c r="H48" i="2"/>
  <c r="G48" i="2"/>
  <c r="E48" i="2"/>
  <c r="C48" i="2"/>
  <c r="B48" i="2"/>
  <c r="I47" i="2"/>
  <c r="H47" i="2"/>
  <c r="G47" i="2"/>
  <c r="E47" i="2"/>
  <c r="C47" i="2"/>
  <c r="D47" i="2" s="1"/>
  <c r="B47" i="2"/>
  <c r="I46" i="2"/>
  <c r="H46" i="2"/>
  <c r="G46" i="2"/>
  <c r="E46" i="2"/>
  <c r="C46" i="2"/>
  <c r="B46" i="2"/>
  <c r="I45" i="2"/>
  <c r="H45" i="2"/>
  <c r="G45" i="2"/>
  <c r="E45" i="2"/>
  <c r="C45" i="2"/>
  <c r="D45" i="2" s="1"/>
  <c r="B45" i="2"/>
  <c r="I44" i="2"/>
  <c r="H44" i="2"/>
  <c r="G44" i="2"/>
  <c r="E44" i="2"/>
  <c r="C44" i="2"/>
  <c r="D44" i="2" s="1"/>
  <c r="B44" i="2"/>
  <c r="I43" i="2"/>
  <c r="H43" i="2"/>
  <c r="G43" i="2"/>
  <c r="E43" i="2"/>
  <c r="C43" i="2"/>
  <c r="B43" i="2"/>
  <c r="I42" i="2"/>
  <c r="H42" i="2"/>
  <c r="G42" i="2"/>
  <c r="E42" i="2"/>
  <c r="C42" i="2"/>
  <c r="D42" i="2" s="1"/>
  <c r="B42" i="2"/>
  <c r="I41" i="2"/>
  <c r="H41" i="2"/>
  <c r="G41" i="2"/>
  <c r="E41" i="2"/>
  <c r="C41" i="2"/>
  <c r="B41" i="2"/>
  <c r="I40" i="2"/>
  <c r="H40" i="2"/>
  <c r="G40" i="2"/>
  <c r="E40" i="2"/>
  <c r="C40" i="2"/>
  <c r="B40" i="2"/>
  <c r="I39" i="2"/>
  <c r="H39" i="2"/>
  <c r="G39" i="2"/>
  <c r="E39" i="2"/>
  <c r="C39" i="2"/>
  <c r="D39" i="2" s="1"/>
  <c r="B39" i="2"/>
  <c r="I38" i="2"/>
  <c r="H38" i="2"/>
  <c r="G38" i="2"/>
  <c r="E38" i="2"/>
  <c r="C38" i="2"/>
  <c r="B38" i="2"/>
  <c r="I37" i="2"/>
  <c r="H37" i="2"/>
  <c r="G37" i="2"/>
  <c r="E37" i="2"/>
  <c r="C37" i="2"/>
  <c r="D37" i="2" s="1"/>
  <c r="B37" i="2"/>
  <c r="I36" i="2"/>
  <c r="H36" i="2"/>
  <c r="G36" i="2"/>
  <c r="E36" i="2"/>
  <c r="C36" i="2"/>
  <c r="D36" i="2" s="1"/>
  <c r="B36" i="2"/>
  <c r="I35" i="2"/>
  <c r="H35" i="2"/>
  <c r="G35" i="2"/>
  <c r="E35" i="2"/>
  <c r="C35" i="2"/>
  <c r="D35" i="2" s="1"/>
  <c r="B35" i="2"/>
  <c r="I34" i="2"/>
  <c r="H34" i="2"/>
  <c r="G34" i="2"/>
  <c r="E34" i="2"/>
  <c r="C34" i="2"/>
  <c r="D34" i="2" s="1"/>
  <c r="B34" i="2"/>
  <c r="I33" i="2"/>
  <c r="H33" i="2"/>
  <c r="G33" i="2"/>
  <c r="E33" i="2"/>
  <c r="C33" i="2"/>
  <c r="D33" i="2" s="1"/>
  <c r="B33" i="2"/>
  <c r="I32" i="2"/>
  <c r="H32" i="2"/>
  <c r="G32" i="2"/>
  <c r="E32" i="2"/>
  <c r="C32" i="2"/>
  <c r="B32" i="2"/>
  <c r="I31" i="2"/>
  <c r="H31" i="2"/>
  <c r="G31" i="2"/>
  <c r="E31" i="2"/>
  <c r="C31" i="2"/>
  <c r="D31" i="2" s="1"/>
  <c r="B31" i="2"/>
  <c r="I30" i="2"/>
  <c r="H30" i="2"/>
  <c r="G30" i="2"/>
  <c r="E30" i="2"/>
  <c r="C30" i="2"/>
  <c r="D30" i="2" s="1"/>
  <c r="B30" i="2"/>
  <c r="I29" i="2"/>
  <c r="H29" i="2"/>
  <c r="G29" i="2"/>
  <c r="E29" i="2"/>
  <c r="C29" i="2"/>
  <c r="B29" i="2"/>
  <c r="I28" i="2"/>
  <c r="H28" i="2"/>
  <c r="G28" i="2"/>
  <c r="E28" i="2"/>
  <c r="C28" i="2"/>
  <c r="D28" i="2" s="1"/>
  <c r="B28" i="2"/>
  <c r="I27" i="2"/>
  <c r="H27" i="2"/>
  <c r="G27" i="2"/>
  <c r="E27" i="2"/>
  <c r="C27" i="2"/>
  <c r="D27" i="2" s="1"/>
  <c r="B27" i="2"/>
  <c r="I26" i="2"/>
  <c r="H26" i="2"/>
  <c r="G26" i="2"/>
  <c r="E26" i="2"/>
  <c r="C26" i="2"/>
  <c r="D26" i="2" s="1"/>
  <c r="B26" i="2"/>
  <c r="I25" i="2"/>
  <c r="H25" i="2"/>
  <c r="G25" i="2"/>
  <c r="E25" i="2"/>
  <c r="C25" i="2"/>
  <c r="D25" i="2" s="1"/>
  <c r="B25" i="2"/>
  <c r="I24" i="2"/>
  <c r="H24" i="2"/>
  <c r="G24" i="2"/>
  <c r="E24" i="2"/>
  <c r="C24" i="2"/>
  <c r="D24" i="2" s="1"/>
  <c r="B24" i="2"/>
  <c r="I23" i="2"/>
  <c r="H23" i="2"/>
  <c r="G23" i="2"/>
  <c r="E23" i="2"/>
  <c r="C23" i="2"/>
  <c r="B23" i="2"/>
  <c r="I22" i="2"/>
  <c r="H22" i="2"/>
  <c r="G22" i="2"/>
  <c r="E22" i="2"/>
  <c r="C22" i="2"/>
  <c r="D22" i="2" s="1"/>
  <c r="B22" i="2"/>
  <c r="I2" i="2"/>
  <c r="H2" i="2"/>
  <c r="G2" i="2"/>
  <c r="E2" i="2"/>
  <c r="C2" i="2"/>
  <c r="D2" i="2" s="1"/>
  <c r="B2" i="2"/>
  <c r="A3" i="1"/>
  <c r="D70" i="2" l="1"/>
  <c r="D51" i="2"/>
  <c r="D29" i="2"/>
  <c r="D41" i="2"/>
  <c r="D53" i="2"/>
  <c r="D101" i="2"/>
  <c r="D125" i="2"/>
  <c r="D103" i="2"/>
  <c r="D55" i="2"/>
  <c r="D32" i="2"/>
  <c r="D127" i="2"/>
  <c r="D107" i="2"/>
  <c r="D133" i="2"/>
  <c r="D23" i="2"/>
  <c r="D87" i="2"/>
  <c r="D48" i="2"/>
  <c r="D77" i="2"/>
  <c r="D93" i="2"/>
  <c r="D114" i="2"/>
  <c r="D40" i="2"/>
  <c r="D79" i="2"/>
  <c r="D54" i="2"/>
  <c r="D58" i="2"/>
  <c r="D121" i="2"/>
  <c r="D56" i="2"/>
  <c r="D60" i="2"/>
  <c r="D62" i="2"/>
  <c r="A22" i="1"/>
  <c r="D95" i="2"/>
  <c r="D99" i="2"/>
  <c r="D97" i="2"/>
  <c r="D105" i="2"/>
  <c r="D38" i="2"/>
  <c r="D46" i="2"/>
  <c r="D64" i="2"/>
  <c r="D43" i="2"/>
  <c r="J11" i="7"/>
  <c r="K11" i="7"/>
  <c r="K24" i="7"/>
  <c r="J24" i="7"/>
  <c r="K79" i="7"/>
  <c r="J79" i="7"/>
  <c r="K85" i="7"/>
  <c r="J85" i="7"/>
  <c r="K86" i="7"/>
  <c r="J86" i="7"/>
  <c r="K25" i="7"/>
  <c r="J25" i="7"/>
  <c r="J14" i="7"/>
  <c r="K14" i="7"/>
  <c r="J50" i="7"/>
  <c r="K50" i="7"/>
  <c r="K5" i="7"/>
  <c r="J5" i="7"/>
  <c r="J29" i="7"/>
  <c r="K29" i="7"/>
  <c r="J48" i="7"/>
  <c r="K48" i="7"/>
  <c r="J54" i="7"/>
  <c r="K54" i="7"/>
  <c r="K80" i="7"/>
  <c r="J80" i="7"/>
  <c r="K82" i="7"/>
  <c r="J82" i="7"/>
  <c r="K58" i="7"/>
  <c r="J58" i="7"/>
  <c r="K10" i="7"/>
  <c r="J10" i="7"/>
  <c r="K3" i="7"/>
  <c r="J3" i="7"/>
  <c r="K13" i="7"/>
  <c r="J13" i="7"/>
  <c r="K7" i="7"/>
  <c r="J7" i="7"/>
  <c r="J23" i="7"/>
  <c r="K23" i="7"/>
  <c r="K28" i="7"/>
  <c r="J28" i="7"/>
  <c r="K16" i="7"/>
  <c r="J16" i="7"/>
  <c r="J34" i="7"/>
  <c r="K34" i="7"/>
  <c r="K19" i="7"/>
  <c r="J19" i="7"/>
  <c r="K20" i="7"/>
  <c r="J20" i="7"/>
  <c r="K21" i="7"/>
  <c r="J21" i="7"/>
  <c r="J22" i="7"/>
  <c r="K22" i="7"/>
  <c r="J37" i="7"/>
  <c r="K37" i="7"/>
  <c r="J40" i="7"/>
  <c r="K40" i="7"/>
  <c r="K26" i="7"/>
  <c r="J26" i="7"/>
  <c r="K27" i="7"/>
  <c r="J27" i="7"/>
  <c r="K41" i="7"/>
  <c r="J41" i="7"/>
  <c r="K30" i="7"/>
  <c r="J30" i="7"/>
  <c r="K31" i="7"/>
  <c r="J31" i="7"/>
  <c r="K32" i="7"/>
  <c r="J32" i="7"/>
  <c r="K36" i="7"/>
  <c r="J36" i="7"/>
  <c r="K44" i="7"/>
  <c r="J44" i="7"/>
  <c r="K47" i="7"/>
  <c r="J47" i="7"/>
  <c r="J51" i="7"/>
  <c r="K51" i="7"/>
  <c r="K55" i="7"/>
  <c r="J55" i="7"/>
  <c r="K53" i="7"/>
  <c r="J53" i="7"/>
  <c r="J45" i="7"/>
  <c r="K45" i="7"/>
  <c r="K57" i="7"/>
  <c r="J57" i="7"/>
  <c r="J49" i="7"/>
  <c r="K49" i="7"/>
  <c r="J59" i="7"/>
  <c r="K59" i="7"/>
  <c r="K52" i="7"/>
  <c r="J52" i="7"/>
  <c r="K61" i="7"/>
  <c r="J61" i="7"/>
  <c r="K64" i="7"/>
  <c r="J64" i="7"/>
  <c r="J69" i="7"/>
  <c r="K69" i="7"/>
  <c r="K74" i="7"/>
  <c r="J74" i="7"/>
  <c r="J62" i="7"/>
  <c r="K62" i="7"/>
  <c r="K71" i="7"/>
  <c r="J71" i="7"/>
  <c r="J75" i="7"/>
  <c r="K75" i="7"/>
  <c r="K84" i="7"/>
  <c r="J84" i="7"/>
  <c r="K17" i="7"/>
  <c r="J35" i="7"/>
  <c r="J38" i="7"/>
  <c r="K39" i="7"/>
  <c r="J42" i="7"/>
  <c r="K43" i="7"/>
  <c r="J56" i="7"/>
  <c r="K63" i="7"/>
  <c r="J65" i="7"/>
  <c r="K65" i="7"/>
  <c r="J67" i="7"/>
  <c r="K67" i="7"/>
  <c r="J70" i="7"/>
  <c r="K70" i="7"/>
  <c r="K78" i="7"/>
  <c r="J78" i="7"/>
  <c r="K60" i="7"/>
  <c r="J66" i="7"/>
  <c r="K66" i="7"/>
  <c r="K68" i="7"/>
  <c r="J68" i="7"/>
  <c r="K81" i="7"/>
  <c r="J81" i="7"/>
  <c r="K73" i="7"/>
  <c r="J73" i="7"/>
  <c r="K87" i="7"/>
  <c r="J87" i="7"/>
  <c r="J18" i="7"/>
  <c r="K76" i="7"/>
  <c r="J76" i="7"/>
  <c r="J77" i="7"/>
  <c r="J72" i="7"/>
  <c r="K72" i="7"/>
  <c r="J9" i="7"/>
  <c r="J12" i="7"/>
  <c r="J15" i="7"/>
  <c r="K33" i="7"/>
  <c r="K46" i="7"/>
  <c r="K83" i="7"/>
  <c r="A23" i="1" l="1"/>
  <c r="A3" i="5" s="1"/>
  <c r="A2" i="5"/>
  <c r="A24" i="1" l="1"/>
  <c r="A4" i="5" s="1"/>
  <c r="A25" i="1"/>
  <c r="A18" i="5" l="1"/>
  <c r="A26" i="1"/>
  <c r="A6" i="5" l="1"/>
  <c r="A27" i="1"/>
  <c r="A41" i="5" l="1"/>
  <c r="A28" i="1"/>
  <c r="A8" i="5" l="1"/>
  <c r="A29" i="1"/>
  <c r="A52" i="5" l="1"/>
  <c r="A30" i="1"/>
  <c r="A10" i="5" l="1"/>
  <c r="A31" i="1"/>
  <c r="A58" i="5" l="1"/>
  <c r="A32" i="1"/>
  <c r="A12" i="5" l="1"/>
  <c r="A33" i="1"/>
  <c r="A13" i="5" l="1"/>
  <c r="A34" i="1"/>
  <c r="A75" i="5" l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15" i="5" l="1"/>
  <c r="A49" i="1"/>
  <c r="A16" i="5" l="1"/>
  <c r="A50" i="1"/>
  <c r="A17" i="5" l="1"/>
  <c r="A51" i="1"/>
  <c r="A48" i="5" l="1"/>
  <c r="A52" i="1"/>
  <c r="A19" i="5" l="1"/>
  <c r="A53" i="1"/>
  <c r="A20" i="5" l="1"/>
  <c r="A54" i="1"/>
  <c r="A21" i="5" l="1"/>
  <c r="A55" i="1"/>
  <c r="A22" i="5" l="1"/>
  <c r="A56" i="1"/>
  <c r="A23" i="5" l="1"/>
  <c r="A57" i="1"/>
  <c r="A82" i="5" l="1"/>
  <c r="A58" i="1"/>
  <c r="A5" i="5" l="1"/>
  <c r="A59" i="1"/>
  <c r="A36" i="5" l="1"/>
  <c r="A60" i="1"/>
  <c r="A37" i="5" l="1"/>
  <c r="A61" i="1"/>
  <c r="A45" i="5" l="1"/>
  <c r="A62" i="1"/>
  <c r="A40" i="5" l="1"/>
  <c r="A63" i="1"/>
  <c r="A64" i="1" s="1"/>
  <c r="A65" i="1" s="1"/>
  <c r="A60" i="5" l="1"/>
  <c r="A66" i="1"/>
  <c r="A62" i="5" l="1"/>
  <c r="A67" i="1"/>
  <c r="A43" i="5" l="1"/>
  <c r="A68" i="1"/>
  <c r="A7" i="5" l="1"/>
  <c r="A69" i="1"/>
  <c r="A47" i="5" l="1"/>
  <c r="A70" i="1"/>
  <c r="A44" i="5" l="1"/>
  <c r="A71" i="1"/>
  <c r="A49" i="5" l="1"/>
  <c r="A72" i="1"/>
  <c r="A50" i="5" l="1"/>
  <c r="A73" i="1"/>
  <c r="A70" i="5" l="1"/>
  <c r="A74" i="1"/>
  <c r="A53" i="5" l="1"/>
  <c r="A75" i="1"/>
  <c r="A80" i="5" l="1"/>
  <c r="A76" i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55" i="5" l="1"/>
  <c r="A89" i="1"/>
  <c r="A35" i="5" l="1"/>
  <c r="A90" i="1"/>
  <c r="A91" i="1" s="1"/>
  <c r="A57" i="5" l="1"/>
  <c r="A92" i="1"/>
  <c r="A93" i="1" s="1"/>
  <c r="A42" i="5" l="1"/>
  <c r="A94" i="1"/>
  <c r="A56" i="5" l="1"/>
  <c r="A95" i="1"/>
  <c r="A61" i="5" l="1"/>
  <c r="A96" i="1"/>
  <c r="A65" i="5" l="1"/>
  <c r="A97" i="1"/>
  <c r="A63" i="5" l="1"/>
  <c r="A98" i="1"/>
  <c r="A99" i="1" s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<sst xmlns="http://schemas.openxmlformats.org/spreadsheetml/2006/main" count="1236" uniqueCount="278">
  <si>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</si>
  <si>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</si>
  <si>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</si>
  <si>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</si>
  <si>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</si>
  <si>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</si>
  <si>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</si>
  <si>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</si>
  <si>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</si>
  <si>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</si>
  <si>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</si>
  <si>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</si>
  <si>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</si>
  <si>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</si>
  <si>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</si>
  <si>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</si>
  <si>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</si>
  <si>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</si>
  <si>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</si>
  <si>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</si>
  <si>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</si>
  <si>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</si>
  <si>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</si>
  <si>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</si>
  <si>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</si>
  <si>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</si>
  <si>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</si>
  <si>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</si>
  <si>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</si>
  <si>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</si>
  <si>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</si>
  <si>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</si>
  <si>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</si>
  <si>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</si>
  <si>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</si>
  <si>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</si>
  <si>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</si>
  <si>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</si>
  <si>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</si>
  <si>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</si>
  <si>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</si>
  <si>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</si>
  <si>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</si>
  <si>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</si>
  <si>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</si>
  <si>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</si>
  <si>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</si>
  <si>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</si>
  <si>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</si>
  <si>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</si>
  <si>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</si>
  <si>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</si>
  <si>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</si>
  <si>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</si>
  <si>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</si>
  <si>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</si>
  <si>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</si>
  <si>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</si>
  <si>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</si>
  <si>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</si>
  <si>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</si>
  <si>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</si>
  <si>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</si>
  <si>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</si>
  <si>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</si>
  <si>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</si>
  <si>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</si>
  <si>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</si>
  <si>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</si>
  <si>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</si>
  <si>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</si>
  <si>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</si>
  <si>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</si>
  <si>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</si>
  <si>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</si>
  <si>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</si>
  <si>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</si>
  <si>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</si>
  <si>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</si>
  <si>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</si>
  <si>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</si>
  <si>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</si>
  <si>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</si>
  <si>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</si>
  <si>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</si>
  <si>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</si>
  <si>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</si>
  <si>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</si>
  <si>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</si>
  <si>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</si>
  <si>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</si>
  <si>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</si>
  <si>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</si>
  <si>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</si>
  <si>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</si>
  <si>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</si>
  <si>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</si>
  <si>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</si>
  <si>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</si>
  <si>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</si>
  <si>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</si>
  <si>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</si>
  <si>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</si>
  <si>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</si>
  <si>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</si>
  <si>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</si>
  <si>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</si>
  <si>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</si>
  <si>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</si>
  <si>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</si>
  <si>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</si>
  <si>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</si>
  <si>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</si>
  <si>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</si>
  <si>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</si>
  <si>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</si>
  <si>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</si>
  <si>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</si>
  <si>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</si>
  <si>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</si>
  <si>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</si>
  <si>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</si>
  <si>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</si>
  <si>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</si>
  <si>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</si>
  <si>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</si>
  <si>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</si>
  <si>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</si>
  <si>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</si>
  <si>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</si>
  <si>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</si>
  <si>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</si>
  <si>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</si>
  <si>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</si>
  <si>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</si>
  <si>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</si>
  <si>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</si>
  <si>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</si>
  <si>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</si>
  <si>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</si>
  <si>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</si>
  <si>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</si>
  <si>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</si>
  <si>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</si>
  <si>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</si>
  <si>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</si>
  <si>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</si>
  <si>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</si>
  <si>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</si>
  <si>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</si>
  <si>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</si>
  <si>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</si>
  <si>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</si>
  <si>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</si>
  <si>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</si>
  <si>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</si>
  <si>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</si>
  <si>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</si>
  <si>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</si>
  <si>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</si>
  <si>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</si>
  <si>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</si>
  <si>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</si>
  <si>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</si>
  <si>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</si>
  <si>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</si>
  <si>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</si>
  <si>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</si>
  <si>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</si>
  <si>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</si>
  <si>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</si>
  <si>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</si>
  <si>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</si>
  <si>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</si>
  <si>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</si>
  <si>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</si>
  <si>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</si>
  <si>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</si>
  <si>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</si>
  <si>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</si>
  <si>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</si>
  <si>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ROLE_ID</t>
  </si>
  <si>
    <t>NAME</t>
  </si>
  <si>
    <t>AKTIV</t>
  </si>
  <si>
    <t>ROLE000001</t>
  </si>
  <si>
    <t>Spieler</t>
  </si>
  <si>
    <t>Aktiver Spieler</t>
  </si>
  <si>
    <t>JA</t>
  </si>
  <si>
    <t>ROLE000002</t>
  </si>
  <si>
    <t>Trainer</t>
  </si>
  <si>
    <t>Haupttrainer</t>
  </si>
  <si>
    <t>ROLE000003</t>
  </si>
  <si>
    <t>Co-Trainer</t>
  </si>
  <si>
    <t>ROLE000004</t>
  </si>
  <si>
    <t>Tormanntrainer</t>
  </si>
  <si>
    <t>Torwarttrainer</t>
  </si>
  <si>
    <t>ROLE000005</t>
  </si>
  <si>
    <t>Betreuer</t>
  </si>
  <si>
    <t>ROLE000006</t>
  </si>
  <si>
    <t>Nachwuchsleiter</t>
  </si>
  <si>
    <t>ROLE000007</t>
  </si>
  <si>
    <t>Jugendleiter</t>
  </si>
  <si>
    <t>ROLE000008</t>
  </si>
  <si>
    <t>Sportlicher Leiter</t>
  </si>
  <si>
    <t>ROLE000009</t>
  </si>
  <si>
    <t>Kassier</t>
  </si>
  <si>
    <t>ROLE000010</t>
  </si>
  <si>
    <t>Obmann</t>
  </si>
  <si>
    <t>ROLE000011</t>
  </si>
  <si>
    <t>Funktionär</t>
  </si>
  <si>
    <t>ROLE000012</t>
  </si>
  <si>
    <t>Turnierleitung</t>
  </si>
  <si>
    <t>ROLE000013</t>
  </si>
  <si>
    <t>Social Media</t>
  </si>
  <si>
    <t>ROLE000014</t>
  </si>
  <si>
    <t>Platzwart</t>
  </si>
  <si>
    <t>RIGHT_ID</t>
  </si>
  <si>
    <t>LOOKUP_ID</t>
  </si>
  <si>
    <t>LOOKUP_TYPE</t>
  </si>
  <si>
    <t>CODE</t>
  </si>
  <si>
    <t>SORTIERUNG</t>
  </si>
  <si>
    <t>SYSTEM</t>
  </si>
  <si>
    <t>LOOKUP000001</t>
  </si>
  <si>
    <t>ROLE</t>
  </si>
  <si>
    <t>SPIELER</t>
  </si>
  <si>
    <t>LOOKUP000002</t>
  </si>
  <si>
    <t>LOOKUP000003</t>
  </si>
  <si>
    <t>CO_TRAINER</t>
  </si>
  <si>
    <t>LOOKUP000004</t>
  </si>
  <si>
    <t>TORMANNTRAINER</t>
  </si>
  <si>
    <t>LOOKUP000005</t>
  </si>
  <si>
    <t>NACHWUCHSLEITER</t>
  </si>
  <si>
    <t>LOOKUP000006</t>
  </si>
  <si>
    <t>Aktiv</t>
  </si>
  <si>
    <t>LOOKUP000007</t>
  </si>
  <si>
    <t>ARCHIVIERT</t>
  </si>
  <si>
    <t>Archiviert</t>
  </si>
  <si>
    <t>LOOKUP000008</t>
  </si>
  <si>
    <t>GAME_TYPE</t>
  </si>
  <si>
    <t>SPIEL</t>
  </si>
  <si>
    <t>LOOKUP000009</t>
  </si>
  <si>
    <t>FREUNDSCHAFTSSPIEL</t>
  </si>
  <si>
    <t>LOOKUP000010</t>
  </si>
  <si>
    <t>CAMP</t>
  </si>
  <si>
    <t>MEMBER_ID</t>
  </si>
  <si>
    <t>ROLE_CODE</t>
  </si>
  <si>
    <t>VON</t>
  </si>
  <si>
    <t>BIS</t>
  </si>
  <si>
    <t>BEMERKUNG</t>
  </si>
  <si>
    <t>TEAM_ID</t>
  </si>
  <si>
    <t>TRAINING_ID</t>
  </si>
  <si>
    <t>TRAINING_TYPE</t>
  </si>
  <si>
    <t>SCHEDULE_ID</t>
  </si>
  <si>
    <t>SAISON</t>
  </si>
  <si>
    <t>WOCHENTAG</t>
  </si>
  <si>
    <t>BEGINN</t>
  </si>
  <si>
    <t>ENDE</t>
  </si>
  <si>
    <t>PLATZ</t>
  </si>
  <si>
    <t>CLUB_ID</t>
  </si>
  <si>
    <t>LANDESVERBAND</t>
  </si>
  <si>
    <t>LOGO</t>
  </si>
  <si>
    <t>SAISON_ID</t>
  </si>
  <si>
    <t>FACILITY_ID</t>
  </si>
  <si>
    <t>ADRESSE</t>
  </si>
  <si>
    <t>PLACE_ID</t>
  </si>
  <si>
    <t>TRAINING_KAPAZITAET</t>
  </si>
  <si>
    <t>IST_TRAININGSPLATZ</t>
  </si>
  <si>
    <t>IST_SPIELPLATZ</t>
  </si>
  <si>
    <t>SPIEL_KAPAZITAET</t>
  </si>
  <si>
    <t>REIHENFOLGE</t>
  </si>
  <si>
    <t>ALTERSKLASSE</t>
  </si>
  <si>
    <t>DEPARTMENT_ID</t>
  </si>
  <si>
    <t>TEAM_MEMBER_ID</t>
  </si>
  <si>
    <t>ROLLE</t>
  </si>
  <si>
    <t>LEITER_MEMBER_ID</t>
  </si>
  <si>
    <t>abgesagt</t>
  </si>
  <si>
    <t>Oggau</t>
  </si>
  <si>
    <t>SPG Leitha/Stotzing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</si>
</sst>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1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selection activeCell="C21" sqref="C21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2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8" si="0">A2+1</f>
        <v>2</v>
      </c>
      <c r="B3" s="5">
        <v>0</v>
      </c>
      <c r="C3" s="5" t="s">
        <v>12</v>
      </c>
      <c r="D3" s="9">
        <v>46199</v>
      </c>
      <c r="E3" s="92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2">
        <v>0.79166666666666663</v>
      </c>
      <c r="F4" s="5" t="s">
        <v>14</v>
      </c>
      <c r="G4" s="5" t="s">
        <v>14</v>
      </c>
      <c r="H4" s="5" t="s">
        <v>15</v>
      </c>
    </row>
    <row r="5" spans="1:8" s="94" customFormat="1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2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2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2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2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2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2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2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2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2">
        <v>0.625</v>
      </c>
      <c r="F13" s="5" t="s">
        <v>28</v>
      </c>
      <c r="G13" s="5" t="s">
        <v>29</v>
      </c>
      <c r="H13" s="5" t="s">
        <v>11</v>
      </c>
    </row>
    <row r="14" spans="1:8" s="94" customFormat="1" x14ac:dyDescent="0.3">
      <c r="A14" s="54">
        <f t="shared" si="0"/>
        <v>13</v>
      </c>
      <c r="B14" s="5">
        <v>0</v>
      </c>
      <c r="C14" s="5" t="s">
        <v>27</v>
      </c>
      <c r="D14" s="9">
        <v>46247</v>
      </c>
      <c r="E14" s="92">
        <v>0.75</v>
      </c>
      <c r="F14" s="5" t="s">
        <v>276</v>
      </c>
      <c r="G14" s="5" t="s">
        <v>276</v>
      </c>
      <c r="H14" s="5" t="s">
        <v>15</v>
      </c>
    </row>
    <row r="15" spans="1:8" s="94" customFormat="1" x14ac:dyDescent="0.3">
      <c r="A15" s="54">
        <f t="shared" si="0"/>
        <v>14</v>
      </c>
      <c r="B15" s="5">
        <v>0</v>
      </c>
      <c r="C15" s="5" t="s">
        <v>27</v>
      </c>
      <c r="D15" s="9">
        <v>46255</v>
      </c>
      <c r="E15" s="92">
        <v>0.75</v>
      </c>
      <c r="F15" s="5" t="s">
        <v>28</v>
      </c>
      <c r="G15" s="5" t="s">
        <v>34</v>
      </c>
      <c r="H15" s="5" t="s">
        <v>11</v>
      </c>
    </row>
    <row r="16" spans="1:8" x14ac:dyDescent="0.3">
      <c r="A16" s="54">
        <f t="shared" si="0"/>
        <v>15</v>
      </c>
      <c r="B16" s="5">
        <v>0</v>
      </c>
      <c r="C16" s="5" t="s">
        <v>12</v>
      </c>
      <c r="D16" s="9">
        <v>46256</v>
      </c>
      <c r="E16" s="92">
        <v>0.70833333333333337</v>
      </c>
      <c r="F16" s="5" t="s">
        <v>31</v>
      </c>
      <c r="G16" s="5" t="s">
        <v>31</v>
      </c>
      <c r="H16" s="5" t="s">
        <v>15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46260</v>
      </c>
      <c r="E17" s="92">
        <v>0.41666666666666669</v>
      </c>
      <c r="F17" s="5" t="s">
        <v>23</v>
      </c>
      <c r="G17" s="5" t="s">
        <v>32</v>
      </c>
      <c r="H17" s="5" t="s">
        <v>11</v>
      </c>
    </row>
    <row r="18" spans="1:8" s="94" customFormat="1" x14ac:dyDescent="0.3">
      <c r="A18" s="54">
        <f t="shared" si="0"/>
        <v>17</v>
      </c>
      <c r="B18" s="5">
        <v>0</v>
      </c>
      <c r="C18" s="5" t="s">
        <v>27</v>
      </c>
      <c r="D18" s="9">
        <v>46260</v>
      </c>
      <c r="E18" s="92">
        <v>0.79166666666666663</v>
      </c>
      <c r="F18" s="5" t="s">
        <v>28</v>
      </c>
      <c r="G18" s="5" t="s">
        <v>277</v>
      </c>
      <c r="H18" s="5" t="s">
        <v>11</v>
      </c>
    </row>
    <row r="19" spans="1:8" s="94" customFormat="1" x14ac:dyDescent="0.3">
      <c r="A19" s="54">
        <f t="shared" si="0"/>
        <v>18</v>
      </c>
      <c r="B19" s="5">
        <v>0</v>
      </c>
      <c r="C19" s="5" t="s">
        <v>27</v>
      </c>
      <c r="D19" s="9">
        <v>46263</v>
      </c>
      <c r="E19" s="92">
        <v>0.4375</v>
      </c>
      <c r="F19" s="5" t="s">
        <v>28</v>
      </c>
      <c r="G19" s="5" t="s">
        <v>276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12</v>
      </c>
      <c r="D20" s="9">
        <v>46264</v>
      </c>
      <c r="E20" s="92">
        <v>0.4375</v>
      </c>
      <c r="F20" s="5" t="s">
        <v>24</v>
      </c>
      <c r="G20" s="5" t="s">
        <v>33</v>
      </c>
      <c r="H20" s="5" t="s">
        <v>15</v>
      </c>
    </row>
    <row r="21" spans="1:8" x14ac:dyDescent="0.3">
      <c r="A21" s="54">
        <f t="shared" si="0"/>
        <v>20</v>
      </c>
      <c r="B21" s="5">
        <v>0</v>
      </c>
      <c r="C21" s="5" t="s">
        <v>13</v>
      </c>
      <c r="D21" s="9">
        <v>46445</v>
      </c>
      <c r="E21" s="92">
        <v>0.5</v>
      </c>
      <c r="F21" s="5" t="s">
        <v>34</v>
      </c>
      <c r="G21" s="5" t="s">
        <v>34</v>
      </c>
      <c r="H21" s="5" t="s">
        <v>15</v>
      </c>
    </row>
    <row r="22" spans="1:8" x14ac:dyDescent="0.3">
      <c r="A22" s="4">
        <f t="shared" si="0"/>
        <v>21</v>
      </c>
      <c r="B22" s="4">
        <v>1</v>
      </c>
      <c r="C22" s="4" t="s">
        <v>13</v>
      </c>
      <c r="D22" s="10">
        <v>46250</v>
      </c>
      <c r="E22" s="3">
        <v>0.72916666666666663</v>
      </c>
      <c r="F22" s="4" t="s">
        <v>22</v>
      </c>
      <c r="G22" s="4" t="s">
        <v>22</v>
      </c>
      <c r="H22" s="4" t="s">
        <v>15</v>
      </c>
    </row>
    <row r="23" spans="1:8" x14ac:dyDescent="0.3">
      <c r="A23" s="4">
        <f t="shared" si="0"/>
        <v>22</v>
      </c>
      <c r="B23" s="4">
        <v>2</v>
      </c>
      <c r="C23" s="4" t="s">
        <v>13</v>
      </c>
      <c r="D23" s="10">
        <v>46255</v>
      </c>
      <c r="E23" s="3">
        <v>0.83333333333333337</v>
      </c>
      <c r="F23" s="4" t="s">
        <v>35</v>
      </c>
      <c r="G23" s="4" t="s">
        <v>35</v>
      </c>
      <c r="H23" s="4" t="s">
        <v>15</v>
      </c>
    </row>
    <row r="24" spans="1:8" x14ac:dyDescent="0.3">
      <c r="A24" s="4">
        <f t="shared" si="0"/>
        <v>23</v>
      </c>
      <c r="B24" s="4">
        <v>3</v>
      </c>
      <c r="C24" s="4" t="s">
        <v>13</v>
      </c>
      <c r="D24" s="10">
        <v>46263</v>
      </c>
      <c r="E24" s="3">
        <v>0.75</v>
      </c>
      <c r="F24" s="4" t="s">
        <v>23</v>
      </c>
      <c r="G24" s="4" t="s">
        <v>36</v>
      </c>
      <c r="H24" s="4" t="s">
        <v>11</v>
      </c>
    </row>
    <row r="25" spans="1:8" x14ac:dyDescent="0.3">
      <c r="A25" s="4">
        <f t="shared" si="0"/>
        <v>24</v>
      </c>
      <c r="B25" s="4">
        <v>4</v>
      </c>
      <c r="C25" s="4" t="s">
        <v>13</v>
      </c>
      <c r="D25" s="10">
        <v>46270</v>
      </c>
      <c r="E25" s="3">
        <v>0.6875</v>
      </c>
      <c r="F25" s="4" t="s">
        <v>37</v>
      </c>
      <c r="G25" s="4" t="s">
        <v>37</v>
      </c>
      <c r="H25" s="4" t="s">
        <v>15</v>
      </c>
    </row>
    <row r="26" spans="1:8" x14ac:dyDescent="0.3">
      <c r="A26" s="4">
        <f t="shared" si="0"/>
        <v>25</v>
      </c>
      <c r="B26" s="4">
        <v>5</v>
      </c>
      <c r="C26" s="4" t="s">
        <v>13</v>
      </c>
      <c r="D26" s="10">
        <v>46276</v>
      </c>
      <c r="E26" s="3">
        <v>0.8125</v>
      </c>
      <c r="F26" s="4" t="s">
        <v>23</v>
      </c>
      <c r="G26" s="4" t="s">
        <v>38</v>
      </c>
      <c r="H26" s="4" t="s">
        <v>11</v>
      </c>
    </row>
    <row r="27" spans="1:8" x14ac:dyDescent="0.3">
      <c r="A27" s="4">
        <f t="shared" si="0"/>
        <v>26</v>
      </c>
      <c r="B27" s="4">
        <v>6</v>
      </c>
      <c r="C27" s="4" t="s">
        <v>13</v>
      </c>
      <c r="D27" s="10">
        <v>46284</v>
      </c>
      <c r="E27" s="3">
        <v>0.66666666666666663</v>
      </c>
      <c r="F27" s="4" t="s">
        <v>39</v>
      </c>
      <c r="G27" s="4" t="s">
        <v>39</v>
      </c>
      <c r="H27" s="4" t="s">
        <v>15</v>
      </c>
    </row>
    <row r="28" spans="1:8" x14ac:dyDescent="0.3">
      <c r="A28" s="4">
        <f t="shared" si="0"/>
        <v>27</v>
      </c>
      <c r="B28" s="4">
        <v>7</v>
      </c>
      <c r="C28" s="4" t="s">
        <v>13</v>
      </c>
      <c r="D28" s="10">
        <v>46291</v>
      </c>
      <c r="E28" s="3">
        <v>0.75</v>
      </c>
      <c r="F28" s="4" t="s">
        <v>23</v>
      </c>
      <c r="G28" s="4" t="s">
        <v>40</v>
      </c>
      <c r="H28" s="4" t="s">
        <v>11</v>
      </c>
    </row>
    <row r="29" spans="1:8" x14ac:dyDescent="0.3">
      <c r="A29" s="4">
        <f t="shared" si="0"/>
        <v>28</v>
      </c>
      <c r="B29" s="4">
        <v>8</v>
      </c>
      <c r="C29" s="4" t="s">
        <v>13</v>
      </c>
      <c r="D29" s="10">
        <v>46297</v>
      </c>
      <c r="E29" s="3">
        <v>0.79166666666666663</v>
      </c>
      <c r="F29" s="4" t="s">
        <v>41</v>
      </c>
      <c r="G29" s="4" t="s">
        <v>41</v>
      </c>
      <c r="H29" s="4" t="s">
        <v>15</v>
      </c>
    </row>
    <row r="30" spans="1:8" x14ac:dyDescent="0.3">
      <c r="A30" s="4">
        <f t="shared" si="0"/>
        <v>29</v>
      </c>
      <c r="B30" s="4">
        <v>9</v>
      </c>
      <c r="C30" s="4" t="s">
        <v>13</v>
      </c>
      <c r="D30" s="10">
        <v>46304</v>
      </c>
      <c r="E30" s="3">
        <v>0.8125</v>
      </c>
      <c r="F30" s="4" t="s">
        <v>23</v>
      </c>
      <c r="G30" s="4" t="s">
        <v>9</v>
      </c>
      <c r="H30" s="4" t="s">
        <v>11</v>
      </c>
    </row>
    <row r="31" spans="1:8" x14ac:dyDescent="0.3">
      <c r="A31" s="4">
        <f t="shared" si="0"/>
        <v>30</v>
      </c>
      <c r="B31" s="4">
        <v>10</v>
      </c>
      <c r="C31" s="4" t="s">
        <v>13</v>
      </c>
      <c r="D31" s="10">
        <v>46311</v>
      </c>
      <c r="E31" s="3">
        <v>0.8125</v>
      </c>
      <c r="F31" s="4" t="s">
        <v>42</v>
      </c>
      <c r="G31" s="4" t="s">
        <v>42</v>
      </c>
      <c r="H31" s="4" t="s">
        <v>15</v>
      </c>
    </row>
    <row r="32" spans="1:8" x14ac:dyDescent="0.3">
      <c r="A32" s="4">
        <f t="shared" si="0"/>
        <v>31</v>
      </c>
      <c r="B32" s="4">
        <v>11</v>
      </c>
      <c r="C32" s="4" t="s">
        <v>13</v>
      </c>
      <c r="D32" s="10">
        <v>46319</v>
      </c>
      <c r="E32" s="3">
        <v>0.70833333333333337</v>
      </c>
      <c r="F32" s="4" t="s">
        <v>23</v>
      </c>
      <c r="G32" s="4" t="s">
        <v>43</v>
      </c>
      <c r="H32" s="4" t="s">
        <v>11</v>
      </c>
    </row>
    <row r="33" spans="1:8" x14ac:dyDescent="0.3">
      <c r="A33" s="4">
        <f t="shared" si="0"/>
        <v>32</v>
      </c>
      <c r="B33" s="4">
        <v>12</v>
      </c>
      <c r="C33" s="4" t="s">
        <v>13</v>
      </c>
      <c r="D33" s="10">
        <v>46326</v>
      </c>
      <c r="E33" s="3">
        <v>0.75</v>
      </c>
      <c r="F33" s="4" t="s">
        <v>44</v>
      </c>
      <c r="G33" s="4" t="s">
        <v>44</v>
      </c>
      <c r="H33" s="4" t="s">
        <v>15</v>
      </c>
    </row>
    <row r="34" spans="1:8" x14ac:dyDescent="0.3">
      <c r="A34" s="4">
        <f t="shared" si="0"/>
        <v>33</v>
      </c>
      <c r="B34" s="4">
        <v>13</v>
      </c>
      <c r="C34" s="4" t="s">
        <v>13</v>
      </c>
      <c r="D34" s="10">
        <v>46333</v>
      </c>
      <c r="E34" s="3">
        <v>0.6875</v>
      </c>
      <c r="F34" s="4" t="s">
        <v>23</v>
      </c>
      <c r="G34" s="4" t="s">
        <v>45</v>
      </c>
      <c r="H34" s="4" t="s">
        <v>11</v>
      </c>
    </row>
    <row r="35" spans="1:8" x14ac:dyDescent="0.3">
      <c r="A35" s="4">
        <f t="shared" si="0"/>
        <v>34</v>
      </c>
      <c r="B35" s="4">
        <v>1</v>
      </c>
      <c r="C35" s="4" t="s">
        <v>19</v>
      </c>
      <c r="D35" s="10">
        <v>46250</v>
      </c>
      <c r="E35" s="3">
        <v>0.64583333333333337</v>
      </c>
      <c r="F35" s="4" t="s">
        <v>22</v>
      </c>
      <c r="G35" s="4" t="s">
        <v>22</v>
      </c>
      <c r="H35" s="4" t="s">
        <v>15</v>
      </c>
    </row>
    <row r="36" spans="1:8" x14ac:dyDescent="0.3">
      <c r="A36" s="4">
        <f t="shared" si="0"/>
        <v>35</v>
      </c>
      <c r="B36" s="4">
        <v>2</v>
      </c>
      <c r="C36" s="4" t="s">
        <v>19</v>
      </c>
      <c r="D36" s="10">
        <v>46255</v>
      </c>
      <c r="E36" s="3">
        <v>0.75</v>
      </c>
      <c r="F36" s="4" t="s">
        <v>35</v>
      </c>
      <c r="G36" s="4" t="s">
        <v>35</v>
      </c>
      <c r="H36" s="4" t="s">
        <v>15</v>
      </c>
    </row>
    <row r="37" spans="1:8" x14ac:dyDescent="0.3">
      <c r="A37" s="4">
        <f t="shared" si="0"/>
        <v>36</v>
      </c>
      <c r="B37" s="4">
        <v>3</v>
      </c>
      <c r="C37" s="4" t="s">
        <v>19</v>
      </c>
      <c r="D37" s="10">
        <v>46263</v>
      </c>
      <c r="E37" s="3">
        <v>0.66666666666666663</v>
      </c>
      <c r="F37" s="4" t="s">
        <v>23</v>
      </c>
      <c r="G37" s="4" t="s">
        <v>36</v>
      </c>
      <c r="H37" s="4" t="s">
        <v>11</v>
      </c>
    </row>
    <row r="38" spans="1:8" x14ac:dyDescent="0.3">
      <c r="A38" s="4">
        <f t="shared" si="0"/>
        <v>37</v>
      </c>
      <c r="B38" s="4">
        <v>4</v>
      </c>
      <c r="C38" s="4" t="s">
        <v>19</v>
      </c>
      <c r="D38" s="10">
        <v>46270</v>
      </c>
      <c r="E38" s="3">
        <v>0.60416666666666663</v>
      </c>
      <c r="F38" s="4" t="s">
        <v>37</v>
      </c>
      <c r="G38" s="4" t="s">
        <v>37</v>
      </c>
      <c r="H38" s="4" t="s">
        <v>15</v>
      </c>
    </row>
    <row r="39" spans="1:8" x14ac:dyDescent="0.3">
      <c r="A39" s="4">
        <f t="shared" ref="A39:A70" si="1">A38+1</f>
        <v>38</v>
      </c>
      <c r="B39" s="4">
        <v>5</v>
      </c>
      <c r="C39" s="4" t="s">
        <v>19</v>
      </c>
      <c r="D39" s="10">
        <v>46276</v>
      </c>
      <c r="E39" s="3">
        <v>0.72916666666666663</v>
      </c>
      <c r="F39" s="4" t="s">
        <v>23</v>
      </c>
      <c r="G39" s="4" t="s">
        <v>38</v>
      </c>
      <c r="H39" s="4" t="s">
        <v>11</v>
      </c>
    </row>
    <row r="40" spans="1:8" x14ac:dyDescent="0.3">
      <c r="A40" s="4">
        <f t="shared" si="1"/>
        <v>39</v>
      </c>
      <c r="B40" s="4">
        <v>6</v>
      </c>
      <c r="C40" s="4" t="s">
        <v>19</v>
      </c>
      <c r="D40" s="10">
        <v>46284</v>
      </c>
      <c r="E40" s="3">
        <v>0.58333333333333337</v>
      </c>
      <c r="F40" s="4" t="s">
        <v>39</v>
      </c>
      <c r="G40" s="4" t="s">
        <v>39</v>
      </c>
      <c r="H40" s="4" t="s">
        <v>15</v>
      </c>
    </row>
    <row r="41" spans="1:8" x14ac:dyDescent="0.3">
      <c r="A41" s="4">
        <f t="shared" si="1"/>
        <v>40</v>
      </c>
      <c r="B41" s="4">
        <v>7</v>
      </c>
      <c r="C41" s="4" t="s">
        <v>19</v>
      </c>
      <c r="D41" s="10">
        <v>46291</v>
      </c>
      <c r="E41" s="3">
        <v>0.66666666666666663</v>
      </c>
      <c r="F41" s="4" t="s">
        <v>23</v>
      </c>
      <c r="G41" s="4" t="s">
        <v>40</v>
      </c>
      <c r="H41" s="4" t="s">
        <v>11</v>
      </c>
    </row>
    <row r="42" spans="1:8" x14ac:dyDescent="0.3">
      <c r="A42" s="4">
        <f t="shared" si="1"/>
        <v>41</v>
      </c>
      <c r="B42" s="4">
        <v>8</v>
      </c>
      <c r="C42" s="4" t="s">
        <v>19</v>
      </c>
      <c r="D42" s="10">
        <v>46298</v>
      </c>
      <c r="E42" s="3">
        <v>0.70833333333333337</v>
      </c>
      <c r="F42" s="4" t="s">
        <v>41</v>
      </c>
      <c r="G42" s="4" t="s">
        <v>41</v>
      </c>
      <c r="H42" s="4" t="s">
        <v>15</v>
      </c>
    </row>
    <row r="43" spans="1:8" x14ac:dyDescent="0.3">
      <c r="A43" s="4">
        <f t="shared" si="1"/>
        <v>42</v>
      </c>
      <c r="B43" s="4">
        <v>9</v>
      </c>
      <c r="C43" s="4" t="s">
        <v>19</v>
      </c>
      <c r="D43" s="10">
        <v>46304</v>
      </c>
      <c r="E43" s="3">
        <v>0.72916666666666663</v>
      </c>
      <c r="F43" s="4" t="s">
        <v>23</v>
      </c>
      <c r="G43" s="4" t="s">
        <v>9</v>
      </c>
      <c r="H43" s="4" t="s">
        <v>11</v>
      </c>
    </row>
    <row r="44" spans="1:8" x14ac:dyDescent="0.3">
      <c r="A44" s="4">
        <f t="shared" si="1"/>
        <v>43</v>
      </c>
      <c r="B44" s="4">
        <v>10</v>
      </c>
      <c r="C44" s="4" t="s">
        <v>19</v>
      </c>
      <c r="D44" s="10">
        <v>46311</v>
      </c>
      <c r="E44" s="3">
        <v>0.72916666666666663</v>
      </c>
      <c r="F44" s="4" t="s">
        <v>42</v>
      </c>
      <c r="G44" s="4" t="s">
        <v>42</v>
      </c>
      <c r="H44" s="4" t="s">
        <v>15</v>
      </c>
    </row>
    <row r="45" spans="1:8" x14ac:dyDescent="0.3">
      <c r="A45" s="4">
        <f t="shared" si="1"/>
        <v>44</v>
      </c>
      <c r="B45" s="4">
        <v>11</v>
      </c>
      <c r="C45" s="4" t="s">
        <v>19</v>
      </c>
      <c r="D45" s="10">
        <v>46319</v>
      </c>
      <c r="E45" s="3">
        <v>0.625</v>
      </c>
      <c r="F45" s="4" t="s">
        <v>23</v>
      </c>
      <c r="G45" s="4" t="s">
        <v>43</v>
      </c>
      <c r="H45" s="4" t="s">
        <v>11</v>
      </c>
    </row>
    <row r="46" spans="1:8" x14ac:dyDescent="0.3">
      <c r="A46" s="4">
        <f t="shared" si="1"/>
        <v>45</v>
      </c>
      <c r="B46" s="4">
        <v>12</v>
      </c>
      <c r="C46" s="4" t="s">
        <v>19</v>
      </c>
      <c r="D46" s="10">
        <v>46326</v>
      </c>
      <c r="E46" s="3">
        <v>0.66666666666666663</v>
      </c>
      <c r="F46" s="4" t="s">
        <v>44</v>
      </c>
      <c r="G46" s="4" t="s">
        <v>44</v>
      </c>
      <c r="H46" s="4" t="s">
        <v>15</v>
      </c>
    </row>
    <row r="47" spans="1:8" x14ac:dyDescent="0.3">
      <c r="A47" s="4">
        <f t="shared" si="1"/>
        <v>46</v>
      </c>
      <c r="B47" s="4">
        <v>13</v>
      </c>
      <c r="C47" s="4" t="s">
        <v>19</v>
      </c>
      <c r="D47" s="10">
        <v>46333</v>
      </c>
      <c r="E47" s="3">
        <v>0.60416666666666663</v>
      </c>
      <c r="F47" s="4" t="s">
        <v>23</v>
      </c>
      <c r="G47" s="4" t="s">
        <v>45</v>
      </c>
      <c r="H47" s="4" t="s">
        <v>11</v>
      </c>
    </row>
    <row r="48" spans="1:8" x14ac:dyDescent="0.3">
      <c r="A48" s="21">
        <f t="shared" si="1"/>
        <v>47</v>
      </c>
      <c r="B48" s="21">
        <v>1</v>
      </c>
      <c r="C48" s="21" t="s">
        <v>12</v>
      </c>
      <c r="D48" s="28">
        <v>46023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2</v>
      </c>
      <c r="C49" s="21" t="s">
        <v>12</v>
      </c>
      <c r="D49" s="28">
        <v>46024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3</v>
      </c>
      <c r="C50" s="21" t="s">
        <v>12</v>
      </c>
      <c r="D50" s="28">
        <v>46025</v>
      </c>
      <c r="E50" s="22"/>
      <c r="F50" s="21"/>
      <c r="G50" s="21"/>
      <c r="H50" s="21"/>
    </row>
    <row r="51" spans="1:9" x14ac:dyDescent="0.3">
      <c r="A51" s="21">
        <f t="shared" si="1"/>
        <v>50</v>
      </c>
      <c r="B51" s="21">
        <v>4</v>
      </c>
      <c r="C51" s="21" t="s">
        <v>12</v>
      </c>
      <c r="D51" s="28">
        <v>46026</v>
      </c>
      <c r="E51" s="22"/>
      <c r="F51" s="21"/>
      <c r="G51" s="21"/>
      <c r="H51" s="21"/>
    </row>
    <row r="52" spans="1:9" x14ac:dyDescent="0.3">
      <c r="A52" s="21">
        <f t="shared" si="1"/>
        <v>51</v>
      </c>
      <c r="B52" s="21">
        <v>5</v>
      </c>
      <c r="C52" s="21" t="s">
        <v>12</v>
      </c>
      <c r="D52" s="28">
        <v>46027</v>
      </c>
      <c r="E52" s="22"/>
      <c r="F52" s="21"/>
      <c r="G52" s="21"/>
      <c r="H52" s="21"/>
    </row>
    <row r="53" spans="1:9" x14ac:dyDescent="0.3">
      <c r="A53" s="21">
        <f t="shared" si="1"/>
        <v>52</v>
      </c>
      <c r="B53" s="21">
        <v>6</v>
      </c>
      <c r="C53" s="21" t="s">
        <v>12</v>
      </c>
      <c r="D53" s="28">
        <v>46028</v>
      </c>
      <c r="E53" s="22"/>
      <c r="F53" s="21"/>
      <c r="G53" s="21"/>
      <c r="H53" s="21"/>
    </row>
    <row r="54" spans="1:9" x14ac:dyDescent="0.3">
      <c r="A54" s="21">
        <f t="shared" si="1"/>
        <v>53</v>
      </c>
      <c r="B54" s="21">
        <v>7</v>
      </c>
      <c r="C54" s="21" t="s">
        <v>12</v>
      </c>
      <c r="D54" s="28">
        <v>46029</v>
      </c>
      <c r="E54" s="22"/>
      <c r="F54" s="21"/>
      <c r="G54" s="21"/>
      <c r="H54" s="21"/>
    </row>
    <row r="55" spans="1:9" x14ac:dyDescent="0.3">
      <c r="A55" s="21">
        <f t="shared" si="1"/>
        <v>54</v>
      </c>
      <c r="B55" s="21">
        <v>8</v>
      </c>
      <c r="C55" s="21" t="s">
        <v>12</v>
      </c>
      <c r="D55" s="28">
        <v>46030</v>
      </c>
      <c r="E55" s="22"/>
      <c r="F55" s="21"/>
      <c r="G55" s="21"/>
      <c r="H55" s="21"/>
    </row>
    <row r="56" spans="1:9" x14ac:dyDescent="0.3">
      <c r="A56" s="21">
        <f t="shared" si="1"/>
        <v>55</v>
      </c>
      <c r="B56" s="21">
        <v>9</v>
      </c>
      <c r="C56" s="21" t="s">
        <v>12</v>
      </c>
      <c r="D56" s="28">
        <v>46031</v>
      </c>
      <c r="E56" s="22"/>
      <c r="F56" s="21"/>
      <c r="G56" s="21"/>
      <c r="H56" s="21"/>
    </row>
    <row r="57" spans="1:9" x14ac:dyDescent="0.3">
      <c r="A57" s="21">
        <f t="shared" si="1"/>
        <v>56</v>
      </c>
      <c r="B57" s="21">
        <v>10</v>
      </c>
      <c r="C57" s="21" t="s">
        <v>12</v>
      </c>
      <c r="D57" s="28">
        <v>46032</v>
      </c>
      <c r="E57" s="22"/>
      <c r="F57" s="21"/>
      <c r="G57" s="21"/>
      <c r="H57" s="21"/>
    </row>
    <row r="58" spans="1:9" s="11" customFormat="1" ht="14.25" customHeight="1" x14ac:dyDescent="0.3">
      <c r="A58" s="18">
        <f t="shared" si="1"/>
        <v>57</v>
      </c>
      <c r="B58" s="13">
        <v>1</v>
      </c>
      <c r="C58" s="13" t="s">
        <v>27</v>
      </c>
      <c r="D58" s="14">
        <v>46033</v>
      </c>
      <c r="E58" s="15"/>
      <c r="F58" s="13"/>
      <c r="G58" s="13"/>
      <c r="H58" s="13"/>
      <c r="I58" s="17"/>
    </row>
    <row r="59" spans="1:9" x14ac:dyDescent="0.3">
      <c r="A59" s="18">
        <f t="shared" si="1"/>
        <v>58</v>
      </c>
      <c r="B59" s="13">
        <v>2</v>
      </c>
      <c r="C59" s="13" t="s">
        <v>27</v>
      </c>
      <c r="D59" s="14">
        <v>46034</v>
      </c>
      <c r="E59" s="15"/>
      <c r="F59" s="13"/>
      <c r="G59" s="13"/>
      <c r="H59" s="13"/>
      <c r="I59" s="16"/>
    </row>
    <row r="60" spans="1:9" x14ac:dyDescent="0.3">
      <c r="A60" s="18">
        <f t="shared" si="1"/>
        <v>59</v>
      </c>
      <c r="B60" s="13">
        <v>3</v>
      </c>
      <c r="C60" s="13" t="s">
        <v>27</v>
      </c>
      <c r="D60" s="14">
        <v>46035</v>
      </c>
      <c r="E60" s="15"/>
      <c r="F60" s="13"/>
      <c r="G60" s="13"/>
      <c r="H60" s="13"/>
      <c r="I60" s="16"/>
    </row>
    <row r="61" spans="1:9" x14ac:dyDescent="0.3">
      <c r="A61" s="18">
        <f t="shared" si="1"/>
        <v>60</v>
      </c>
      <c r="B61" s="13">
        <v>4</v>
      </c>
      <c r="C61" s="13" t="s">
        <v>27</v>
      </c>
      <c r="D61" s="14">
        <v>46036</v>
      </c>
      <c r="E61" s="15"/>
      <c r="F61" s="13"/>
      <c r="G61" s="13"/>
      <c r="H61" s="13"/>
      <c r="I61" s="16"/>
    </row>
    <row r="62" spans="1:9" x14ac:dyDescent="0.3">
      <c r="A62" s="18">
        <f t="shared" si="1"/>
        <v>61</v>
      </c>
      <c r="B62" s="13">
        <v>5</v>
      </c>
      <c r="C62" s="13" t="s">
        <v>27</v>
      </c>
      <c r="D62" s="14">
        <v>46037</v>
      </c>
      <c r="E62" s="15"/>
      <c r="F62" s="13"/>
      <c r="G62" s="13"/>
      <c r="H62" s="13"/>
      <c r="I62" s="16"/>
    </row>
    <row r="63" spans="1:9" x14ac:dyDescent="0.3">
      <c r="A63" s="18">
        <f t="shared" si="1"/>
        <v>62</v>
      </c>
      <c r="B63" s="13">
        <v>6</v>
      </c>
      <c r="C63" s="13" t="s">
        <v>27</v>
      </c>
      <c r="D63" s="14">
        <v>46038</v>
      </c>
      <c r="E63" s="15"/>
      <c r="F63" s="13"/>
      <c r="G63" s="13"/>
      <c r="H63" s="13"/>
      <c r="I63" s="16"/>
    </row>
    <row r="64" spans="1:9" x14ac:dyDescent="0.3">
      <c r="A64" s="18">
        <f t="shared" si="1"/>
        <v>63</v>
      </c>
      <c r="B64" s="13">
        <v>7</v>
      </c>
      <c r="C64" s="13" t="s">
        <v>27</v>
      </c>
      <c r="D64" s="14">
        <v>46039</v>
      </c>
      <c r="E64" s="15"/>
      <c r="F64" s="13"/>
      <c r="G64" s="13"/>
      <c r="H64" s="13"/>
      <c r="I64" s="16"/>
    </row>
    <row r="65" spans="1:9" x14ac:dyDescent="0.3">
      <c r="A65" s="18">
        <f t="shared" si="1"/>
        <v>64</v>
      </c>
      <c r="B65" s="13">
        <v>8</v>
      </c>
      <c r="C65" s="13" t="s">
        <v>27</v>
      </c>
      <c r="D65" s="14">
        <v>46040</v>
      </c>
      <c r="E65" s="15"/>
      <c r="F65" s="13"/>
      <c r="G65" s="13"/>
      <c r="H65" s="13"/>
      <c r="I65" s="16"/>
    </row>
    <row r="66" spans="1:9" x14ac:dyDescent="0.3">
      <c r="A66" s="18">
        <f t="shared" si="1"/>
        <v>65</v>
      </c>
      <c r="B66" s="13">
        <v>9</v>
      </c>
      <c r="C66" s="13" t="s">
        <v>27</v>
      </c>
      <c r="D66" s="14">
        <v>46041</v>
      </c>
      <c r="E66" s="15"/>
      <c r="F66" s="13"/>
      <c r="G66" s="13"/>
      <c r="H66" s="13"/>
      <c r="I66" s="16"/>
    </row>
    <row r="67" spans="1:9" x14ac:dyDescent="0.3">
      <c r="A67" s="18">
        <f t="shared" si="1"/>
        <v>66</v>
      </c>
      <c r="B67" s="13">
        <v>10</v>
      </c>
      <c r="C67" s="13" t="s">
        <v>27</v>
      </c>
      <c r="D67" s="14">
        <v>46042</v>
      </c>
      <c r="E67" s="15"/>
      <c r="F67" s="13"/>
      <c r="G67" s="13"/>
      <c r="H67" s="13"/>
      <c r="I67" s="16"/>
    </row>
    <row r="68" spans="1:9" x14ac:dyDescent="0.3">
      <c r="A68" s="6">
        <f t="shared" si="1"/>
        <v>67</v>
      </c>
      <c r="B68" s="6">
        <v>1</v>
      </c>
      <c r="C68" s="6" t="s">
        <v>46</v>
      </c>
      <c r="D68" s="23">
        <v>46043</v>
      </c>
      <c r="E68" s="7"/>
      <c r="F68" s="6"/>
      <c r="G68" s="6"/>
      <c r="H68" s="6"/>
    </row>
    <row r="69" spans="1:9" x14ac:dyDescent="0.3">
      <c r="A69" s="6">
        <f t="shared" si="1"/>
        <v>68</v>
      </c>
      <c r="B69" s="6">
        <v>2</v>
      </c>
      <c r="C69" s="6" t="s">
        <v>46</v>
      </c>
      <c r="D69" s="23">
        <v>46044</v>
      </c>
      <c r="E69" s="7"/>
      <c r="F69" s="6"/>
      <c r="G69" s="6"/>
      <c r="H69" s="6"/>
    </row>
    <row r="70" spans="1:9" x14ac:dyDescent="0.3">
      <c r="A70" s="6">
        <f t="shared" si="1"/>
        <v>69</v>
      </c>
      <c r="B70" s="6">
        <v>3</v>
      </c>
      <c r="C70" s="6" t="s">
        <v>46</v>
      </c>
      <c r="D70" s="23">
        <v>46045</v>
      </c>
      <c r="E70" s="7"/>
      <c r="F70" s="6"/>
      <c r="G70" s="6"/>
      <c r="H70" s="6"/>
    </row>
    <row r="71" spans="1:9" x14ac:dyDescent="0.3">
      <c r="A71" s="6">
        <f t="shared" ref="A71:A102" si="2">A70+1</f>
        <v>70</v>
      </c>
      <c r="B71" s="6">
        <v>4</v>
      </c>
      <c r="C71" s="6" t="s">
        <v>46</v>
      </c>
      <c r="D71" s="23">
        <v>46046</v>
      </c>
      <c r="E71" s="7"/>
      <c r="F71" s="6"/>
      <c r="G71" s="6"/>
      <c r="H71" s="6"/>
    </row>
    <row r="72" spans="1:9" x14ac:dyDescent="0.3">
      <c r="A72" s="6">
        <f t="shared" si="2"/>
        <v>71</v>
      </c>
      <c r="B72" s="6">
        <v>5</v>
      </c>
      <c r="C72" s="6" t="s">
        <v>46</v>
      </c>
      <c r="D72" s="23">
        <v>46047</v>
      </c>
      <c r="E72" s="7"/>
      <c r="F72" s="6"/>
      <c r="G72" s="6"/>
      <c r="H72" s="6"/>
    </row>
    <row r="73" spans="1:9" x14ac:dyDescent="0.3">
      <c r="A73" s="6">
        <f t="shared" si="2"/>
        <v>72</v>
      </c>
      <c r="B73" s="6">
        <v>6</v>
      </c>
      <c r="C73" s="6" t="s">
        <v>46</v>
      </c>
      <c r="D73" s="23">
        <v>46048</v>
      </c>
      <c r="E73" s="7"/>
      <c r="F73" s="6"/>
      <c r="G73" s="6"/>
      <c r="H73" s="6"/>
    </row>
    <row r="74" spans="1:9" x14ac:dyDescent="0.3">
      <c r="A74" s="6">
        <f t="shared" si="2"/>
        <v>73</v>
      </c>
      <c r="B74" s="6">
        <v>7</v>
      </c>
      <c r="C74" s="6" t="s">
        <v>46</v>
      </c>
      <c r="D74" s="23">
        <v>46049</v>
      </c>
      <c r="E74" s="7"/>
      <c r="F74" s="6"/>
      <c r="G74" s="6"/>
      <c r="H74" s="6"/>
    </row>
    <row r="75" spans="1:9" x14ac:dyDescent="0.3">
      <c r="A75" s="6">
        <f t="shared" si="2"/>
        <v>74</v>
      </c>
      <c r="B75" s="6">
        <v>8</v>
      </c>
      <c r="C75" s="6" t="s">
        <v>46</v>
      </c>
      <c r="D75" s="23">
        <v>46050</v>
      </c>
      <c r="E75" s="7"/>
      <c r="F75" s="6"/>
      <c r="G75" s="6"/>
      <c r="H75" s="6"/>
    </row>
    <row r="76" spans="1:9" x14ac:dyDescent="0.3">
      <c r="A76" s="6">
        <f t="shared" si="2"/>
        <v>75</v>
      </c>
      <c r="B76" s="6">
        <v>9</v>
      </c>
      <c r="C76" s="6" t="s">
        <v>46</v>
      </c>
      <c r="D76" s="23">
        <v>46051</v>
      </c>
      <c r="E76" s="7"/>
      <c r="F76" s="6"/>
      <c r="G76" s="6"/>
      <c r="H76" s="6"/>
    </row>
    <row r="77" spans="1:9" x14ac:dyDescent="0.3">
      <c r="A77" s="6">
        <f t="shared" si="2"/>
        <v>76</v>
      </c>
      <c r="B77" s="6">
        <v>10</v>
      </c>
      <c r="C77" s="6" t="s">
        <v>46</v>
      </c>
      <c r="D77" s="23">
        <v>46052</v>
      </c>
      <c r="E77" s="7"/>
      <c r="F77" s="6"/>
      <c r="G77" s="6"/>
      <c r="H77" s="6"/>
    </row>
    <row r="78" spans="1:9" x14ac:dyDescent="0.3">
      <c r="A78" s="89">
        <f t="shared" si="2"/>
        <v>77</v>
      </c>
      <c r="B78" s="89">
        <v>1</v>
      </c>
      <c r="C78" s="89" t="s">
        <v>47</v>
      </c>
      <c r="D78" s="90">
        <v>46053</v>
      </c>
      <c r="E78" s="91"/>
      <c r="F78" s="89"/>
      <c r="G78" s="89"/>
      <c r="H78" s="89"/>
    </row>
    <row r="79" spans="1:9" x14ac:dyDescent="0.3">
      <c r="A79" s="89">
        <f t="shared" si="2"/>
        <v>78</v>
      </c>
      <c r="B79" s="89">
        <v>2</v>
      </c>
      <c r="C79" s="89" t="s">
        <v>47</v>
      </c>
      <c r="D79" s="90">
        <v>46054</v>
      </c>
      <c r="E79" s="91"/>
      <c r="F79" s="89"/>
      <c r="G79" s="89"/>
      <c r="H79" s="89"/>
    </row>
    <row r="80" spans="1:9" x14ac:dyDescent="0.3">
      <c r="A80" s="89">
        <f t="shared" si="2"/>
        <v>79</v>
      </c>
      <c r="B80" s="89">
        <v>3</v>
      </c>
      <c r="C80" s="89" t="s">
        <v>47</v>
      </c>
      <c r="D80" s="90">
        <v>46055</v>
      </c>
      <c r="E80" s="91"/>
      <c r="F80" s="89"/>
      <c r="G80" s="89"/>
      <c r="H80" s="89"/>
    </row>
    <row r="81" spans="1:8" x14ac:dyDescent="0.3">
      <c r="A81" s="89">
        <f t="shared" si="2"/>
        <v>80</v>
      </c>
      <c r="B81" s="89">
        <v>4</v>
      </c>
      <c r="C81" s="89" t="s">
        <v>47</v>
      </c>
      <c r="D81" s="90">
        <v>46056</v>
      </c>
      <c r="E81" s="91"/>
      <c r="F81" s="89"/>
      <c r="G81" s="89"/>
      <c r="H81" s="89"/>
    </row>
    <row r="82" spans="1:8" x14ac:dyDescent="0.3">
      <c r="A82" s="89">
        <f t="shared" si="2"/>
        <v>81</v>
      </c>
      <c r="B82" s="89">
        <v>5</v>
      </c>
      <c r="C82" s="89" t="s">
        <v>47</v>
      </c>
      <c r="D82" s="90">
        <v>46057</v>
      </c>
      <c r="E82" s="91"/>
      <c r="F82" s="89"/>
      <c r="G82" s="89"/>
      <c r="H82" s="89"/>
    </row>
    <row r="83" spans="1:8" x14ac:dyDescent="0.3">
      <c r="A83" s="89">
        <f t="shared" si="2"/>
        <v>82</v>
      </c>
      <c r="B83" s="89">
        <v>6</v>
      </c>
      <c r="C83" s="89" t="s">
        <v>47</v>
      </c>
      <c r="D83" s="90">
        <v>46058</v>
      </c>
      <c r="E83" s="91"/>
      <c r="F83" s="89"/>
      <c r="G83" s="89"/>
      <c r="H83" s="89"/>
    </row>
    <row r="84" spans="1:8" x14ac:dyDescent="0.3">
      <c r="A84" s="89">
        <f t="shared" si="2"/>
        <v>83</v>
      </c>
      <c r="B84" s="89">
        <v>7</v>
      </c>
      <c r="C84" s="89" t="s">
        <v>47</v>
      </c>
      <c r="D84" s="90">
        <v>46059</v>
      </c>
      <c r="E84" s="91"/>
      <c r="F84" s="89"/>
      <c r="G84" s="89"/>
      <c r="H84" s="89"/>
    </row>
    <row r="85" spans="1:8" x14ac:dyDescent="0.3">
      <c r="A85" s="89">
        <f t="shared" si="2"/>
        <v>84</v>
      </c>
      <c r="B85" s="89">
        <v>8</v>
      </c>
      <c r="C85" s="89" t="s">
        <v>47</v>
      </c>
      <c r="D85" s="90">
        <v>46060</v>
      </c>
      <c r="E85" s="91"/>
      <c r="F85" s="89"/>
      <c r="G85" s="89"/>
      <c r="H85" s="89"/>
    </row>
    <row r="86" spans="1:8" x14ac:dyDescent="0.3">
      <c r="A86" s="89">
        <f t="shared" si="2"/>
        <v>85</v>
      </c>
      <c r="B86" s="89">
        <v>9</v>
      </c>
      <c r="C86" s="89" t="s">
        <v>47</v>
      </c>
      <c r="D86" s="90">
        <v>46061</v>
      </c>
      <c r="E86" s="91"/>
      <c r="F86" s="89"/>
      <c r="G86" s="89"/>
      <c r="H86" s="89"/>
    </row>
    <row r="87" spans="1:8" x14ac:dyDescent="0.3">
      <c r="A87" s="89">
        <f t="shared" si="2"/>
        <v>86</v>
      </c>
      <c r="B87" s="89">
        <v>10</v>
      </c>
      <c r="C87" s="89" t="s">
        <v>47</v>
      </c>
      <c r="D87" s="90">
        <v>46062</v>
      </c>
      <c r="E87" s="91"/>
      <c r="F87" s="89"/>
      <c r="G87" s="89"/>
      <c r="H87" s="89"/>
    </row>
    <row r="88" spans="1:8" x14ac:dyDescent="0.3">
      <c r="A88" s="19">
        <f t="shared" si="2"/>
        <v>87</v>
      </c>
      <c r="B88" s="19">
        <v>1</v>
      </c>
      <c r="C88" s="19" t="s">
        <v>48</v>
      </c>
      <c r="D88" s="24">
        <v>46063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2</v>
      </c>
      <c r="C89" s="19" t="s">
        <v>48</v>
      </c>
      <c r="D89" s="24">
        <v>46064</v>
      </c>
      <c r="E89" s="20"/>
      <c r="F89" s="19"/>
      <c r="G89" s="19"/>
      <c r="H89" s="19"/>
    </row>
    <row r="90" spans="1:8" x14ac:dyDescent="0.3">
      <c r="A90" s="19">
        <f t="shared" si="2"/>
        <v>89</v>
      </c>
      <c r="B90" s="19">
        <v>3</v>
      </c>
      <c r="C90" s="19" t="s">
        <v>48</v>
      </c>
      <c r="D90" s="24">
        <v>46065</v>
      </c>
      <c r="E90" s="20"/>
      <c r="F90" s="19"/>
      <c r="G90" s="19"/>
      <c r="H90" s="19"/>
    </row>
    <row r="91" spans="1:8" x14ac:dyDescent="0.3">
      <c r="A91" s="19">
        <f t="shared" si="2"/>
        <v>90</v>
      </c>
      <c r="B91" s="19">
        <v>4</v>
      </c>
      <c r="C91" s="19" t="s">
        <v>48</v>
      </c>
      <c r="D91" s="24">
        <v>46066</v>
      </c>
      <c r="E91" s="20"/>
      <c r="F91" s="19"/>
      <c r="G91" s="19"/>
      <c r="H91" s="19"/>
    </row>
    <row r="92" spans="1:8" x14ac:dyDescent="0.3">
      <c r="A92" s="19">
        <f t="shared" si="2"/>
        <v>91</v>
      </c>
      <c r="B92" s="19">
        <v>5</v>
      </c>
      <c r="C92" s="19" t="s">
        <v>48</v>
      </c>
      <c r="D92" s="24">
        <v>46067</v>
      </c>
      <c r="E92" s="20"/>
      <c r="F92" s="19"/>
      <c r="G92" s="19"/>
      <c r="H92" s="19"/>
    </row>
    <row r="93" spans="1:8" x14ac:dyDescent="0.3">
      <c r="A93" s="19">
        <f t="shared" si="2"/>
        <v>92</v>
      </c>
      <c r="B93" s="19">
        <v>6</v>
      </c>
      <c r="C93" s="19" t="s">
        <v>48</v>
      </c>
      <c r="D93" s="24">
        <v>46068</v>
      </c>
      <c r="E93" s="20"/>
      <c r="F93" s="19"/>
      <c r="G93" s="19"/>
      <c r="H93" s="19"/>
    </row>
    <row r="94" spans="1:8" x14ac:dyDescent="0.3">
      <c r="A94" s="19">
        <f t="shared" si="2"/>
        <v>93</v>
      </c>
      <c r="B94" s="19">
        <v>7</v>
      </c>
      <c r="C94" s="19" t="s">
        <v>48</v>
      </c>
      <c r="D94" s="24">
        <v>46069</v>
      </c>
      <c r="E94" s="20"/>
      <c r="F94" s="19"/>
      <c r="G94" s="19"/>
      <c r="H94" s="19"/>
    </row>
    <row r="95" spans="1:8" x14ac:dyDescent="0.3">
      <c r="A95" s="19">
        <f t="shared" si="2"/>
        <v>94</v>
      </c>
      <c r="B95" s="19">
        <v>8</v>
      </c>
      <c r="C95" s="19" t="s">
        <v>48</v>
      </c>
      <c r="D95" s="24">
        <v>46070</v>
      </c>
      <c r="E95" s="20"/>
      <c r="F95" s="19"/>
      <c r="G95" s="19"/>
      <c r="H95" s="19"/>
    </row>
    <row r="96" spans="1:8" x14ac:dyDescent="0.3">
      <c r="A96" s="19">
        <f t="shared" si="2"/>
        <v>95</v>
      </c>
      <c r="B96" s="19">
        <v>9</v>
      </c>
      <c r="C96" s="19" t="s">
        <v>48</v>
      </c>
      <c r="D96" s="24">
        <v>46071</v>
      </c>
      <c r="E96" s="20"/>
      <c r="F96" s="19"/>
      <c r="G96" s="19"/>
      <c r="H96" s="19"/>
    </row>
    <row r="97" spans="1:8" x14ac:dyDescent="0.3">
      <c r="A97" s="19">
        <f t="shared" si="2"/>
        <v>96</v>
      </c>
      <c r="B97" s="19">
        <v>10</v>
      </c>
      <c r="C97" s="19" t="s">
        <v>48</v>
      </c>
      <c r="D97" s="24">
        <v>46072</v>
      </c>
      <c r="E97" s="20"/>
      <c r="F97" s="19"/>
      <c r="G97" s="19"/>
      <c r="H97" s="19"/>
    </row>
    <row r="98" spans="1:8" x14ac:dyDescent="0.3">
      <c r="A98" s="86">
        <f t="shared" si="2"/>
        <v>97</v>
      </c>
      <c r="B98" s="86">
        <v>1</v>
      </c>
      <c r="C98" s="86" t="s">
        <v>49</v>
      </c>
      <c r="D98" s="87">
        <v>46312</v>
      </c>
      <c r="E98" s="88">
        <v>0.39583333333333331</v>
      </c>
      <c r="F98" s="88" t="s">
        <v>23</v>
      </c>
      <c r="G98" s="86" t="s">
        <v>50</v>
      </c>
      <c r="H98" s="86" t="s">
        <v>11</v>
      </c>
    </row>
    <row r="99" spans="1:8" x14ac:dyDescent="0.3">
      <c r="A99" s="86">
        <f t="shared" si="2"/>
        <v>98</v>
      </c>
      <c r="B99" s="86">
        <v>2</v>
      </c>
      <c r="C99" s="86" t="s">
        <v>49</v>
      </c>
      <c r="D99" s="87">
        <v>46074</v>
      </c>
      <c r="E99" s="88"/>
      <c r="F99" s="86"/>
      <c r="G99" s="86"/>
      <c r="H99" s="86"/>
    </row>
    <row r="100" spans="1:8" x14ac:dyDescent="0.3">
      <c r="A100" s="86">
        <f t="shared" si="2"/>
        <v>99</v>
      </c>
      <c r="B100" s="86">
        <v>3</v>
      </c>
      <c r="C100" s="86" t="s">
        <v>49</v>
      </c>
      <c r="D100" s="87">
        <v>46075</v>
      </c>
      <c r="E100" s="88"/>
      <c r="F100" s="86"/>
      <c r="G100" s="86"/>
      <c r="H100" s="86"/>
    </row>
    <row r="101" spans="1:8" x14ac:dyDescent="0.3">
      <c r="A101" s="86">
        <f t="shared" si="2"/>
        <v>100</v>
      </c>
      <c r="B101" s="86">
        <v>4</v>
      </c>
      <c r="C101" s="86" t="s">
        <v>49</v>
      </c>
      <c r="D101" s="87">
        <v>46076</v>
      </c>
      <c r="E101" s="88"/>
      <c r="F101" s="86"/>
      <c r="G101" s="86"/>
      <c r="H101" s="86"/>
    </row>
    <row r="102" spans="1:8" x14ac:dyDescent="0.3">
      <c r="A102" s="86">
        <f t="shared" si="2"/>
        <v>101</v>
      </c>
      <c r="B102" s="86">
        <v>5</v>
      </c>
      <c r="C102" s="86" t="s">
        <v>49</v>
      </c>
      <c r="D102" s="87">
        <v>46077</v>
      </c>
      <c r="E102" s="88"/>
      <c r="F102" s="86"/>
      <c r="G102" s="86"/>
      <c r="H102" s="86"/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46078</v>
      </c>
      <c r="E103" s="12"/>
      <c r="F103" s="8"/>
      <c r="G103" s="8"/>
      <c r="H103" s="8"/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46079</v>
      </c>
      <c r="E104" s="12"/>
      <c r="F104" s="8"/>
      <c r="G104" s="8"/>
      <c r="H104" s="8"/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46080</v>
      </c>
      <c r="E105" s="12"/>
      <c r="F105" s="8"/>
      <c r="G105" s="8"/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46081</v>
      </c>
      <c r="E106" s="12"/>
      <c r="F106" s="8"/>
      <c r="G106" s="8"/>
      <c r="H106" s="8"/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46082</v>
      </c>
      <c r="E107" s="12"/>
      <c r="F107" s="8"/>
      <c r="G107" s="8"/>
      <c r="H107" s="8"/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46083</v>
      </c>
      <c r="E108" s="12"/>
      <c r="F108" s="8"/>
      <c r="G108" s="8"/>
      <c r="H108" s="8"/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46084</v>
      </c>
      <c r="E109" s="12"/>
      <c r="F109" s="8"/>
      <c r="G109" s="8"/>
      <c r="H109" s="8"/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46085</v>
      </c>
      <c r="E110" s="12"/>
      <c r="F110" s="8"/>
      <c r="G110" s="8"/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46086</v>
      </c>
      <c r="E111" s="12"/>
      <c r="F111" s="8"/>
      <c r="G111" s="8"/>
      <c r="H111" s="8"/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46087</v>
      </c>
      <c r="E112" s="12"/>
      <c r="F112" s="8"/>
      <c r="G112" s="8"/>
      <c r="H112" s="8"/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46089</v>
      </c>
      <c r="E114" s="27"/>
      <c r="F114" s="25"/>
      <c r="G114" s="25"/>
      <c r="H114" s="25"/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46090</v>
      </c>
      <c r="E115" s="27"/>
      <c r="F115" s="25"/>
      <c r="G115" s="25"/>
      <c r="H115" s="25"/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46091</v>
      </c>
      <c r="E116" s="27"/>
      <c r="F116" s="25"/>
      <c r="G116" s="25"/>
      <c r="H116" s="25"/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46092</v>
      </c>
      <c r="E117" s="27"/>
      <c r="F117" s="25"/>
      <c r="G117" s="25"/>
      <c r="H117" s="25"/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>
        <v>46312</v>
      </c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>
        <v>46094</v>
      </c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>
        <v>46095</v>
      </c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>
        <v>46096</v>
      </c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>
        <v>46097</v>
      </c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9">
        <v>46230</v>
      </c>
      <c r="E123" s="81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9">
        <v>46231</v>
      </c>
      <c r="E124" s="81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9">
        <v>46232</v>
      </c>
      <c r="E125" s="81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9">
        <v>46233</v>
      </c>
      <c r="E126" s="81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9">
        <v>46234</v>
      </c>
      <c r="E127" s="81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9">
        <v>46237</v>
      </c>
      <c r="E128" s="81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9">
        <v>46238</v>
      </c>
      <c r="E129" s="81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9">
        <v>46239</v>
      </c>
      <c r="E130" s="81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9">
        <v>46321</v>
      </c>
      <c r="E131" s="81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9">
        <v>46322</v>
      </c>
      <c r="E132" s="81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9">
        <v>46323</v>
      </c>
      <c r="E133" s="81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58</v>
      </c>
      <c r="D134" s="60">
        <v>46256</v>
      </c>
      <c r="E134" s="82">
        <v>0.375</v>
      </c>
      <c r="F134" s="41" t="s">
        <v>23</v>
      </c>
      <c r="G134" s="8" t="s">
        <v>59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60</v>
      </c>
      <c r="D135" s="55">
        <v>46367</v>
      </c>
      <c r="E135" s="93">
        <v>0.6875</v>
      </c>
      <c r="F135" s="54" t="s">
        <v>61</v>
      </c>
      <c r="G135" s="54" t="s">
        <v>62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60</v>
      </c>
      <c r="D136" s="55">
        <v>46368</v>
      </c>
      <c r="E136" s="93">
        <v>0.35416666666666669</v>
      </c>
      <c r="F136" s="54" t="s">
        <v>61</v>
      </c>
      <c r="G136" s="54" t="s">
        <v>62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60</v>
      </c>
      <c r="D137" s="55">
        <v>46369</v>
      </c>
      <c r="E137" s="93">
        <v>0.375</v>
      </c>
      <c r="F137" s="54" t="s">
        <v>61</v>
      </c>
      <c r="G137" s="54" t="s">
        <v>62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63</v>
      </c>
      <c r="D138" s="55">
        <v>46359</v>
      </c>
      <c r="E138" s="93">
        <v>0.70833333333333337</v>
      </c>
      <c r="F138" s="54" t="s">
        <v>61</v>
      </c>
      <c r="G138" s="54" t="s">
        <v>64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60</v>
      </c>
      <c r="D139" s="55">
        <v>46402</v>
      </c>
      <c r="E139" s="93">
        <v>0.6875</v>
      </c>
      <c r="F139" s="54" t="s">
        <v>61</v>
      </c>
      <c r="G139" s="54" t="s">
        <v>62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60</v>
      </c>
      <c r="D140" s="55">
        <v>46403</v>
      </c>
      <c r="E140" s="93">
        <v>0.35416666666666669</v>
      </c>
      <c r="F140" s="54" t="s">
        <v>61</v>
      </c>
      <c r="G140" s="54" t="s">
        <v>62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60</v>
      </c>
      <c r="D141" s="55">
        <v>46404</v>
      </c>
      <c r="E141" s="93">
        <v>0.375</v>
      </c>
      <c r="F141" s="54" t="s">
        <v>61</v>
      </c>
      <c r="G141" s="54" t="s">
        <v>62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65</v>
      </c>
      <c r="D142" s="55">
        <v>46291</v>
      </c>
      <c r="E142" s="93">
        <v>0.75</v>
      </c>
      <c r="F142" s="54" t="s">
        <v>23</v>
      </c>
      <c r="G142" s="54" t="s">
        <v>66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7" max="16383" man="1"/>
    <brk id="67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workbookViewId="0">
      <selection activeCell="J18" sqref="J18"/>
    </sheetView>
  </sheetViews>
  <sheetFormatPr baseColWidth="10" defaultRowHeight="14.4" x14ac:dyDescent="0.3"/>
  <cols>
    <col min="1" max="1" width="11.5546875" style="83" customWidth="1"/>
    <col min="2" max="2" width="11.44140625" style="95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3" bestFit="1" customWidth="1"/>
    <col min="7" max="7" width="11.5546875" style="94" customWidth="1"/>
    <col min="8" max="8" width="17.88671875" style="94" bestFit="1" customWidth="1"/>
    <col min="10" max="10" width="11.5546875" style="83" customWidth="1"/>
  </cols>
  <sheetData>
    <row r="1" spans="1:12" x14ac:dyDescent="0.3">
      <c r="A1" s="83" t="s">
        <v>67</v>
      </c>
      <c r="B1" s="95" t="s">
        <v>68</v>
      </c>
      <c r="C1" s="96" t="s">
        <v>69</v>
      </c>
      <c r="D1" s="96" t="s">
        <v>70</v>
      </c>
      <c r="E1" s="96" t="s">
        <v>71</v>
      </c>
      <c r="F1" s="83" t="s">
        <v>72</v>
      </c>
      <c r="G1" t="s">
        <v>73</v>
      </c>
      <c r="H1" t="s">
        <v>74</v>
      </c>
      <c r="I1" t="s">
        <v>75</v>
      </c>
      <c r="J1" s="83" t="s">
        <v>76</v>
      </c>
      <c r="K1" s="83" t="s">
        <v>77</v>
      </c>
      <c r="L1" s="83" t="s">
        <v>78</v>
      </c>
    </row>
    <row r="2" spans="1:12" x14ac:dyDescent="0.3">
      <c r="B2" s="95">
        <f>'Nach Mannschaften sortiert'!D2</f>
        <v>46199</v>
      </c>
      <c r="C2" s="96">
        <f>'Nach Mannschaften sortiert'!E2</f>
        <v>0.66666666666666663</v>
      </c>
      <c r="D2" s="96">
        <f t="shared" ref="D2:D37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3" t="s">
        <v>79</v>
      </c>
      <c r="K2" t="s">
        <v>80</v>
      </c>
      <c r="L2" t="s">
        <v>81</v>
      </c>
    </row>
    <row r="3" spans="1:12" x14ac:dyDescent="0.3">
      <c r="B3" s="95">
        <f>'Nach Mannschaften sortiert'!D3</f>
        <v>46199</v>
      </c>
      <c r="C3" s="96">
        <f>'Nach Mannschaften sortiert'!E3</f>
        <v>0.75</v>
      </c>
      <c r="D3" s="96">
        <f t="shared" ref="D3:D21" si="1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96" t="str">
        <f>UPPER('Nach Mannschaften sortiert'!F3)</f>
        <v>WIMPASSING</v>
      </c>
      <c r="G3" s="94" t="str">
        <f>'Nach Mannschaften sortiert'!H3</f>
        <v>Heim</v>
      </c>
      <c r="H3" s="94" t="str">
        <f>'Nach Mannschaften sortiert'!G3</f>
        <v>SK Rapid Wien</v>
      </c>
      <c r="I3" s="94" t="str">
        <f>'Nach Mannschaften sortiert'!C3</f>
        <v>U16</v>
      </c>
      <c r="J3" s="83" t="s">
        <v>79</v>
      </c>
      <c r="K3" s="94" t="s">
        <v>80</v>
      </c>
      <c r="L3" s="94" t="s">
        <v>81</v>
      </c>
    </row>
    <row r="4" spans="1:12" x14ac:dyDescent="0.3">
      <c r="B4" s="95">
        <f>'Nach Mannschaften sortiert'!D4</f>
        <v>46213</v>
      </c>
      <c r="C4" s="96">
        <f>'Nach Mannschaften sortiert'!E4</f>
        <v>0.79166666666666663</v>
      </c>
      <c r="D4" s="96">
        <f t="shared" si="1"/>
        <v>0.86458333333333326</v>
      </c>
      <c r="E4" s="96" t="str">
        <f>UPPER('Nach Mannschaften sortiert'!F4)</f>
        <v>NEUDÖRFL</v>
      </c>
      <c r="G4" s="94" t="str">
        <f>'Nach Mannschaften sortiert'!H4</f>
        <v>Auswärts</v>
      </c>
      <c r="H4" s="94" t="str">
        <f>'Nach Mannschaften sortiert'!G4</f>
        <v>Neudörfl</v>
      </c>
      <c r="I4" s="94" t="str">
        <f>'Nach Mannschaften sortiert'!C4</f>
        <v>KM</v>
      </c>
      <c r="J4" s="83" t="s">
        <v>79</v>
      </c>
      <c r="K4" s="94" t="s">
        <v>80</v>
      </c>
      <c r="L4" s="94" t="s">
        <v>81</v>
      </c>
    </row>
    <row r="5" spans="1:12" x14ac:dyDescent="0.3">
      <c r="B5" s="95">
        <f>'Nach Mannschaften sortiert'!D5</f>
        <v>46217</v>
      </c>
      <c r="C5" s="96">
        <f>'Nach Mannschaften sortiert'!E5</f>
        <v>0.8125</v>
      </c>
      <c r="D5" s="96">
        <f t="shared" si="1"/>
        <v>0.88541666666666663</v>
      </c>
      <c r="E5" s="96" t="str">
        <f>UPPER('Nach Mannschaften sortiert'!F5)</f>
        <v>PÖTTSCHING</v>
      </c>
      <c r="G5" s="94" t="str">
        <f>'Nach Mannschaften sortiert'!H5</f>
        <v>Auswärts</v>
      </c>
      <c r="H5" s="94" t="str">
        <f>'Nach Mannschaften sortiert'!G5</f>
        <v>Pöttsching</v>
      </c>
      <c r="I5" s="94" t="str">
        <f>'Nach Mannschaften sortiert'!C5</f>
        <v>KM</v>
      </c>
      <c r="J5" s="83" t="s">
        <v>79</v>
      </c>
      <c r="K5" s="94" t="s">
        <v>80</v>
      </c>
      <c r="L5" s="94" t="s">
        <v>81</v>
      </c>
    </row>
    <row r="6" spans="1:12" x14ac:dyDescent="0.3">
      <c r="B6" s="95">
        <f>'Nach Mannschaften sortiert'!D6</f>
        <v>46220</v>
      </c>
      <c r="C6" s="96">
        <f>'Nach Mannschaften sortiert'!E6</f>
        <v>0.79166666666666663</v>
      </c>
      <c r="D6" s="96">
        <f t="shared" si="1"/>
        <v>0.86458333333333326</v>
      </c>
      <c r="E6" s="96" t="str">
        <f>UPPER('Nach Mannschaften sortiert'!F6)</f>
        <v>ROHBACH</v>
      </c>
      <c r="G6" s="94" t="str">
        <f>'Nach Mannschaften sortiert'!H6</f>
        <v>Auswärts</v>
      </c>
      <c r="H6" s="94" t="str">
        <f>'Nach Mannschaften sortiert'!G6</f>
        <v>Rohrbach</v>
      </c>
      <c r="I6" s="94" t="str">
        <f>'Nach Mannschaften sortiert'!C6</f>
        <v>KM</v>
      </c>
      <c r="J6" s="83" t="s">
        <v>79</v>
      </c>
      <c r="K6" s="94" t="s">
        <v>80</v>
      </c>
      <c r="L6" s="94" t="s">
        <v>81</v>
      </c>
    </row>
    <row r="7" spans="1:12" x14ac:dyDescent="0.3">
      <c r="B7" s="95">
        <f>'Nach Mannschaften sortiert'!D7</f>
        <v>46227</v>
      </c>
      <c r="C7" s="96">
        <f>'Nach Mannschaften sortiert'!E7</f>
        <v>0.8125</v>
      </c>
      <c r="D7" s="96">
        <f t="shared" si="1"/>
        <v>0.88541666666666663</v>
      </c>
      <c r="E7" s="96" t="str">
        <f>UPPER('Nach Mannschaften sortiert'!F7)</f>
        <v>SOMMEREIN</v>
      </c>
      <c r="G7" s="94" t="str">
        <f>'Nach Mannschaften sortiert'!H7</f>
        <v>Auswärts</v>
      </c>
      <c r="H7" s="94" t="str">
        <f>'Nach Mannschaften sortiert'!G7</f>
        <v>Sommerein</v>
      </c>
      <c r="I7" s="94" t="str">
        <f>'Nach Mannschaften sortiert'!C7</f>
        <v>KM</v>
      </c>
      <c r="J7" s="83" t="s">
        <v>79</v>
      </c>
      <c r="K7" s="94" t="s">
        <v>80</v>
      </c>
      <c r="L7" s="94" t="s">
        <v>81</v>
      </c>
    </row>
    <row r="8" spans="1:12" x14ac:dyDescent="0.3">
      <c r="B8" s="95">
        <f>'Nach Mannschaften sortiert'!D8</f>
        <v>46234</v>
      </c>
      <c r="C8" s="96">
        <f>'Nach Mannschaften sortiert'!E8</f>
        <v>0.70833333333333337</v>
      </c>
      <c r="D8" s="96">
        <f t="shared" si="1"/>
        <v>0.78125</v>
      </c>
      <c r="E8" s="96" t="str">
        <f>UPPER('Nach Mannschaften sortiert'!F8)</f>
        <v>WIENER NEUSTADT</v>
      </c>
      <c r="G8" s="94" t="str">
        <f>'Nach Mannschaften sortiert'!H8</f>
        <v>Auswärts</v>
      </c>
      <c r="H8" s="94" t="str">
        <f>'Nach Mannschaften sortiert'!G8</f>
        <v>Admira Wiener Neustadt</v>
      </c>
      <c r="I8" s="94" t="str">
        <f>'Nach Mannschaften sortiert'!C8</f>
        <v>U23</v>
      </c>
      <c r="J8" s="83" t="s">
        <v>275</v>
      </c>
      <c r="K8" s="94" t="s">
        <v>80</v>
      </c>
      <c r="L8" s="94" t="s">
        <v>81</v>
      </c>
    </row>
    <row r="9" spans="1:12" x14ac:dyDescent="0.3">
      <c r="B9" s="95">
        <f>'Nach Mannschaften sortiert'!D9</f>
        <v>46235</v>
      </c>
      <c r="C9" s="96">
        <f>'Nach Mannschaften sortiert'!E9</f>
        <v>0.72916666666666663</v>
      </c>
      <c r="D9" s="96">
        <f t="shared" si="1"/>
        <v>0.80208333333333326</v>
      </c>
      <c r="E9" s="96" t="str">
        <f>UPPER('Nach Mannschaften sortiert'!F9)</f>
        <v>KITTSEE</v>
      </c>
      <c r="G9" s="94" t="str">
        <f>'Nach Mannschaften sortiert'!H9</f>
        <v>Auswärts</v>
      </c>
      <c r="H9" s="94" t="str">
        <f>'Nach Mannschaften sortiert'!G9</f>
        <v>Kittsee</v>
      </c>
      <c r="I9" s="94" t="str">
        <f>'Nach Mannschaften sortiert'!C9</f>
        <v>KM</v>
      </c>
      <c r="J9" s="83" t="s">
        <v>79</v>
      </c>
      <c r="K9" s="94" t="s">
        <v>80</v>
      </c>
      <c r="L9" s="94" t="s">
        <v>81</v>
      </c>
    </row>
    <row r="10" spans="1:12" x14ac:dyDescent="0.3">
      <c r="B10" s="95">
        <f>'Nach Mannschaften sortiert'!D10</f>
        <v>46236</v>
      </c>
      <c r="C10" s="96">
        <f>'Nach Mannschaften sortiert'!E10</f>
        <v>0.4375</v>
      </c>
      <c r="D10" s="96">
        <f t="shared" si="1"/>
        <v>0.51041666666666663</v>
      </c>
      <c r="E10" s="96" t="str">
        <f>UPPER('Nach Mannschaften sortiert'!F10)</f>
        <v>NEUFELD</v>
      </c>
      <c r="G10" s="94" t="str">
        <f>'Nach Mannschaften sortiert'!H10</f>
        <v>Heim</v>
      </c>
      <c r="H10" s="94" t="str">
        <f>'Nach Mannschaften sortiert'!G10</f>
        <v>Theresienfeld</v>
      </c>
      <c r="I10" s="94" t="str">
        <f>'Nach Mannschaften sortiert'!C10</f>
        <v>U16</v>
      </c>
      <c r="J10" s="83" t="s">
        <v>275</v>
      </c>
      <c r="K10" s="94" t="s">
        <v>80</v>
      </c>
      <c r="L10" s="94" t="s">
        <v>81</v>
      </c>
    </row>
    <row r="11" spans="1:12" x14ac:dyDescent="0.3">
      <c r="B11" s="95">
        <f>'Nach Mannschaften sortiert'!D11</f>
        <v>46241</v>
      </c>
      <c r="C11" s="96">
        <f>'Nach Mannschaften sortiert'!E11</f>
        <v>0.79166666666666663</v>
      </c>
      <c r="D11" s="96">
        <f t="shared" si="1"/>
        <v>0.86458333333333326</v>
      </c>
      <c r="E11" s="96" t="str">
        <f>UPPER('Nach Mannschaften sortiert'!F11)</f>
        <v>NEUFELD</v>
      </c>
      <c r="G11" s="94" t="str">
        <f>'Nach Mannschaften sortiert'!H11</f>
        <v>Heim</v>
      </c>
      <c r="H11" s="94" t="str">
        <f>'Nach Mannschaften sortiert'!G11</f>
        <v>Bad Fischau</v>
      </c>
      <c r="I11" s="94" t="str">
        <f>'Nach Mannschaften sortiert'!C11</f>
        <v>KM</v>
      </c>
      <c r="J11" s="83" t="s">
        <v>79</v>
      </c>
      <c r="K11" s="94" t="s">
        <v>80</v>
      </c>
      <c r="L11" s="94" t="s">
        <v>81</v>
      </c>
    </row>
    <row r="12" spans="1:12" x14ac:dyDescent="0.3">
      <c r="B12" s="95">
        <f>'Nach Mannschaften sortiert'!D12</f>
        <v>46243</v>
      </c>
      <c r="C12" s="96">
        <f>'Nach Mannschaften sortiert'!E12</f>
        <v>0.45833333333333331</v>
      </c>
      <c r="D12" s="96">
        <f t="shared" si="1"/>
        <v>0.53125</v>
      </c>
      <c r="E12" s="96" t="str">
        <f>UPPER('Nach Mannschaften sortiert'!F12)</f>
        <v>WIENER NEUDORF</v>
      </c>
      <c r="G12" s="94" t="str">
        <f>'Nach Mannschaften sortiert'!H12</f>
        <v>Auswärts</v>
      </c>
      <c r="H12" s="94" t="str">
        <f>'Nach Mannschaften sortiert'!G12</f>
        <v>Wiener Neudorf</v>
      </c>
      <c r="I12" s="94" t="str">
        <f>'Nach Mannschaften sortiert'!C12</f>
        <v>U16</v>
      </c>
      <c r="J12" s="83" t="s">
        <v>79</v>
      </c>
      <c r="K12" s="94" t="s">
        <v>80</v>
      </c>
      <c r="L12" s="94" t="s">
        <v>81</v>
      </c>
    </row>
    <row r="13" spans="1:12" s="94" customFormat="1" x14ac:dyDescent="0.3">
      <c r="A13" s="83"/>
      <c r="B13" s="95">
        <f>'Nach Mannschaften sortiert'!D13</f>
        <v>46243</v>
      </c>
      <c r="C13" s="96">
        <f>'Nach Mannschaften sortiert'!E13</f>
        <v>0.625</v>
      </c>
      <c r="D13" s="96">
        <f t="shared" si="1"/>
        <v>0.6875</v>
      </c>
      <c r="E13" s="96" t="str">
        <f>UPPER('Nach Mannschaften sortiert'!F13)</f>
        <v>GROßHÖFLEIN</v>
      </c>
      <c r="F13" s="83"/>
      <c r="G13" s="94" t="str">
        <f>'Nach Mannschaften sortiert'!H13</f>
        <v>Heim</v>
      </c>
      <c r="H13" s="94" t="str">
        <f>'Nach Mannschaften sortiert'!G13</f>
        <v>Vienna U13</v>
      </c>
      <c r="I13" s="94" t="str">
        <f>'Nach Mannschaften sortiert'!C13</f>
        <v>U14</v>
      </c>
      <c r="J13" s="83" t="s">
        <v>79</v>
      </c>
      <c r="K13" s="94" t="s">
        <v>80</v>
      </c>
      <c r="L13" s="94" t="s">
        <v>81</v>
      </c>
    </row>
    <row r="14" spans="1:12" s="94" customFormat="1" x14ac:dyDescent="0.3">
      <c r="A14" s="83"/>
      <c r="B14" s="95">
        <f>'Nach Mannschaften sortiert'!D14</f>
        <v>46247</v>
      </c>
      <c r="C14" s="96">
        <f>'Nach Mannschaften sortiert'!E14</f>
        <v>0.75</v>
      </c>
      <c r="D14" s="96">
        <f t="shared" si="1"/>
        <v>0.8125</v>
      </c>
      <c r="E14" s="96" t="str">
        <f>UPPER('Nach Mannschaften sortiert'!F14)</f>
        <v>OGGAU</v>
      </c>
      <c r="F14" s="83"/>
      <c r="G14" s="94" t="str">
        <f>'Nach Mannschaften sortiert'!H14</f>
        <v>Auswärts</v>
      </c>
      <c r="H14" s="94" t="str">
        <f>'Nach Mannschaften sortiert'!G14</f>
        <v>Oggau</v>
      </c>
      <c r="I14" s="94" t="str">
        <f>'Nach Mannschaften sortiert'!C14</f>
        <v>U14</v>
      </c>
      <c r="J14" s="83" t="s">
        <v>79</v>
      </c>
      <c r="K14" s="94" t="s">
        <v>80</v>
      </c>
      <c r="L14" s="94" t="s">
        <v>81</v>
      </c>
    </row>
    <row r="15" spans="1:12" s="94" customFormat="1" x14ac:dyDescent="0.3">
      <c r="A15" s="83"/>
      <c r="B15" s="95">
        <f>'Nach Mannschaften sortiert'!D15</f>
        <v>46255</v>
      </c>
      <c r="C15" s="96">
        <f>'Nach Mannschaften sortiert'!E15</f>
        <v>0.75</v>
      </c>
      <c r="D15" s="96">
        <f t="shared" si="1"/>
        <v>0.8125</v>
      </c>
      <c r="E15" s="96" t="str">
        <f>UPPER('Nach Mannschaften sortiert'!F15)</f>
        <v>GROßHÖFLEIN</v>
      </c>
      <c r="F15" s="83"/>
      <c r="G15" s="94" t="str">
        <f>'Nach Mannschaften sortiert'!H15</f>
        <v>Heim</v>
      </c>
      <c r="H15" s="94" t="str">
        <f>'Nach Mannschaften sortiert'!G15</f>
        <v>Bad Erlach</v>
      </c>
      <c r="I15" s="94" t="str">
        <f>'Nach Mannschaften sortiert'!C15</f>
        <v>U14</v>
      </c>
      <c r="J15" s="83" t="s">
        <v>79</v>
      </c>
      <c r="K15" s="94" t="s">
        <v>80</v>
      </c>
      <c r="L15" s="94" t="s">
        <v>81</v>
      </c>
    </row>
    <row r="16" spans="1:12" s="94" customFormat="1" x14ac:dyDescent="0.3">
      <c r="A16" s="83"/>
      <c r="B16" s="95">
        <f>'Nach Mannschaften sortiert'!D16</f>
        <v>46256</v>
      </c>
      <c r="C16" s="96">
        <f>'Nach Mannschaften sortiert'!E16</f>
        <v>0.70833333333333337</v>
      </c>
      <c r="D16" s="96">
        <f t="shared" si="1"/>
        <v>0.78125</v>
      </c>
      <c r="E16" s="96" t="str">
        <f>UPPER('Nach Mannschaften sortiert'!F16)</f>
        <v>LAXENBURG</v>
      </c>
      <c r="F16" s="83"/>
      <c r="G16" s="94" t="str">
        <f>'Nach Mannschaften sortiert'!H16</f>
        <v>Auswärts</v>
      </c>
      <c r="H16" s="94" t="str">
        <f>'Nach Mannschaften sortiert'!G16</f>
        <v>Laxenburg</v>
      </c>
      <c r="I16" s="94" t="str">
        <f>'Nach Mannschaften sortiert'!C16</f>
        <v>U16</v>
      </c>
      <c r="J16" s="83" t="s">
        <v>79</v>
      </c>
      <c r="K16" s="94" t="s">
        <v>80</v>
      </c>
      <c r="L16" s="94" t="s">
        <v>81</v>
      </c>
    </row>
    <row r="17" spans="2:12" x14ac:dyDescent="0.3">
      <c r="B17" s="95">
        <f>'Nach Mannschaften sortiert'!D17</f>
        <v>46260</v>
      </c>
      <c r="C17" s="96">
        <f>'Nach Mannschaften sortiert'!E17</f>
        <v>0.41666666666666669</v>
      </c>
      <c r="D17" s="96">
        <f t="shared" si="1"/>
        <v>0.48958333333333337</v>
      </c>
      <c r="E17" s="96" t="str">
        <f>UPPER('Nach Mannschaften sortiert'!F17)</f>
        <v>NEUFELD</v>
      </c>
      <c r="G17" s="94" t="str">
        <f>'Nach Mannschaften sortiert'!H17</f>
        <v>Heim</v>
      </c>
      <c r="H17" s="94" t="str">
        <f>'Nach Mannschaften sortiert'!G17</f>
        <v>Traiskirchen</v>
      </c>
      <c r="I17" s="94" t="str">
        <f>'Nach Mannschaften sortiert'!C17</f>
        <v>U16</v>
      </c>
      <c r="J17" s="83" t="s">
        <v>275</v>
      </c>
      <c r="K17" s="94" t="s">
        <v>80</v>
      </c>
      <c r="L17" s="94" t="s">
        <v>81</v>
      </c>
    </row>
    <row r="18" spans="2:12" x14ac:dyDescent="0.3">
      <c r="B18" s="95">
        <f>'Nach Mannschaften sortiert'!D18</f>
        <v>46260</v>
      </c>
      <c r="C18" s="96">
        <f>'Nach Mannschaften sortiert'!E18</f>
        <v>0.79166666666666663</v>
      </c>
      <c r="D18" s="96">
        <f t="shared" si="1"/>
        <v>0.85416666666666663</v>
      </c>
      <c r="E18" s="96" t="str">
        <f>UPPER('Nach Mannschaften sortiert'!F18)</f>
        <v>GROßHÖFLEIN</v>
      </c>
      <c r="G18" s="94" t="str">
        <f>'Nach Mannschaften sortiert'!H18</f>
        <v>Heim</v>
      </c>
      <c r="H18" s="94" t="str">
        <f>'Nach Mannschaften sortiert'!G18</f>
        <v>SPG Leitha/Stotzing</v>
      </c>
      <c r="I18" s="94" t="str">
        <f>'Nach Mannschaften sortiert'!C18</f>
        <v>U14</v>
      </c>
      <c r="J18" s="83" t="s">
        <v>79</v>
      </c>
      <c r="K18" s="94" t="s">
        <v>80</v>
      </c>
      <c r="L18" s="94" t="s">
        <v>81</v>
      </c>
    </row>
    <row r="19" spans="2:12" x14ac:dyDescent="0.3">
      <c r="B19" s="95">
        <f>'Nach Mannschaften sortiert'!D19</f>
        <v>46263</v>
      </c>
      <c r="C19" s="96">
        <f>'Nach Mannschaften sortiert'!E19</f>
        <v>0.4375</v>
      </c>
      <c r="D19" s="96">
        <f t="shared" si="1"/>
        <v>0.5</v>
      </c>
      <c r="E19" s="96" t="str">
        <f>UPPER('Nach Mannschaften sortiert'!F19)</f>
        <v>GROßHÖFLEIN</v>
      </c>
      <c r="G19" s="94" t="str">
        <f>'Nach Mannschaften sortiert'!H19</f>
        <v>Heim</v>
      </c>
      <c r="H19" s="94" t="str">
        <f>'Nach Mannschaften sortiert'!G19</f>
        <v>Oggau</v>
      </c>
      <c r="I19" s="94" t="str">
        <f>'Nach Mannschaften sortiert'!C19</f>
        <v>U14</v>
      </c>
      <c r="J19" s="83" t="s">
        <v>79</v>
      </c>
      <c r="K19" s="94" t="s">
        <v>80</v>
      </c>
      <c r="L19" s="94" t="s">
        <v>81</v>
      </c>
    </row>
    <row r="20" spans="2:12" x14ac:dyDescent="0.3">
      <c r="B20" s="95">
        <f>'Nach Mannschaften sortiert'!D20</f>
        <v>46264</v>
      </c>
      <c r="C20" s="96">
        <f>'Nach Mannschaften sortiert'!E20</f>
        <v>0.4375</v>
      </c>
      <c r="D20" s="96">
        <f t="shared" si="1"/>
        <v>0.51041666666666663</v>
      </c>
      <c r="E20" s="96" t="str">
        <f>UPPER('Nach Mannschaften sortiert'!F20)</f>
        <v>THERESIENFELD</v>
      </c>
      <c r="G20" s="94" t="str">
        <f>'Nach Mannschaften sortiert'!H20</f>
        <v>Auswärts</v>
      </c>
      <c r="H20" s="94" t="str">
        <f>'Nach Mannschaften sortiert'!G20</f>
        <v>SPG Theresienfeld</v>
      </c>
      <c r="I20" s="94" t="str">
        <f>'Nach Mannschaften sortiert'!C20</f>
        <v>U16</v>
      </c>
      <c r="J20" s="83" t="s">
        <v>79</v>
      </c>
      <c r="K20" s="94" t="s">
        <v>80</v>
      </c>
      <c r="L20" s="94" t="s">
        <v>81</v>
      </c>
    </row>
    <row r="21" spans="2:12" x14ac:dyDescent="0.3">
      <c r="B21" s="95">
        <f>'Nach Mannschaften sortiert'!D21</f>
        <v>46445</v>
      </c>
      <c r="C21" s="96">
        <f>'Nach Mannschaften sortiert'!E21</f>
        <v>0.5</v>
      </c>
      <c r="D21" s="96">
        <f t="shared" si="1"/>
        <v>0.57291666666666663</v>
      </c>
      <c r="E21" s="96" t="str">
        <f>UPPER('Nach Mannschaften sortiert'!F21)</f>
        <v>BAD ERLACH</v>
      </c>
      <c r="G21" s="94" t="str">
        <f>'Nach Mannschaften sortiert'!H21</f>
        <v>Auswärts</v>
      </c>
      <c r="H21" s="94" t="str">
        <f>'Nach Mannschaften sortiert'!G21</f>
        <v>Bad Erlach</v>
      </c>
      <c r="I21" s="94" t="str">
        <f>'Nach Mannschaften sortiert'!C21</f>
        <v>KM</v>
      </c>
      <c r="J21" s="83" t="s">
        <v>79</v>
      </c>
      <c r="K21" s="94" t="s">
        <v>80</v>
      </c>
      <c r="L21" s="94" t="s">
        <v>81</v>
      </c>
    </row>
    <row r="22" spans="2:12" x14ac:dyDescent="0.3">
      <c r="B22" s="95">
        <f>'Nach Mannschaften sortiert'!D22</f>
        <v>46250</v>
      </c>
      <c r="C22" s="96">
        <f>'Nach Mannschaften sortiert'!E22</f>
        <v>0.72916666666666663</v>
      </c>
      <c r="D22" s="96">
        <f t="shared" si="0"/>
        <v>0.80208333333333326</v>
      </c>
      <c r="E22" s="96" t="str">
        <f>UPPER('Nach Mannschaften sortiert'!F22)</f>
        <v>KITTSEE</v>
      </c>
      <c r="G22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KM</v>
      </c>
      <c r="J22" s="83" t="s">
        <v>79</v>
      </c>
      <c r="K22" t="s">
        <v>82</v>
      </c>
      <c r="L22" t="s">
        <v>81</v>
      </c>
    </row>
    <row r="23" spans="2:12" x14ac:dyDescent="0.3">
      <c r="B23" s="95">
        <f>'Nach Mannschaften sortiert'!D23</f>
        <v>46255</v>
      </c>
      <c r="C23" s="96">
        <f>'Nach Mannschaften sortiert'!E23</f>
        <v>0.83333333333333337</v>
      </c>
      <c r="D23" s="96">
        <f t="shared" si="0"/>
        <v>0.90625</v>
      </c>
      <c r="E23" s="96" t="str">
        <f>UPPER('Nach Mannschaften sortiert'!F23)</f>
        <v>DEUTSCH JAHRNDORF</v>
      </c>
      <c r="G23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KM</v>
      </c>
      <c r="J23" s="83" t="s">
        <v>79</v>
      </c>
      <c r="K23" t="s">
        <v>82</v>
      </c>
      <c r="L23" t="s">
        <v>81</v>
      </c>
    </row>
    <row r="24" spans="2:12" x14ac:dyDescent="0.3">
      <c r="B24" s="95">
        <f>'Nach Mannschaften sortiert'!D24</f>
        <v>46263</v>
      </c>
      <c r="C24" s="96">
        <f>'Nach Mannschaften sortiert'!E24</f>
        <v>0.75</v>
      </c>
      <c r="D24" s="96">
        <f t="shared" si="0"/>
        <v>0.82291666666666663</v>
      </c>
      <c r="E24" s="96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KM</v>
      </c>
      <c r="J24" s="83" t="s">
        <v>79</v>
      </c>
      <c r="K24" t="s">
        <v>82</v>
      </c>
      <c r="L24" t="s">
        <v>81</v>
      </c>
    </row>
    <row r="25" spans="2:12" x14ac:dyDescent="0.3">
      <c r="B25" s="95">
        <f>'Nach Mannschaften sortiert'!D25</f>
        <v>46270</v>
      </c>
      <c r="C25" s="96">
        <f>'Nach Mannschaften sortiert'!E25</f>
        <v>0.6875</v>
      </c>
      <c r="D25" s="96">
        <f t="shared" si="0"/>
        <v>0.76041666666666663</v>
      </c>
      <c r="E25" s="96" t="str">
        <f>UPPER('Nach Mannschaften sortiert'!F25)</f>
        <v>MÖNCHHOF</v>
      </c>
      <c r="G25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KM</v>
      </c>
      <c r="J25" s="83" t="s">
        <v>79</v>
      </c>
      <c r="K25" t="s">
        <v>82</v>
      </c>
      <c r="L25" t="s">
        <v>81</v>
      </c>
    </row>
    <row r="26" spans="2:12" x14ac:dyDescent="0.3">
      <c r="B26" s="95">
        <f>'Nach Mannschaften sortiert'!D26</f>
        <v>46276</v>
      </c>
      <c r="C26" s="96">
        <f>'Nach Mannschaften sortiert'!E26</f>
        <v>0.8125</v>
      </c>
      <c r="D26" s="96">
        <f t="shared" si="0"/>
        <v>0.88541666666666663</v>
      </c>
      <c r="E26" s="96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KM</v>
      </c>
      <c r="J26" s="83" t="s">
        <v>79</v>
      </c>
      <c r="K26" t="s">
        <v>82</v>
      </c>
      <c r="L26" t="s">
        <v>81</v>
      </c>
    </row>
    <row r="27" spans="2:12" x14ac:dyDescent="0.3">
      <c r="B27" s="95">
        <f>'Nach Mannschaften sortiert'!D27</f>
        <v>46284</v>
      </c>
      <c r="C27" s="96">
        <f>'Nach Mannschaften sortiert'!E27</f>
        <v>0.66666666666666663</v>
      </c>
      <c r="D27" s="96">
        <f t="shared" si="0"/>
        <v>0.73958333333333326</v>
      </c>
      <c r="E27" s="96" t="str">
        <f>UPPER('Nach Mannschaften sortiert'!F27)</f>
        <v>GATTENDORF</v>
      </c>
      <c r="G27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KM</v>
      </c>
      <c r="J27" s="83" t="s">
        <v>79</v>
      </c>
      <c r="K27" t="s">
        <v>82</v>
      </c>
      <c r="L27" t="s">
        <v>81</v>
      </c>
    </row>
    <row r="28" spans="2:12" x14ac:dyDescent="0.3">
      <c r="B28" s="95">
        <f>'Nach Mannschaften sortiert'!D28</f>
        <v>46291</v>
      </c>
      <c r="C28" s="96">
        <f>'Nach Mannschaften sortiert'!E28</f>
        <v>0.75</v>
      </c>
      <c r="D28" s="96">
        <f t="shared" si="0"/>
        <v>0.82291666666666663</v>
      </c>
      <c r="E28" s="96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KM</v>
      </c>
      <c r="J28" s="83" t="s">
        <v>79</v>
      </c>
      <c r="K28" t="s">
        <v>82</v>
      </c>
      <c r="L28" t="s">
        <v>81</v>
      </c>
    </row>
    <row r="29" spans="2:12" x14ac:dyDescent="0.3">
      <c r="B29" s="95">
        <f>'Nach Mannschaften sortiert'!D29</f>
        <v>46297</v>
      </c>
      <c r="C29" s="96">
        <f>'Nach Mannschaften sortiert'!E29</f>
        <v>0.79166666666666663</v>
      </c>
      <c r="D29" s="96">
        <f t="shared" si="0"/>
        <v>0.86458333333333326</v>
      </c>
      <c r="E29" s="96" t="str">
        <f>UPPER('Nach Mannschaften sortiert'!F29)</f>
        <v>SIEGENDORF</v>
      </c>
      <c r="G29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KM</v>
      </c>
      <c r="J29" s="83" t="s">
        <v>79</v>
      </c>
      <c r="K29" t="s">
        <v>82</v>
      </c>
      <c r="L29" t="s">
        <v>81</v>
      </c>
    </row>
    <row r="30" spans="2:12" x14ac:dyDescent="0.3">
      <c r="B30" s="95">
        <f>'Nach Mannschaften sortiert'!D30</f>
        <v>46304</v>
      </c>
      <c r="C30" s="96">
        <f>'Nach Mannschaften sortiert'!E30</f>
        <v>0.8125</v>
      </c>
      <c r="D30" s="96">
        <f t="shared" si="0"/>
        <v>0.88541666666666663</v>
      </c>
      <c r="E30" s="96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KM</v>
      </c>
      <c r="J30" s="83" t="s">
        <v>79</v>
      </c>
      <c r="K30" t="s">
        <v>82</v>
      </c>
      <c r="L30" t="s">
        <v>81</v>
      </c>
    </row>
    <row r="31" spans="2:12" x14ac:dyDescent="0.3">
      <c r="B31" s="95">
        <f>'Nach Mannschaften sortiert'!D31</f>
        <v>46311</v>
      </c>
      <c r="C31" s="96">
        <f>'Nach Mannschaften sortiert'!E31</f>
        <v>0.8125</v>
      </c>
      <c r="D31" s="96">
        <f t="shared" si="0"/>
        <v>0.88541666666666663</v>
      </c>
      <c r="E31" s="96" t="str">
        <f>UPPER('Nach Mannschaften sortiert'!F31)</f>
        <v>HORNSTEIN</v>
      </c>
      <c r="G31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KM</v>
      </c>
      <c r="J31" s="83" t="s">
        <v>79</v>
      </c>
      <c r="K31" t="s">
        <v>82</v>
      </c>
      <c r="L31" t="s">
        <v>81</v>
      </c>
    </row>
    <row r="32" spans="2:12" x14ac:dyDescent="0.3">
      <c r="B32" s="95">
        <f>'Nach Mannschaften sortiert'!D32</f>
        <v>46319</v>
      </c>
      <c r="C32" s="96">
        <f>'Nach Mannschaften sortiert'!E32</f>
        <v>0.70833333333333337</v>
      </c>
      <c r="D32" s="96">
        <f t="shared" si="0"/>
        <v>0.78125</v>
      </c>
      <c r="E32" s="96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KM</v>
      </c>
      <c r="J32" s="83" t="s">
        <v>79</v>
      </c>
      <c r="K32" t="s">
        <v>82</v>
      </c>
      <c r="L32" t="s">
        <v>81</v>
      </c>
    </row>
    <row r="33" spans="2:12" x14ac:dyDescent="0.3">
      <c r="B33" s="95">
        <f>'Nach Mannschaften sortiert'!D33</f>
        <v>46326</v>
      </c>
      <c r="C33" s="96">
        <f>'Nach Mannschaften sortiert'!E33</f>
        <v>0.75</v>
      </c>
      <c r="D33" s="96">
        <f t="shared" si="0"/>
        <v>0.82291666666666663</v>
      </c>
      <c r="E33" s="96" t="str">
        <f>UPPER('Nach Mannschaften sortiert'!F33)</f>
        <v>ILLMITZ</v>
      </c>
      <c r="G33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KM</v>
      </c>
      <c r="J33" s="83" t="s">
        <v>79</v>
      </c>
      <c r="K33" t="s">
        <v>82</v>
      </c>
      <c r="L33" t="s">
        <v>81</v>
      </c>
    </row>
    <row r="34" spans="2:12" x14ac:dyDescent="0.3">
      <c r="B34" s="95">
        <f>'Nach Mannschaften sortiert'!D34</f>
        <v>46333</v>
      </c>
      <c r="C34" s="96">
        <f>'Nach Mannschaften sortiert'!E34</f>
        <v>0.6875</v>
      </c>
      <c r="D34" s="96">
        <f t="shared" si="0"/>
        <v>0.76041666666666663</v>
      </c>
      <c r="E34" s="96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KM</v>
      </c>
      <c r="J34" s="83" t="s">
        <v>79</v>
      </c>
      <c r="K34" t="s">
        <v>82</v>
      </c>
      <c r="L34" t="s">
        <v>81</v>
      </c>
    </row>
    <row r="35" spans="2:12" x14ac:dyDescent="0.3">
      <c r="B35" s="95">
        <f>'Nach Mannschaften sortiert'!D35</f>
        <v>46250</v>
      </c>
      <c r="C35" s="96">
        <f>'Nach Mannschaften sortiert'!E35</f>
        <v>0.64583333333333337</v>
      </c>
      <c r="D35" s="96">
        <f t="shared" si="0"/>
        <v>0.71875</v>
      </c>
      <c r="E35" s="96" t="str">
        <f>UPPER('Nach Mannschaften sortiert'!F35)</f>
        <v>KITTSEE</v>
      </c>
      <c r="G35" t="str">
        <f>'Nach Mannschaften sortiert'!H35</f>
        <v>Auswärts</v>
      </c>
      <c r="H35" t="str">
        <f>'Nach Mannschaften sortiert'!G35</f>
        <v>Kittsee</v>
      </c>
      <c r="I35" t="str">
        <f>'Nach Mannschaften sortiert'!C35</f>
        <v>U23</v>
      </c>
      <c r="J35" s="83" t="s">
        <v>79</v>
      </c>
      <c r="K35" t="s">
        <v>82</v>
      </c>
      <c r="L35" t="s">
        <v>81</v>
      </c>
    </row>
    <row r="36" spans="2:12" x14ac:dyDescent="0.3">
      <c r="B36" s="95">
        <f>'Nach Mannschaften sortiert'!D36</f>
        <v>46255</v>
      </c>
      <c r="C36" s="96">
        <f>'Nach Mannschaften sortiert'!E36</f>
        <v>0.75</v>
      </c>
      <c r="D36" s="96">
        <f t="shared" si="0"/>
        <v>0.82291666666666663</v>
      </c>
      <c r="E36" s="96" t="str">
        <f>UPPER('Nach Mannschaften sortiert'!F36)</f>
        <v>DEUTSCH JAHRNDORF</v>
      </c>
      <c r="G36" t="str">
        <f>'Nach Mannschaften sortiert'!H36</f>
        <v>Auswärts</v>
      </c>
      <c r="H36" t="str">
        <f>'Nach Mannschaften sortiert'!G36</f>
        <v>Deutsch Jahrndorf</v>
      </c>
      <c r="I36" t="str">
        <f>'Nach Mannschaften sortiert'!C36</f>
        <v>U23</v>
      </c>
      <c r="J36" s="83" t="s">
        <v>79</v>
      </c>
      <c r="K36" t="s">
        <v>82</v>
      </c>
      <c r="L36" t="s">
        <v>81</v>
      </c>
    </row>
    <row r="37" spans="2:12" x14ac:dyDescent="0.3">
      <c r="B37" s="95">
        <f>'Nach Mannschaften sortiert'!D37</f>
        <v>46263</v>
      </c>
      <c r="C37" s="96">
        <f>'Nach Mannschaften sortiert'!E37</f>
        <v>0.66666666666666663</v>
      </c>
      <c r="D37" s="96">
        <f t="shared" si="0"/>
        <v>0.73958333333333326</v>
      </c>
      <c r="E37" s="96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Tadten</v>
      </c>
      <c r="I37" t="str">
        <f>'Nach Mannschaften sortiert'!C37</f>
        <v>U23</v>
      </c>
      <c r="J37" s="83" t="s">
        <v>79</v>
      </c>
      <c r="K37" t="s">
        <v>82</v>
      </c>
      <c r="L37" t="s">
        <v>81</v>
      </c>
    </row>
    <row r="38" spans="2:12" x14ac:dyDescent="0.3">
      <c r="B38" s="95">
        <f>'Nach Mannschaften sortiert'!D38</f>
        <v>46270</v>
      </c>
      <c r="C38" s="96">
        <f>'Nach Mannschaften sortiert'!E38</f>
        <v>0.60416666666666663</v>
      </c>
      <c r="D38" s="96">
        <f t="shared" ref="D38:D69" si="2">IF(I38 = "KM",C38+"1:45",IF(I38="U23",C38+"1:45",IF(I38 = "U16",C38+"1:45",IF(I38 = "U15",C38+"1:30",IF(I38 = "U14",C38+"1:30",IF(I38 = "U13",C38+"1:35",IF(I38 = "U12",C38+"1:10",IF(I38 = "U11",C38+"1:10",IF(I38 = "U10",C38+"1:03",C38+"3:00")))))))))</f>
        <v>0.67708333333333326</v>
      </c>
      <c r="E38" s="96" t="str">
        <f>UPPER('Nach Mannschaften sortiert'!F38)</f>
        <v>MÖNCHHOF</v>
      </c>
      <c r="G38" t="str">
        <f>'Nach Mannschaften sortiert'!H38</f>
        <v>Auswärts</v>
      </c>
      <c r="H38" t="str">
        <f>'Nach Mannschaften sortiert'!G38</f>
        <v>Mönchhof</v>
      </c>
      <c r="I38" t="str">
        <f>'Nach Mannschaften sortiert'!C38</f>
        <v>U23</v>
      </c>
      <c r="J38" s="83" t="s">
        <v>79</v>
      </c>
      <c r="K38" t="s">
        <v>82</v>
      </c>
      <c r="L38" t="s">
        <v>81</v>
      </c>
    </row>
    <row r="39" spans="2:12" x14ac:dyDescent="0.3">
      <c r="B39" s="95">
        <f>'Nach Mannschaften sortiert'!D39</f>
        <v>46276</v>
      </c>
      <c r="C39" s="96">
        <f>'Nach Mannschaften sortiert'!E39</f>
        <v>0.72916666666666663</v>
      </c>
      <c r="D39" s="96">
        <f t="shared" si="2"/>
        <v>0.80208333333333326</v>
      </c>
      <c r="E39" s="96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Winden</v>
      </c>
      <c r="I39" t="str">
        <f>'Nach Mannschaften sortiert'!C39</f>
        <v>U23</v>
      </c>
      <c r="J39" s="83" t="s">
        <v>79</v>
      </c>
      <c r="K39" t="s">
        <v>82</v>
      </c>
      <c r="L39" t="s">
        <v>81</v>
      </c>
    </row>
    <row r="40" spans="2:12" x14ac:dyDescent="0.3">
      <c r="B40" s="95">
        <f>'Nach Mannschaften sortiert'!D40</f>
        <v>46284</v>
      </c>
      <c r="C40" s="96">
        <f>'Nach Mannschaften sortiert'!E40</f>
        <v>0.58333333333333337</v>
      </c>
      <c r="D40" s="96">
        <f t="shared" si="2"/>
        <v>0.65625</v>
      </c>
      <c r="E40" s="96" t="str">
        <f>UPPER('Nach Mannschaften sortiert'!F40)</f>
        <v>GATTENDORF</v>
      </c>
      <c r="G40" t="str">
        <f>'Nach Mannschaften sortiert'!H40</f>
        <v>Auswärts</v>
      </c>
      <c r="H40" t="str">
        <f>'Nach Mannschaften sortiert'!G40</f>
        <v>Gattendorf</v>
      </c>
      <c r="I40" t="str">
        <f>'Nach Mannschaften sortiert'!C40</f>
        <v>U23</v>
      </c>
      <c r="J40" s="83" t="s">
        <v>79</v>
      </c>
      <c r="K40" t="s">
        <v>82</v>
      </c>
      <c r="L40" t="s">
        <v>81</v>
      </c>
    </row>
    <row r="41" spans="2:12" x14ac:dyDescent="0.3">
      <c r="B41" s="95">
        <f>'Nach Mannschaften sortiert'!D41</f>
        <v>46291</v>
      </c>
      <c r="C41" s="96">
        <f>'Nach Mannschaften sortiert'!E41</f>
        <v>0.66666666666666663</v>
      </c>
      <c r="D41" s="96">
        <f t="shared" si="2"/>
        <v>0.73958333333333326</v>
      </c>
      <c r="E41" s="96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Wallern</v>
      </c>
      <c r="I41" t="str">
        <f>'Nach Mannschaften sortiert'!C41</f>
        <v>U23</v>
      </c>
      <c r="J41" s="83" t="s">
        <v>79</v>
      </c>
      <c r="K41" t="s">
        <v>82</v>
      </c>
      <c r="L41" t="s">
        <v>81</v>
      </c>
    </row>
    <row r="42" spans="2:12" x14ac:dyDescent="0.3">
      <c r="B42" s="95">
        <f>'Nach Mannschaften sortiert'!D42</f>
        <v>46298</v>
      </c>
      <c r="C42" s="96">
        <f>'Nach Mannschaften sortiert'!E42</f>
        <v>0.70833333333333337</v>
      </c>
      <c r="D42" s="96">
        <f t="shared" si="2"/>
        <v>0.78125</v>
      </c>
      <c r="E42" s="96" t="str">
        <f>UPPER('Nach Mannschaften sortiert'!F42)</f>
        <v>SIEGENDORF</v>
      </c>
      <c r="G42" t="str">
        <f>'Nach Mannschaften sortiert'!H42</f>
        <v>Auswärts</v>
      </c>
      <c r="H42" t="str">
        <f>'Nach Mannschaften sortiert'!G42</f>
        <v>Siegendorf</v>
      </c>
      <c r="I42" t="str">
        <f>'Nach Mannschaften sortiert'!C42</f>
        <v>U23</v>
      </c>
      <c r="J42" s="83" t="s">
        <v>79</v>
      </c>
      <c r="K42" t="s">
        <v>82</v>
      </c>
      <c r="L42" t="s">
        <v>81</v>
      </c>
    </row>
    <row r="43" spans="2:12" x14ac:dyDescent="0.3">
      <c r="B43" s="95">
        <f>'Nach Mannschaften sortiert'!D43</f>
        <v>46304</v>
      </c>
      <c r="C43" s="96">
        <f>'Nach Mannschaften sortiert'!E43</f>
        <v>0.72916666666666663</v>
      </c>
      <c r="D43" s="96">
        <f t="shared" si="2"/>
        <v>0.80208333333333326</v>
      </c>
      <c r="E43" s="96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Wimpassing</v>
      </c>
      <c r="I43" t="str">
        <f>'Nach Mannschaften sortiert'!C43</f>
        <v>U23</v>
      </c>
      <c r="J43" s="83" t="s">
        <v>79</v>
      </c>
      <c r="K43" t="s">
        <v>82</v>
      </c>
      <c r="L43" t="s">
        <v>81</v>
      </c>
    </row>
    <row r="44" spans="2:12" x14ac:dyDescent="0.3">
      <c r="B44" s="95">
        <f>'Nach Mannschaften sortiert'!D44</f>
        <v>46311</v>
      </c>
      <c r="C44" s="96">
        <f>'Nach Mannschaften sortiert'!E44</f>
        <v>0.72916666666666663</v>
      </c>
      <c r="D44" s="96">
        <f t="shared" si="2"/>
        <v>0.80208333333333326</v>
      </c>
      <c r="E44" s="96" t="str">
        <f>UPPER('Nach Mannschaften sortiert'!F44)</f>
        <v>HORNSTEIN</v>
      </c>
      <c r="G44" t="str">
        <f>'Nach Mannschaften sortiert'!H44</f>
        <v>Auswärts</v>
      </c>
      <c r="H44" t="str">
        <f>'Nach Mannschaften sortiert'!G44</f>
        <v>Hornstein</v>
      </c>
      <c r="I44" t="str">
        <f>'Nach Mannschaften sortiert'!C44</f>
        <v>U23</v>
      </c>
      <c r="J44" s="83" t="s">
        <v>79</v>
      </c>
      <c r="K44" t="s">
        <v>82</v>
      </c>
      <c r="L44" t="s">
        <v>81</v>
      </c>
    </row>
    <row r="45" spans="2:12" x14ac:dyDescent="0.3">
      <c r="B45" s="95">
        <f>'Nach Mannschaften sortiert'!D45</f>
        <v>46319</v>
      </c>
      <c r="C45" s="96">
        <f>'Nach Mannschaften sortiert'!E45</f>
        <v>0.625</v>
      </c>
      <c r="D45" s="96">
        <f t="shared" si="2"/>
        <v>0.69791666666666663</v>
      </c>
      <c r="E45" s="96" t="str">
        <f>UPPER('Nach Mannschaften sortiert'!F45)</f>
        <v>NEUFELD</v>
      </c>
      <c r="G45" t="str">
        <f>'Nach Mannschaften sortiert'!H45</f>
        <v>Heim</v>
      </c>
      <c r="H45" t="str">
        <f>'Nach Mannschaften sortiert'!G45</f>
        <v>Gols</v>
      </c>
      <c r="I45" t="str">
        <f>'Nach Mannschaften sortiert'!C45</f>
        <v>U23</v>
      </c>
      <c r="J45" s="83" t="s">
        <v>79</v>
      </c>
      <c r="K45" t="s">
        <v>82</v>
      </c>
      <c r="L45" t="s">
        <v>81</v>
      </c>
    </row>
    <row r="46" spans="2:12" x14ac:dyDescent="0.3">
      <c r="B46" s="95">
        <f>'Nach Mannschaften sortiert'!D46</f>
        <v>46326</v>
      </c>
      <c r="C46" s="96">
        <f>'Nach Mannschaften sortiert'!E46</f>
        <v>0.66666666666666663</v>
      </c>
      <c r="D46" s="96">
        <f t="shared" si="2"/>
        <v>0.73958333333333326</v>
      </c>
      <c r="E46" s="96" t="str">
        <f>UPPER('Nach Mannschaften sortiert'!F46)</f>
        <v>ILLMITZ</v>
      </c>
      <c r="G46" t="str">
        <f>'Nach Mannschaften sortiert'!H46</f>
        <v>Auswärts</v>
      </c>
      <c r="H46" t="str">
        <f>'Nach Mannschaften sortiert'!G46</f>
        <v>Illmitz</v>
      </c>
      <c r="I46" t="str">
        <f>'Nach Mannschaften sortiert'!C46</f>
        <v>U23</v>
      </c>
      <c r="J46" s="83" t="s">
        <v>79</v>
      </c>
      <c r="K46" t="s">
        <v>82</v>
      </c>
      <c r="L46" t="s">
        <v>81</v>
      </c>
    </row>
    <row r="47" spans="2:12" x14ac:dyDescent="0.3">
      <c r="B47" s="95">
        <f>'Nach Mannschaften sortiert'!D47</f>
        <v>46333</v>
      </c>
      <c r="C47" s="96">
        <f>'Nach Mannschaften sortiert'!E47</f>
        <v>0.60416666666666663</v>
      </c>
      <c r="D47" s="96">
        <f t="shared" si="2"/>
        <v>0.67708333333333326</v>
      </c>
      <c r="E47" s="96" t="str">
        <f>UPPER('Nach Mannschaften sortiert'!F47)</f>
        <v>NEUFELD</v>
      </c>
      <c r="G47" t="str">
        <f>'Nach Mannschaften sortiert'!H47</f>
        <v>Heim</v>
      </c>
      <c r="H47" t="str">
        <f>'Nach Mannschaften sortiert'!G47</f>
        <v>Andau</v>
      </c>
      <c r="I47" t="str">
        <f>'Nach Mannschaften sortiert'!C47</f>
        <v>U23</v>
      </c>
      <c r="J47" s="83" t="s">
        <v>79</v>
      </c>
      <c r="K47" t="s">
        <v>82</v>
      </c>
      <c r="L47" t="s">
        <v>81</v>
      </c>
    </row>
    <row r="48" spans="2:12" x14ac:dyDescent="0.3">
      <c r="B48" s="95">
        <f>'Nach Mannschaften sortiert'!D48</f>
        <v>46023</v>
      </c>
      <c r="C48" s="96">
        <f>'Nach Mannschaften sortiert'!E48</f>
        <v>0</v>
      </c>
      <c r="D48" s="96">
        <f t="shared" si="2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3" t="s">
        <v>79</v>
      </c>
      <c r="K48" t="s">
        <v>82</v>
      </c>
      <c r="L48" t="s">
        <v>81</v>
      </c>
    </row>
    <row r="49" spans="2:12" x14ac:dyDescent="0.3">
      <c r="B49" s="95">
        <f>'Nach Mannschaften sortiert'!D49</f>
        <v>46024</v>
      </c>
      <c r="C49" s="96">
        <f>'Nach Mannschaften sortiert'!E49</f>
        <v>0</v>
      </c>
      <c r="D49" s="96">
        <f t="shared" si="2"/>
        <v>7.2916666666666671E-2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3" t="s">
        <v>79</v>
      </c>
      <c r="K49" t="s">
        <v>82</v>
      </c>
      <c r="L49" t="s">
        <v>81</v>
      </c>
    </row>
    <row r="50" spans="2:12" x14ac:dyDescent="0.3">
      <c r="B50" s="95">
        <f>'Nach Mannschaften sortiert'!D50</f>
        <v>46025</v>
      </c>
      <c r="C50" s="96">
        <f>'Nach Mannschaften sortiert'!E50</f>
        <v>0</v>
      </c>
      <c r="D50" s="96">
        <f t="shared" si="2"/>
        <v>7.2916666666666671E-2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3" t="s">
        <v>79</v>
      </c>
      <c r="K50" t="s">
        <v>82</v>
      </c>
      <c r="L50" t="s">
        <v>81</v>
      </c>
    </row>
    <row r="51" spans="2:12" x14ac:dyDescent="0.3">
      <c r="B51" s="95">
        <f>'Nach Mannschaften sortiert'!D51</f>
        <v>46026</v>
      </c>
      <c r="C51" s="96">
        <f>'Nach Mannschaften sortiert'!E51</f>
        <v>0</v>
      </c>
      <c r="D51" s="96">
        <f t="shared" si="2"/>
        <v>7.2916666666666671E-2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U16</v>
      </c>
      <c r="J51" s="83" t="s">
        <v>79</v>
      </c>
      <c r="K51" t="s">
        <v>82</v>
      </c>
      <c r="L51" t="s">
        <v>81</v>
      </c>
    </row>
    <row r="52" spans="2:12" x14ac:dyDescent="0.3">
      <c r="B52" s="95">
        <f>'Nach Mannschaften sortiert'!D52</f>
        <v>46027</v>
      </c>
      <c r="C52" s="96">
        <f>'Nach Mannschaften sortiert'!E52</f>
        <v>0</v>
      </c>
      <c r="D52" s="96">
        <f t="shared" si="2"/>
        <v>7.2916666666666671E-2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U16</v>
      </c>
      <c r="J52" s="83" t="s">
        <v>79</v>
      </c>
      <c r="K52" t="s">
        <v>82</v>
      </c>
      <c r="L52" t="s">
        <v>81</v>
      </c>
    </row>
    <row r="53" spans="2:12" x14ac:dyDescent="0.3">
      <c r="B53" s="95">
        <f>'Nach Mannschaften sortiert'!D53</f>
        <v>46028</v>
      </c>
      <c r="C53" s="96">
        <f>'Nach Mannschaften sortiert'!E53</f>
        <v>0</v>
      </c>
      <c r="D53" s="96">
        <f t="shared" si="2"/>
        <v>7.2916666666666671E-2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U16</v>
      </c>
      <c r="J53" s="83" t="s">
        <v>79</v>
      </c>
      <c r="K53" t="s">
        <v>82</v>
      </c>
      <c r="L53" t="s">
        <v>81</v>
      </c>
    </row>
    <row r="54" spans="2:12" x14ac:dyDescent="0.3">
      <c r="B54" s="95">
        <f>'Nach Mannschaften sortiert'!D54</f>
        <v>46029</v>
      </c>
      <c r="C54" s="96">
        <f>'Nach Mannschaften sortiert'!E54</f>
        <v>0</v>
      </c>
      <c r="D54" s="96">
        <f t="shared" si="2"/>
        <v>7.2916666666666671E-2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U16</v>
      </c>
      <c r="J54" s="83" t="s">
        <v>79</v>
      </c>
      <c r="K54" t="s">
        <v>82</v>
      </c>
      <c r="L54" t="s">
        <v>81</v>
      </c>
    </row>
    <row r="55" spans="2:12" x14ac:dyDescent="0.3">
      <c r="B55" s="95">
        <f>'Nach Mannschaften sortiert'!D55</f>
        <v>46030</v>
      </c>
      <c r="C55" s="96">
        <f>'Nach Mannschaften sortiert'!E55</f>
        <v>0</v>
      </c>
      <c r="D55" s="96">
        <f t="shared" si="2"/>
        <v>7.2916666666666671E-2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U16</v>
      </c>
      <c r="J55" s="83" t="s">
        <v>79</v>
      </c>
      <c r="K55" t="s">
        <v>82</v>
      </c>
      <c r="L55" t="s">
        <v>81</v>
      </c>
    </row>
    <row r="56" spans="2:12" x14ac:dyDescent="0.3">
      <c r="B56" s="95">
        <f>'Nach Mannschaften sortiert'!D56</f>
        <v>46031</v>
      </c>
      <c r="C56" s="96">
        <f>'Nach Mannschaften sortiert'!E56</f>
        <v>0</v>
      </c>
      <c r="D56" s="96">
        <f t="shared" si="2"/>
        <v>7.2916666666666671E-2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U16</v>
      </c>
      <c r="J56" s="83" t="s">
        <v>79</v>
      </c>
      <c r="K56" t="s">
        <v>82</v>
      </c>
      <c r="L56" t="s">
        <v>81</v>
      </c>
    </row>
    <row r="57" spans="2:12" x14ac:dyDescent="0.3">
      <c r="B57" s="95">
        <f>'Nach Mannschaften sortiert'!D57</f>
        <v>46032</v>
      </c>
      <c r="C57" s="96">
        <f>'Nach Mannschaften sortiert'!E57</f>
        <v>0</v>
      </c>
      <c r="D57" s="96">
        <f t="shared" si="2"/>
        <v>7.2916666666666671E-2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U16</v>
      </c>
      <c r="J57" s="83" t="s">
        <v>79</v>
      </c>
      <c r="K57" t="s">
        <v>82</v>
      </c>
      <c r="L57" t="s">
        <v>81</v>
      </c>
    </row>
    <row r="58" spans="2:12" x14ac:dyDescent="0.3">
      <c r="B58" s="95">
        <f>'Nach Mannschaften sortiert'!D58</f>
        <v>46033</v>
      </c>
      <c r="C58" s="96">
        <f>'Nach Mannschaften sortiert'!E58</f>
        <v>0</v>
      </c>
      <c r="D58" s="96">
        <f t="shared" si="2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3" t="s">
        <v>79</v>
      </c>
      <c r="K58" t="s">
        <v>82</v>
      </c>
      <c r="L58" t="s">
        <v>81</v>
      </c>
    </row>
    <row r="59" spans="2:12" x14ac:dyDescent="0.3">
      <c r="B59" s="95">
        <f>'Nach Mannschaften sortiert'!D59</f>
        <v>46034</v>
      </c>
      <c r="C59" s="96">
        <f>'Nach Mannschaften sortiert'!E59</f>
        <v>0</v>
      </c>
      <c r="D59" s="96">
        <f t="shared" si="2"/>
        <v>6.25E-2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U14</v>
      </c>
      <c r="J59" s="83" t="s">
        <v>79</v>
      </c>
      <c r="K59" t="s">
        <v>82</v>
      </c>
      <c r="L59" t="s">
        <v>81</v>
      </c>
    </row>
    <row r="60" spans="2:12" x14ac:dyDescent="0.3">
      <c r="B60" s="95">
        <f>'Nach Mannschaften sortiert'!D60</f>
        <v>46035</v>
      </c>
      <c r="C60" s="96">
        <f>'Nach Mannschaften sortiert'!E60</f>
        <v>0</v>
      </c>
      <c r="D60" s="96">
        <f t="shared" si="2"/>
        <v>6.25E-2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U14</v>
      </c>
      <c r="J60" s="83" t="s">
        <v>79</v>
      </c>
      <c r="K60" t="s">
        <v>82</v>
      </c>
      <c r="L60" t="s">
        <v>81</v>
      </c>
    </row>
    <row r="61" spans="2:12" x14ac:dyDescent="0.3">
      <c r="B61" s="95">
        <f>'Nach Mannschaften sortiert'!D61</f>
        <v>46036</v>
      </c>
      <c r="C61" s="96">
        <f>'Nach Mannschaften sortiert'!E61</f>
        <v>0</v>
      </c>
      <c r="D61" s="96">
        <f t="shared" si="2"/>
        <v>6.25E-2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U14</v>
      </c>
      <c r="J61" s="83" t="s">
        <v>79</v>
      </c>
      <c r="K61" t="s">
        <v>82</v>
      </c>
      <c r="L61" t="s">
        <v>81</v>
      </c>
    </row>
    <row r="62" spans="2:12" x14ac:dyDescent="0.3">
      <c r="B62" s="95">
        <f>'Nach Mannschaften sortiert'!D62</f>
        <v>46037</v>
      </c>
      <c r="C62" s="96">
        <f>'Nach Mannschaften sortiert'!E62</f>
        <v>0</v>
      </c>
      <c r="D62" s="96">
        <f t="shared" si="2"/>
        <v>6.25E-2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U14</v>
      </c>
      <c r="J62" s="83" t="s">
        <v>79</v>
      </c>
      <c r="K62" t="s">
        <v>82</v>
      </c>
      <c r="L62" t="s">
        <v>81</v>
      </c>
    </row>
    <row r="63" spans="2:12" x14ac:dyDescent="0.3">
      <c r="B63" s="95">
        <f>'Nach Mannschaften sortiert'!D63</f>
        <v>46038</v>
      </c>
      <c r="C63" s="96">
        <f>'Nach Mannschaften sortiert'!E63</f>
        <v>0</v>
      </c>
      <c r="D63" s="96">
        <f t="shared" si="2"/>
        <v>6.25E-2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U14</v>
      </c>
      <c r="J63" s="83" t="s">
        <v>79</v>
      </c>
      <c r="K63" t="s">
        <v>82</v>
      </c>
      <c r="L63" t="s">
        <v>81</v>
      </c>
    </row>
    <row r="64" spans="2:12" x14ac:dyDescent="0.3">
      <c r="B64" s="95">
        <f>'Nach Mannschaften sortiert'!D64</f>
        <v>46039</v>
      </c>
      <c r="C64" s="96">
        <f>'Nach Mannschaften sortiert'!E64</f>
        <v>0</v>
      </c>
      <c r="D64" s="96">
        <f t="shared" si="2"/>
        <v>6.25E-2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U14</v>
      </c>
      <c r="J64" s="83" t="s">
        <v>79</v>
      </c>
      <c r="K64" t="s">
        <v>82</v>
      </c>
      <c r="L64" t="s">
        <v>81</v>
      </c>
    </row>
    <row r="65" spans="2:12" x14ac:dyDescent="0.3">
      <c r="B65" s="95">
        <f>'Nach Mannschaften sortiert'!D65</f>
        <v>46040</v>
      </c>
      <c r="C65" s="96">
        <f>'Nach Mannschaften sortiert'!E65</f>
        <v>0</v>
      </c>
      <c r="D65" s="96">
        <f t="shared" si="2"/>
        <v>6.25E-2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U14</v>
      </c>
      <c r="J65" s="83" t="s">
        <v>79</v>
      </c>
      <c r="K65" t="s">
        <v>82</v>
      </c>
      <c r="L65" t="s">
        <v>81</v>
      </c>
    </row>
    <row r="66" spans="2:12" x14ac:dyDescent="0.3">
      <c r="B66" s="95">
        <f>'Nach Mannschaften sortiert'!D66</f>
        <v>46041</v>
      </c>
      <c r="C66" s="96">
        <f>'Nach Mannschaften sortiert'!E66</f>
        <v>0</v>
      </c>
      <c r="D66" s="96">
        <f t="shared" si="2"/>
        <v>6.25E-2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U14</v>
      </c>
      <c r="J66" s="83" t="s">
        <v>79</v>
      </c>
      <c r="K66" t="s">
        <v>82</v>
      </c>
      <c r="L66" t="s">
        <v>81</v>
      </c>
    </row>
    <row r="67" spans="2:12" x14ac:dyDescent="0.3">
      <c r="B67" s="95">
        <f>'Nach Mannschaften sortiert'!D67</f>
        <v>46042</v>
      </c>
      <c r="C67" s="96">
        <f>'Nach Mannschaften sortiert'!E67</f>
        <v>0</v>
      </c>
      <c r="D67" s="96">
        <f t="shared" si="2"/>
        <v>6.25E-2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U14</v>
      </c>
      <c r="J67" s="83" t="s">
        <v>79</v>
      </c>
      <c r="K67" t="s">
        <v>82</v>
      </c>
      <c r="L67" t="s">
        <v>81</v>
      </c>
    </row>
    <row r="68" spans="2:12" x14ac:dyDescent="0.3">
      <c r="B68" s="95">
        <f>'Nach Mannschaften sortiert'!D68</f>
        <v>46043</v>
      </c>
      <c r="C68" s="96">
        <f>'Nach Mannschaften sortiert'!E68</f>
        <v>0</v>
      </c>
      <c r="D68" s="96">
        <f t="shared" si="2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3" t="s">
        <v>79</v>
      </c>
      <c r="K68" t="s">
        <v>82</v>
      </c>
      <c r="L68" t="s">
        <v>81</v>
      </c>
    </row>
    <row r="69" spans="2:12" x14ac:dyDescent="0.3">
      <c r="B69" s="95">
        <f>'Nach Mannschaften sortiert'!D69</f>
        <v>46044</v>
      </c>
      <c r="C69" s="96">
        <f>'Nach Mannschaften sortiert'!E69</f>
        <v>0</v>
      </c>
      <c r="D69" s="96">
        <f t="shared" si="2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U12_1</v>
      </c>
      <c r="J69" s="83" t="s">
        <v>79</v>
      </c>
      <c r="K69" t="s">
        <v>82</v>
      </c>
      <c r="L69" t="s">
        <v>81</v>
      </c>
    </row>
    <row r="70" spans="2:12" x14ac:dyDescent="0.3">
      <c r="B70" s="95">
        <f>'Nach Mannschaften sortiert'!D70</f>
        <v>46045</v>
      </c>
      <c r="C70" s="96">
        <f>'Nach Mannschaften sortiert'!E70</f>
        <v>0</v>
      </c>
      <c r="D70" s="96">
        <f t="shared" ref="D70:D101" si="3">IF(I70 = "KM",C70+"1:45",IF(I70="U23",C70+"1:45",IF(I70 = "U16",C70+"1:45",IF(I70 = "U15",C70+"1:30",IF(I70 = "U14",C70+"1:30",IF(I70 = "U13",C70+"1:35",IF(I70 = "U12",C70+"1:10",IF(I70 = "U11",C70+"1:10",IF(I70 = "U10",C70+"1:03",C70+"3:00")))))))))</f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U12_1</v>
      </c>
      <c r="J70" s="83" t="s">
        <v>79</v>
      </c>
      <c r="K70" t="s">
        <v>82</v>
      </c>
      <c r="L70" t="s">
        <v>81</v>
      </c>
    </row>
    <row r="71" spans="2:12" x14ac:dyDescent="0.3">
      <c r="B71" s="95">
        <f>'Nach Mannschaften sortiert'!D71</f>
        <v>46046</v>
      </c>
      <c r="C71" s="96">
        <f>'Nach Mannschaften sortiert'!E71</f>
        <v>0</v>
      </c>
      <c r="D71" s="96">
        <f t="shared" si="3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U12_1</v>
      </c>
      <c r="J71" s="83" t="s">
        <v>79</v>
      </c>
      <c r="K71" t="s">
        <v>82</v>
      </c>
      <c r="L71" t="s">
        <v>81</v>
      </c>
    </row>
    <row r="72" spans="2:12" x14ac:dyDescent="0.3">
      <c r="B72" s="95">
        <f>'Nach Mannschaften sortiert'!D72</f>
        <v>46047</v>
      </c>
      <c r="C72" s="96">
        <f>'Nach Mannschaften sortiert'!E72</f>
        <v>0</v>
      </c>
      <c r="D72" s="96">
        <f t="shared" si="3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U12_1</v>
      </c>
      <c r="J72" s="83" t="s">
        <v>79</v>
      </c>
      <c r="K72" t="s">
        <v>82</v>
      </c>
      <c r="L72" t="s">
        <v>81</v>
      </c>
    </row>
    <row r="73" spans="2:12" x14ac:dyDescent="0.3">
      <c r="B73" s="95">
        <f>'Nach Mannschaften sortiert'!D73</f>
        <v>46048</v>
      </c>
      <c r="C73" s="96">
        <f>'Nach Mannschaften sortiert'!E73</f>
        <v>0</v>
      </c>
      <c r="D73" s="96">
        <f t="shared" si="3"/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U12_1</v>
      </c>
      <c r="J73" s="83" t="s">
        <v>79</v>
      </c>
      <c r="K73" t="s">
        <v>82</v>
      </c>
      <c r="L73" t="s">
        <v>81</v>
      </c>
    </row>
    <row r="74" spans="2:12" x14ac:dyDescent="0.3">
      <c r="B74" s="95">
        <f>'Nach Mannschaften sortiert'!D74</f>
        <v>46049</v>
      </c>
      <c r="C74" s="96">
        <f>'Nach Mannschaften sortiert'!E74</f>
        <v>0</v>
      </c>
      <c r="D74" s="96">
        <f t="shared" si="3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U12_1</v>
      </c>
      <c r="J74" s="83" t="s">
        <v>79</v>
      </c>
      <c r="K74" t="s">
        <v>82</v>
      </c>
      <c r="L74" t="s">
        <v>81</v>
      </c>
    </row>
    <row r="75" spans="2:12" x14ac:dyDescent="0.3">
      <c r="B75" s="95">
        <f>'Nach Mannschaften sortiert'!D75</f>
        <v>46050</v>
      </c>
      <c r="C75" s="96">
        <f>'Nach Mannschaften sortiert'!E75</f>
        <v>0</v>
      </c>
      <c r="D75" s="96">
        <f t="shared" si="3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U12_1</v>
      </c>
      <c r="J75" s="83" t="s">
        <v>79</v>
      </c>
      <c r="K75" t="s">
        <v>82</v>
      </c>
      <c r="L75" t="s">
        <v>81</v>
      </c>
    </row>
    <row r="76" spans="2:12" x14ac:dyDescent="0.3">
      <c r="B76" s="95">
        <f>'Nach Mannschaften sortiert'!D76</f>
        <v>46051</v>
      </c>
      <c r="C76" s="96">
        <f>'Nach Mannschaften sortiert'!E76</f>
        <v>0</v>
      </c>
      <c r="D76" s="96">
        <f t="shared" si="3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U12_1</v>
      </c>
      <c r="J76" s="83" t="s">
        <v>79</v>
      </c>
      <c r="K76" t="s">
        <v>82</v>
      </c>
      <c r="L76" t="s">
        <v>81</v>
      </c>
    </row>
    <row r="77" spans="2:12" x14ac:dyDescent="0.3">
      <c r="B77" s="95">
        <f>'Nach Mannschaften sortiert'!D77</f>
        <v>46052</v>
      </c>
      <c r="C77" s="96">
        <f>'Nach Mannschaften sortiert'!E77</f>
        <v>0</v>
      </c>
      <c r="D77" s="96">
        <f t="shared" si="3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U12_1</v>
      </c>
      <c r="J77" s="83" t="s">
        <v>79</v>
      </c>
      <c r="K77" t="s">
        <v>82</v>
      </c>
      <c r="L77" t="s">
        <v>81</v>
      </c>
    </row>
    <row r="78" spans="2:12" x14ac:dyDescent="0.3">
      <c r="B78" s="95">
        <f>'Nach Mannschaften sortiert'!D78</f>
        <v>46053</v>
      </c>
      <c r="C78" s="96">
        <f>'Nach Mannschaften sortiert'!E78</f>
        <v>0</v>
      </c>
      <c r="D78" s="96">
        <f t="shared" si="3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3" t="s">
        <v>79</v>
      </c>
      <c r="K78" t="s">
        <v>82</v>
      </c>
      <c r="L78" t="s">
        <v>81</v>
      </c>
    </row>
    <row r="79" spans="2:12" x14ac:dyDescent="0.3">
      <c r="B79" s="95">
        <f>'Nach Mannschaften sortiert'!D79</f>
        <v>46054</v>
      </c>
      <c r="C79" s="96">
        <f>'Nach Mannschaften sortiert'!E79</f>
        <v>0</v>
      </c>
      <c r="D79" s="96">
        <f t="shared" si="3"/>
        <v>0.125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U12_2</v>
      </c>
      <c r="J79" s="83" t="s">
        <v>79</v>
      </c>
      <c r="K79" t="s">
        <v>82</v>
      </c>
      <c r="L79" t="s">
        <v>81</v>
      </c>
    </row>
    <row r="80" spans="2:12" x14ac:dyDescent="0.3">
      <c r="B80" s="95">
        <f>'Nach Mannschaften sortiert'!D80</f>
        <v>46055</v>
      </c>
      <c r="C80" s="96">
        <f>'Nach Mannschaften sortiert'!E80</f>
        <v>0</v>
      </c>
      <c r="D80" s="96">
        <f t="shared" si="3"/>
        <v>0.125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U12_2</v>
      </c>
      <c r="J80" s="83" t="s">
        <v>79</v>
      </c>
      <c r="K80" t="s">
        <v>82</v>
      </c>
      <c r="L80" t="s">
        <v>81</v>
      </c>
    </row>
    <row r="81" spans="2:12" x14ac:dyDescent="0.3">
      <c r="B81" s="95">
        <f>'Nach Mannschaften sortiert'!D81</f>
        <v>46056</v>
      </c>
      <c r="C81" s="96">
        <f>'Nach Mannschaften sortiert'!E81</f>
        <v>0</v>
      </c>
      <c r="D81" s="96">
        <f t="shared" si="3"/>
        <v>0.125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U12_2</v>
      </c>
      <c r="J81" s="83" t="s">
        <v>79</v>
      </c>
      <c r="K81" t="s">
        <v>82</v>
      </c>
      <c r="L81" t="s">
        <v>81</v>
      </c>
    </row>
    <row r="82" spans="2:12" x14ac:dyDescent="0.3">
      <c r="B82" s="95">
        <f>'Nach Mannschaften sortiert'!D82</f>
        <v>46057</v>
      </c>
      <c r="C82" s="96">
        <f>'Nach Mannschaften sortiert'!E82</f>
        <v>0</v>
      </c>
      <c r="D82" s="96">
        <f t="shared" si="3"/>
        <v>0.125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U12_2</v>
      </c>
      <c r="J82" s="83" t="s">
        <v>79</v>
      </c>
      <c r="K82" t="s">
        <v>82</v>
      </c>
      <c r="L82" t="s">
        <v>81</v>
      </c>
    </row>
    <row r="83" spans="2:12" x14ac:dyDescent="0.3">
      <c r="B83" s="95">
        <f>'Nach Mannschaften sortiert'!D83</f>
        <v>46058</v>
      </c>
      <c r="C83" s="96">
        <f>'Nach Mannschaften sortiert'!E83</f>
        <v>0</v>
      </c>
      <c r="D83" s="96">
        <f t="shared" si="3"/>
        <v>0.125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U12_2</v>
      </c>
      <c r="J83" s="83" t="s">
        <v>79</v>
      </c>
      <c r="K83" t="s">
        <v>82</v>
      </c>
      <c r="L83" t="s">
        <v>81</v>
      </c>
    </row>
    <row r="84" spans="2:12" x14ac:dyDescent="0.3">
      <c r="B84" s="95">
        <f>'Nach Mannschaften sortiert'!D84</f>
        <v>46059</v>
      </c>
      <c r="C84" s="96">
        <f>'Nach Mannschaften sortiert'!E84</f>
        <v>0</v>
      </c>
      <c r="D84" s="96">
        <f t="shared" si="3"/>
        <v>0.125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U12_2</v>
      </c>
      <c r="J84" s="83" t="s">
        <v>79</v>
      </c>
      <c r="K84" t="s">
        <v>82</v>
      </c>
      <c r="L84" t="s">
        <v>81</v>
      </c>
    </row>
    <row r="85" spans="2:12" x14ac:dyDescent="0.3">
      <c r="B85" s="95">
        <f>'Nach Mannschaften sortiert'!D85</f>
        <v>46060</v>
      </c>
      <c r="C85" s="96">
        <f>'Nach Mannschaften sortiert'!E85</f>
        <v>0</v>
      </c>
      <c r="D85" s="96">
        <f t="shared" si="3"/>
        <v>0.125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U12_2</v>
      </c>
      <c r="J85" s="83" t="s">
        <v>79</v>
      </c>
      <c r="K85" t="s">
        <v>82</v>
      </c>
      <c r="L85" t="s">
        <v>81</v>
      </c>
    </row>
    <row r="86" spans="2:12" x14ac:dyDescent="0.3">
      <c r="B86" s="95">
        <f>'Nach Mannschaften sortiert'!D86</f>
        <v>46061</v>
      </c>
      <c r="C86" s="96">
        <f>'Nach Mannschaften sortiert'!E86</f>
        <v>0</v>
      </c>
      <c r="D86" s="96">
        <f t="shared" si="3"/>
        <v>0.125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U12_2</v>
      </c>
      <c r="J86" s="83" t="s">
        <v>79</v>
      </c>
      <c r="K86" t="s">
        <v>82</v>
      </c>
      <c r="L86" t="s">
        <v>81</v>
      </c>
    </row>
    <row r="87" spans="2:12" x14ac:dyDescent="0.3">
      <c r="B87" s="95">
        <f>'Nach Mannschaften sortiert'!D87</f>
        <v>46062</v>
      </c>
      <c r="C87" s="96">
        <f>'Nach Mannschaften sortiert'!E87</f>
        <v>0</v>
      </c>
      <c r="D87" s="96">
        <f t="shared" si="3"/>
        <v>0.125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U12_2</v>
      </c>
      <c r="J87" s="83" t="s">
        <v>79</v>
      </c>
      <c r="K87" t="s">
        <v>82</v>
      </c>
      <c r="L87" t="s">
        <v>81</v>
      </c>
    </row>
    <row r="88" spans="2:12" x14ac:dyDescent="0.3">
      <c r="B88" s="95">
        <f>'Nach Mannschaften sortiert'!D88</f>
        <v>46063</v>
      </c>
      <c r="C88" s="96">
        <f>'Nach Mannschaften sortiert'!E88</f>
        <v>0</v>
      </c>
      <c r="D88" s="96">
        <f t="shared" si="3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3" t="s">
        <v>79</v>
      </c>
      <c r="K88" t="s">
        <v>82</v>
      </c>
      <c r="L88" t="s">
        <v>81</v>
      </c>
    </row>
    <row r="89" spans="2:12" x14ac:dyDescent="0.3">
      <c r="B89" s="95">
        <f>'Nach Mannschaften sortiert'!D89</f>
        <v>46064</v>
      </c>
      <c r="C89" s="96">
        <f>'Nach Mannschaften sortiert'!E89</f>
        <v>0</v>
      </c>
      <c r="D89" s="96">
        <f t="shared" si="3"/>
        <v>4.8611111111111112E-2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U11</v>
      </c>
      <c r="J89" s="83" t="s">
        <v>79</v>
      </c>
      <c r="K89" t="s">
        <v>82</v>
      </c>
      <c r="L89" t="s">
        <v>81</v>
      </c>
    </row>
    <row r="90" spans="2:12" x14ac:dyDescent="0.3">
      <c r="B90" s="95">
        <f>'Nach Mannschaften sortiert'!D90</f>
        <v>46065</v>
      </c>
      <c r="C90" s="96">
        <f>'Nach Mannschaften sortiert'!E90</f>
        <v>0</v>
      </c>
      <c r="D90" s="96">
        <f t="shared" si="3"/>
        <v>4.8611111111111112E-2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U11</v>
      </c>
      <c r="J90" s="83" t="s">
        <v>79</v>
      </c>
      <c r="K90" t="s">
        <v>82</v>
      </c>
      <c r="L90" t="s">
        <v>81</v>
      </c>
    </row>
    <row r="91" spans="2:12" x14ac:dyDescent="0.3">
      <c r="B91" s="95">
        <f>'Nach Mannschaften sortiert'!D91</f>
        <v>46066</v>
      </c>
      <c r="C91" s="96">
        <f>'Nach Mannschaften sortiert'!E91</f>
        <v>0</v>
      </c>
      <c r="D91" s="96">
        <f t="shared" si="3"/>
        <v>4.8611111111111112E-2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U11</v>
      </c>
      <c r="J91" s="83" t="s">
        <v>79</v>
      </c>
      <c r="K91" t="s">
        <v>82</v>
      </c>
      <c r="L91" t="s">
        <v>81</v>
      </c>
    </row>
    <row r="92" spans="2:12" x14ac:dyDescent="0.3">
      <c r="B92" s="95">
        <f>'Nach Mannschaften sortiert'!D92</f>
        <v>46067</v>
      </c>
      <c r="C92" s="96">
        <f>'Nach Mannschaften sortiert'!E92</f>
        <v>0</v>
      </c>
      <c r="D92" s="96">
        <f t="shared" si="3"/>
        <v>4.8611111111111112E-2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U11</v>
      </c>
      <c r="J92" s="83" t="s">
        <v>79</v>
      </c>
      <c r="K92" t="s">
        <v>82</v>
      </c>
      <c r="L92" t="s">
        <v>81</v>
      </c>
    </row>
    <row r="93" spans="2:12" x14ac:dyDescent="0.3">
      <c r="B93" s="95">
        <f>'Nach Mannschaften sortiert'!D93</f>
        <v>46068</v>
      </c>
      <c r="C93" s="96">
        <f>'Nach Mannschaften sortiert'!E93</f>
        <v>0</v>
      </c>
      <c r="D93" s="96">
        <f t="shared" si="3"/>
        <v>4.8611111111111112E-2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U11</v>
      </c>
      <c r="J93" s="83" t="s">
        <v>79</v>
      </c>
      <c r="K93" t="s">
        <v>82</v>
      </c>
      <c r="L93" t="s">
        <v>81</v>
      </c>
    </row>
    <row r="94" spans="2:12" x14ac:dyDescent="0.3">
      <c r="B94" s="95">
        <f>'Nach Mannschaften sortiert'!D94</f>
        <v>46069</v>
      </c>
      <c r="C94" s="96">
        <f>'Nach Mannschaften sortiert'!E94</f>
        <v>0</v>
      </c>
      <c r="D94" s="96">
        <f t="shared" si="3"/>
        <v>4.8611111111111112E-2</v>
      </c>
      <c r="E94" s="96" t="str">
        <f>UPPER('Nach Mannschaften sortiert'!F94)</f>
        <v/>
      </c>
      <c r="G94">
        <f>'Nach Mannschaften sortiert'!H94</f>
        <v>0</v>
      </c>
      <c r="H94">
        <f>'Nach Mannschaften sortiert'!G94</f>
        <v>0</v>
      </c>
      <c r="I94" t="str">
        <f>'Nach Mannschaften sortiert'!C94</f>
        <v>U11</v>
      </c>
      <c r="J94" s="83" t="s">
        <v>79</v>
      </c>
      <c r="K94" t="s">
        <v>82</v>
      </c>
      <c r="L94" t="s">
        <v>81</v>
      </c>
    </row>
    <row r="95" spans="2:12" x14ac:dyDescent="0.3">
      <c r="B95" s="95">
        <f>'Nach Mannschaften sortiert'!D95</f>
        <v>46070</v>
      </c>
      <c r="C95" s="96">
        <f>'Nach Mannschaften sortiert'!E95</f>
        <v>0</v>
      </c>
      <c r="D95" s="96">
        <f t="shared" si="3"/>
        <v>4.8611111111111112E-2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U11</v>
      </c>
      <c r="J95" s="83" t="s">
        <v>79</v>
      </c>
      <c r="K95" t="s">
        <v>82</v>
      </c>
      <c r="L95" t="s">
        <v>81</v>
      </c>
    </row>
    <row r="96" spans="2:12" x14ac:dyDescent="0.3">
      <c r="B96" s="95">
        <f>'Nach Mannschaften sortiert'!D96</f>
        <v>46071</v>
      </c>
      <c r="C96" s="96">
        <f>'Nach Mannschaften sortiert'!E96</f>
        <v>0</v>
      </c>
      <c r="D96" s="96">
        <f t="shared" si="3"/>
        <v>4.8611111111111112E-2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U11</v>
      </c>
      <c r="J96" s="83" t="s">
        <v>79</v>
      </c>
      <c r="K96" t="s">
        <v>82</v>
      </c>
      <c r="L96" t="s">
        <v>81</v>
      </c>
    </row>
    <row r="97" spans="2:12" x14ac:dyDescent="0.3">
      <c r="B97" s="95">
        <f>'Nach Mannschaften sortiert'!D97</f>
        <v>46072</v>
      </c>
      <c r="C97" s="96">
        <f>'Nach Mannschaften sortiert'!E97</f>
        <v>0</v>
      </c>
      <c r="D97" s="96">
        <f t="shared" si="3"/>
        <v>4.8611111111111112E-2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U11</v>
      </c>
      <c r="J97" s="83" t="s">
        <v>79</v>
      </c>
      <c r="K97" t="s">
        <v>82</v>
      </c>
      <c r="L97" t="s">
        <v>81</v>
      </c>
    </row>
    <row r="98" spans="2:12" x14ac:dyDescent="0.3">
      <c r="B98" s="95">
        <f>'Nach Mannschaften sortiert'!D98</f>
        <v>46312</v>
      </c>
      <c r="C98" s="96">
        <f>'Nach Mannschaften sortiert'!E98</f>
        <v>0.39583333333333331</v>
      </c>
      <c r="D98" s="96">
        <v>0.5</v>
      </c>
      <c r="E98" s="96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3" t="s">
        <v>79</v>
      </c>
      <c r="K98" t="s">
        <v>82</v>
      </c>
      <c r="L98" t="s">
        <v>81</v>
      </c>
    </row>
    <row r="99" spans="2:12" x14ac:dyDescent="0.3">
      <c r="B99" s="95">
        <f>'Nach Mannschaften sortiert'!D99</f>
        <v>46074</v>
      </c>
      <c r="C99" s="96">
        <f>'Nach Mannschaften sortiert'!E99</f>
        <v>0</v>
      </c>
      <c r="D99" s="96">
        <f t="shared" ref="D99:D112" si="4">IF(I99 = "KM",C99+"1:45",IF(I99="U23",C99+"1:45",IF(I99 = "U16",C99+"1:45",IF(I99 = "U15",C99+"1:30",IF(I99 = "U14",C99+"1:30",IF(I99 = "U13",C99+"1:35",IF(I99 = "U12",C99+"1:10",IF(I99 = "U11",C99+"1:10",IF(I99 = "U10",C99+"1:03",C99+"3:00")))))))))</f>
        <v>4.3750000000000004E-2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U10</v>
      </c>
      <c r="J99" s="83" t="s">
        <v>79</v>
      </c>
      <c r="K99" t="s">
        <v>82</v>
      </c>
      <c r="L99" t="s">
        <v>81</v>
      </c>
    </row>
    <row r="100" spans="2:12" x14ac:dyDescent="0.3">
      <c r="B100" s="95">
        <f>'Nach Mannschaften sortiert'!D100</f>
        <v>46075</v>
      </c>
      <c r="C100" s="96">
        <f>'Nach Mannschaften sortiert'!E100</f>
        <v>0</v>
      </c>
      <c r="D100" s="96">
        <f t="shared" si="4"/>
        <v>4.3750000000000004E-2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U10</v>
      </c>
      <c r="J100" s="83" t="s">
        <v>79</v>
      </c>
      <c r="K100" t="s">
        <v>82</v>
      </c>
      <c r="L100" t="s">
        <v>81</v>
      </c>
    </row>
    <row r="101" spans="2:12" x14ac:dyDescent="0.3">
      <c r="B101" s="95">
        <f>'Nach Mannschaften sortiert'!D101</f>
        <v>46076</v>
      </c>
      <c r="C101" s="96">
        <f>'Nach Mannschaften sortiert'!E101</f>
        <v>0</v>
      </c>
      <c r="D101" s="96">
        <f t="shared" si="4"/>
        <v>4.3750000000000004E-2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U10</v>
      </c>
      <c r="J101" s="83" t="s">
        <v>79</v>
      </c>
      <c r="K101" t="s">
        <v>82</v>
      </c>
      <c r="L101" t="s">
        <v>81</v>
      </c>
    </row>
    <row r="102" spans="2:12" x14ac:dyDescent="0.3">
      <c r="B102" s="95">
        <f>'Nach Mannschaften sortiert'!D102</f>
        <v>46077</v>
      </c>
      <c r="C102" s="96">
        <f>'Nach Mannschaften sortiert'!E102</f>
        <v>0</v>
      </c>
      <c r="D102" s="96">
        <f t="shared" si="4"/>
        <v>4.3750000000000004E-2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U10</v>
      </c>
      <c r="J102" s="83" t="s">
        <v>79</v>
      </c>
      <c r="K102" t="s">
        <v>82</v>
      </c>
      <c r="L102" t="s">
        <v>81</v>
      </c>
    </row>
    <row r="103" spans="2:12" x14ac:dyDescent="0.3">
      <c r="B103" s="95">
        <f>'Nach Mannschaften sortiert'!D103</f>
        <v>46078</v>
      </c>
      <c r="C103" s="96">
        <f>'Nach Mannschaften sortiert'!E103</f>
        <v>0</v>
      </c>
      <c r="D103" s="96">
        <f t="shared" si="4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3" t="s">
        <v>79</v>
      </c>
      <c r="K103" t="s">
        <v>82</v>
      </c>
      <c r="L103" t="s">
        <v>81</v>
      </c>
    </row>
    <row r="104" spans="2:12" x14ac:dyDescent="0.3">
      <c r="B104" s="95">
        <f>'Nach Mannschaften sortiert'!D104</f>
        <v>46079</v>
      </c>
      <c r="C104" s="96">
        <f>'Nach Mannschaften sortiert'!E104</f>
        <v>0</v>
      </c>
      <c r="D104" s="96">
        <f t="shared" si="4"/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83" t="s">
        <v>79</v>
      </c>
      <c r="K104" t="s">
        <v>82</v>
      </c>
      <c r="L104" t="s">
        <v>81</v>
      </c>
    </row>
    <row r="105" spans="2:12" x14ac:dyDescent="0.3">
      <c r="B105" s="95">
        <f>'Nach Mannschaften sortiert'!D105</f>
        <v>46080</v>
      </c>
      <c r="C105" s="96">
        <f>'Nach Mannschaften sortiert'!E105</f>
        <v>0</v>
      </c>
      <c r="D105" s="96">
        <f t="shared" si="4"/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83" t="s">
        <v>79</v>
      </c>
      <c r="K105" t="s">
        <v>82</v>
      </c>
      <c r="L105" t="s">
        <v>81</v>
      </c>
    </row>
    <row r="106" spans="2:12" x14ac:dyDescent="0.3">
      <c r="B106" s="95">
        <f>'Nach Mannschaften sortiert'!D106</f>
        <v>46081</v>
      </c>
      <c r="C106" s="96">
        <f>'Nach Mannschaften sortiert'!E106</f>
        <v>0</v>
      </c>
      <c r="D106" s="96">
        <f t="shared" si="4"/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U9</v>
      </c>
      <c r="J106" s="83" t="s">
        <v>79</v>
      </c>
      <c r="K106" t="s">
        <v>82</v>
      </c>
      <c r="L106" t="s">
        <v>81</v>
      </c>
    </row>
    <row r="107" spans="2:12" x14ac:dyDescent="0.3">
      <c r="B107" s="95">
        <f>'Nach Mannschaften sortiert'!D107</f>
        <v>46082</v>
      </c>
      <c r="C107" s="96">
        <f>'Nach Mannschaften sortiert'!E107</f>
        <v>0</v>
      </c>
      <c r="D107" s="96">
        <f t="shared" si="4"/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U9</v>
      </c>
      <c r="J107" s="83" t="s">
        <v>79</v>
      </c>
      <c r="K107" t="s">
        <v>82</v>
      </c>
      <c r="L107" t="s">
        <v>81</v>
      </c>
    </row>
    <row r="108" spans="2:12" x14ac:dyDescent="0.3">
      <c r="B108" s="95">
        <f>'Nach Mannschaften sortiert'!D108</f>
        <v>46083</v>
      </c>
      <c r="C108" s="96">
        <f>'Nach Mannschaften sortiert'!E108</f>
        <v>0</v>
      </c>
      <c r="D108" s="96">
        <f t="shared" si="4"/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U9</v>
      </c>
      <c r="J108" s="83" t="s">
        <v>79</v>
      </c>
      <c r="K108" t="s">
        <v>82</v>
      </c>
      <c r="L108" t="s">
        <v>81</v>
      </c>
    </row>
    <row r="109" spans="2:12" x14ac:dyDescent="0.3">
      <c r="B109" s="95">
        <f>'Nach Mannschaften sortiert'!D109</f>
        <v>46084</v>
      </c>
      <c r="C109" s="96">
        <f>'Nach Mannschaften sortiert'!E109</f>
        <v>0</v>
      </c>
      <c r="D109" s="96">
        <f t="shared" si="4"/>
        <v>0.125</v>
      </c>
      <c r="E109" s="96" t="str">
        <f>UPPER('Nach Mannschaften sortiert'!F109)</f>
        <v/>
      </c>
      <c r="G109">
        <f>'Nach Mannschaften sortiert'!H109</f>
        <v>0</v>
      </c>
      <c r="H109">
        <f>'Nach Mannschaften sortiert'!G109</f>
        <v>0</v>
      </c>
      <c r="I109" t="str">
        <f>'Nach Mannschaften sortiert'!C109</f>
        <v>U9</v>
      </c>
      <c r="J109" s="83" t="s">
        <v>79</v>
      </c>
      <c r="K109" t="s">
        <v>82</v>
      </c>
      <c r="L109" t="s">
        <v>81</v>
      </c>
    </row>
    <row r="110" spans="2:12" x14ac:dyDescent="0.3">
      <c r="B110" s="95">
        <f>'Nach Mannschaften sortiert'!D110</f>
        <v>46085</v>
      </c>
      <c r="C110" s="96">
        <f>'Nach Mannschaften sortiert'!E110</f>
        <v>0</v>
      </c>
      <c r="D110" s="96">
        <f t="shared" si="4"/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U9</v>
      </c>
      <c r="J110" s="83" t="s">
        <v>79</v>
      </c>
      <c r="K110" t="s">
        <v>82</v>
      </c>
      <c r="L110" t="s">
        <v>81</v>
      </c>
    </row>
    <row r="111" spans="2:12" x14ac:dyDescent="0.3">
      <c r="B111" s="95">
        <f>'Nach Mannschaften sortiert'!D111</f>
        <v>46086</v>
      </c>
      <c r="C111" s="96">
        <f>'Nach Mannschaften sortiert'!E111</f>
        <v>0</v>
      </c>
      <c r="D111" s="96">
        <f t="shared" si="4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U9</v>
      </c>
      <c r="J111" s="83" t="s">
        <v>79</v>
      </c>
      <c r="K111" t="s">
        <v>82</v>
      </c>
      <c r="L111" t="s">
        <v>81</v>
      </c>
    </row>
    <row r="112" spans="2:12" x14ac:dyDescent="0.3">
      <c r="B112" s="95">
        <f>'Nach Mannschaften sortiert'!D112</f>
        <v>46087</v>
      </c>
      <c r="C112" s="96">
        <f>'Nach Mannschaften sortiert'!E112</f>
        <v>0</v>
      </c>
      <c r="D112" s="96">
        <f t="shared" si="4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U9</v>
      </c>
      <c r="J112" s="83" t="s">
        <v>79</v>
      </c>
      <c r="K112" t="s">
        <v>82</v>
      </c>
      <c r="L112" t="s">
        <v>81</v>
      </c>
    </row>
    <row r="113" spans="2:12" x14ac:dyDescent="0.3">
      <c r="B113" s="95">
        <f>'Nach Mannschaften sortiert'!D113</f>
        <v>46312</v>
      </c>
      <c r="C113" s="96">
        <f>'Nach Mannschaften sortiert'!E113</f>
        <v>0.39583333333333331</v>
      </c>
      <c r="D113" s="96">
        <v>0.5</v>
      </c>
      <c r="E113" s="96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3" t="s">
        <v>79</v>
      </c>
      <c r="K113" t="s">
        <v>82</v>
      </c>
      <c r="L113" t="s">
        <v>81</v>
      </c>
    </row>
    <row r="114" spans="2:12" x14ac:dyDescent="0.3">
      <c r="B114" s="95">
        <f>'Nach Mannschaften sortiert'!D114</f>
        <v>46089</v>
      </c>
      <c r="C114" s="96">
        <f>'Nach Mannschaften sortiert'!E114</f>
        <v>0</v>
      </c>
      <c r="D114" s="96">
        <f t="shared" ref="D114:D134" si="5">IF(I114 = "KM",C114+"1:45",IF(I114="U23",C114+"1:45",IF(I114 = "U16",C114+"1:45",IF(I114 = "U15",C114+"1:30",IF(I114 = "U14",C114+"1:30",IF(I114 = "U13",C114+"1:35",IF(I114 = "U12",C114+"1:10",IF(I114 = "U11",C114+"1:10",IF(I114 = "U10",C114+"1:03",C114+"3:00")))))))))</f>
        <v>0.125</v>
      </c>
      <c r="E114" s="96" t="str">
        <f>UPPER('Nach Mannschaften sortiert'!F114)</f>
        <v/>
      </c>
      <c r="G114">
        <f>'Nach Mannschaften sortiert'!H114</f>
        <v>0</v>
      </c>
      <c r="H114">
        <f>'Nach Mannschaften sortiert'!G114</f>
        <v>0</v>
      </c>
      <c r="I114" t="str">
        <f>'Nach Mannschaften sortiert'!C114</f>
        <v>U8</v>
      </c>
      <c r="J114" s="83" t="s">
        <v>79</v>
      </c>
      <c r="K114" t="s">
        <v>82</v>
      </c>
      <c r="L114" t="s">
        <v>81</v>
      </c>
    </row>
    <row r="115" spans="2:12" x14ac:dyDescent="0.3">
      <c r="B115" s="95">
        <f>'Nach Mannschaften sortiert'!D115</f>
        <v>46090</v>
      </c>
      <c r="C115" s="96">
        <f>'Nach Mannschaften sortiert'!E115</f>
        <v>0</v>
      </c>
      <c r="D115" s="96">
        <f t="shared" si="5"/>
        <v>0.125</v>
      </c>
      <c r="E115" s="96" t="str">
        <f>UPPER('Nach Mannschaften sortiert'!F115)</f>
        <v/>
      </c>
      <c r="G115">
        <f>'Nach Mannschaften sortiert'!H115</f>
        <v>0</v>
      </c>
      <c r="H115">
        <f>'Nach Mannschaften sortiert'!G115</f>
        <v>0</v>
      </c>
      <c r="I115" t="str">
        <f>'Nach Mannschaften sortiert'!C115</f>
        <v>U8</v>
      </c>
      <c r="J115" s="83" t="s">
        <v>79</v>
      </c>
      <c r="K115" t="s">
        <v>82</v>
      </c>
      <c r="L115" t="s">
        <v>81</v>
      </c>
    </row>
    <row r="116" spans="2:12" x14ac:dyDescent="0.3">
      <c r="B116" s="95">
        <f>'Nach Mannschaften sortiert'!D116</f>
        <v>46091</v>
      </c>
      <c r="C116" s="96">
        <f>'Nach Mannschaften sortiert'!E116</f>
        <v>0</v>
      </c>
      <c r="D116" s="96">
        <f t="shared" si="5"/>
        <v>0.125</v>
      </c>
      <c r="E116" s="96" t="str">
        <f>UPPER('Nach Mannschaften sortiert'!F116)</f>
        <v/>
      </c>
      <c r="G116">
        <f>'Nach Mannschaften sortiert'!H116</f>
        <v>0</v>
      </c>
      <c r="H116">
        <f>'Nach Mannschaften sortiert'!G116</f>
        <v>0</v>
      </c>
      <c r="I116" t="str">
        <f>'Nach Mannschaften sortiert'!C116</f>
        <v>U8</v>
      </c>
      <c r="J116" s="83" t="s">
        <v>79</v>
      </c>
      <c r="K116" t="s">
        <v>82</v>
      </c>
      <c r="L116" t="s">
        <v>81</v>
      </c>
    </row>
    <row r="117" spans="2:12" x14ac:dyDescent="0.3">
      <c r="B117" s="95">
        <f>'Nach Mannschaften sortiert'!D117</f>
        <v>46092</v>
      </c>
      <c r="C117" s="96">
        <f>'Nach Mannschaften sortiert'!E117</f>
        <v>0</v>
      </c>
      <c r="D117" s="96">
        <f t="shared" si="5"/>
        <v>0.125</v>
      </c>
      <c r="E117" s="96" t="str">
        <f>UPPER('Nach Mannschaften sortiert'!F117)</f>
        <v/>
      </c>
      <c r="G117">
        <f>'Nach Mannschaften sortiert'!H117</f>
        <v>0</v>
      </c>
      <c r="H117">
        <f>'Nach Mannschaften sortiert'!G117</f>
        <v>0</v>
      </c>
      <c r="I117" t="str">
        <f>'Nach Mannschaften sortiert'!C117</f>
        <v>U8</v>
      </c>
      <c r="J117" s="83" t="s">
        <v>79</v>
      </c>
      <c r="K117" t="s">
        <v>82</v>
      </c>
      <c r="L117" t="s">
        <v>81</v>
      </c>
    </row>
    <row r="118" spans="2:12" x14ac:dyDescent="0.3">
      <c r="B118" s="95">
        <f>'Nach Mannschaften sortiert'!D118</f>
        <v>46312</v>
      </c>
      <c r="C118" s="96">
        <f>'Nach Mannschaften sortiert'!E118</f>
        <v>0</v>
      </c>
      <c r="D118" s="96">
        <f t="shared" si="5"/>
        <v>0.125</v>
      </c>
      <c r="E118" s="96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3" t="s">
        <v>79</v>
      </c>
      <c r="K118" t="s">
        <v>82</v>
      </c>
      <c r="L118" t="s">
        <v>81</v>
      </c>
    </row>
    <row r="119" spans="2:12" x14ac:dyDescent="0.3">
      <c r="B119" s="95">
        <f>'Nach Mannschaften sortiert'!D119</f>
        <v>46094</v>
      </c>
      <c r="C119" s="96">
        <f>'Nach Mannschaften sortiert'!E119</f>
        <v>0</v>
      </c>
      <c r="D119" s="96">
        <f t="shared" si="5"/>
        <v>0.125</v>
      </c>
      <c r="E119" s="96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3" t="s">
        <v>79</v>
      </c>
      <c r="K119" t="s">
        <v>82</v>
      </c>
      <c r="L119" t="s">
        <v>81</v>
      </c>
    </row>
    <row r="120" spans="2:12" x14ac:dyDescent="0.3">
      <c r="B120" s="95">
        <f>'Nach Mannschaften sortiert'!D120</f>
        <v>46095</v>
      </c>
      <c r="C120" s="96">
        <f>'Nach Mannschaften sortiert'!E120</f>
        <v>0</v>
      </c>
      <c r="D120" s="96">
        <f t="shared" si="5"/>
        <v>0.125</v>
      </c>
      <c r="E120" s="96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3" t="s">
        <v>79</v>
      </c>
      <c r="K120" t="s">
        <v>82</v>
      </c>
      <c r="L120" t="s">
        <v>81</v>
      </c>
    </row>
    <row r="121" spans="2:12" x14ac:dyDescent="0.3">
      <c r="B121" s="95">
        <f>'Nach Mannschaften sortiert'!D121</f>
        <v>46096</v>
      </c>
      <c r="C121" s="96">
        <f>'Nach Mannschaften sortiert'!E121</f>
        <v>0</v>
      </c>
      <c r="D121" s="96">
        <f t="shared" si="5"/>
        <v>0.125</v>
      </c>
      <c r="E121" s="96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3" t="s">
        <v>79</v>
      </c>
      <c r="K121" t="s">
        <v>82</v>
      </c>
      <c r="L121" t="s">
        <v>81</v>
      </c>
    </row>
    <row r="122" spans="2:12" x14ac:dyDescent="0.3">
      <c r="B122" s="95">
        <f>'Nach Mannschaften sortiert'!D122</f>
        <v>46097</v>
      </c>
      <c r="C122" s="96">
        <f>'Nach Mannschaften sortiert'!E122</f>
        <v>0</v>
      </c>
      <c r="D122" s="96">
        <f t="shared" si="5"/>
        <v>0.125</v>
      </c>
      <c r="E122" s="96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3" t="s">
        <v>79</v>
      </c>
      <c r="K122" t="s">
        <v>82</v>
      </c>
      <c r="L122" t="s">
        <v>81</v>
      </c>
    </row>
    <row r="123" spans="2:12" x14ac:dyDescent="0.3">
      <c r="B123" s="95">
        <f>'Nach Mannschaften sortiert'!D123</f>
        <v>46230</v>
      </c>
      <c r="C123" s="96">
        <f>'Nach Mannschaften sortiert'!E123</f>
        <v>0.375</v>
      </c>
      <c r="D123" s="96">
        <f t="shared" si="5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3" t="s">
        <v>79</v>
      </c>
      <c r="K123" t="s">
        <v>82</v>
      </c>
      <c r="L123" t="s">
        <v>81</v>
      </c>
    </row>
    <row r="124" spans="2:12" x14ac:dyDescent="0.3">
      <c r="B124" s="95">
        <f>'Nach Mannschaften sortiert'!D124</f>
        <v>46231</v>
      </c>
      <c r="C124" s="96">
        <f>'Nach Mannschaften sortiert'!E124</f>
        <v>0.375</v>
      </c>
      <c r="D124" s="96">
        <f t="shared" si="5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3" t="s">
        <v>79</v>
      </c>
      <c r="K124" t="s">
        <v>82</v>
      </c>
      <c r="L124" t="s">
        <v>81</v>
      </c>
    </row>
    <row r="125" spans="2:12" x14ac:dyDescent="0.3">
      <c r="B125" s="95">
        <f>'Nach Mannschaften sortiert'!D125</f>
        <v>46232</v>
      </c>
      <c r="C125" s="96">
        <f>'Nach Mannschaften sortiert'!E125</f>
        <v>0.375</v>
      </c>
      <c r="D125" s="96">
        <f t="shared" si="5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3" t="s">
        <v>79</v>
      </c>
      <c r="K125" t="s">
        <v>82</v>
      </c>
      <c r="L125" t="s">
        <v>81</v>
      </c>
    </row>
    <row r="126" spans="2:12" x14ac:dyDescent="0.3">
      <c r="B126" s="95">
        <f>'Nach Mannschaften sortiert'!D126</f>
        <v>46233</v>
      </c>
      <c r="C126" s="96">
        <f>'Nach Mannschaften sortiert'!E126</f>
        <v>0.375</v>
      </c>
      <c r="D126" s="96">
        <f t="shared" si="5"/>
        <v>0.5</v>
      </c>
      <c r="E126" s="96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3" t="s">
        <v>79</v>
      </c>
      <c r="K126" t="s">
        <v>82</v>
      </c>
      <c r="L126" t="s">
        <v>81</v>
      </c>
    </row>
    <row r="127" spans="2:12" x14ac:dyDescent="0.3">
      <c r="B127" s="95">
        <f>'Nach Mannschaften sortiert'!D127</f>
        <v>46234</v>
      </c>
      <c r="C127" s="96">
        <f>'Nach Mannschaften sortiert'!E127</f>
        <v>0.375</v>
      </c>
      <c r="D127" s="96">
        <f t="shared" si="5"/>
        <v>0.5</v>
      </c>
      <c r="E127" s="96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3" t="s">
        <v>79</v>
      </c>
      <c r="K127" t="s">
        <v>82</v>
      </c>
      <c r="L127" t="s">
        <v>81</v>
      </c>
    </row>
    <row r="128" spans="2:12" x14ac:dyDescent="0.3">
      <c r="B128" s="95">
        <f>'Nach Mannschaften sortiert'!D128</f>
        <v>46237</v>
      </c>
      <c r="C128" s="96">
        <f>'Nach Mannschaften sortiert'!E128</f>
        <v>0.375</v>
      </c>
      <c r="D128" s="96">
        <f t="shared" si="5"/>
        <v>0.5</v>
      </c>
      <c r="E128" s="96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3" t="s">
        <v>79</v>
      </c>
      <c r="K128" t="s">
        <v>82</v>
      </c>
      <c r="L128" t="s">
        <v>81</v>
      </c>
    </row>
    <row r="129" spans="2:12" x14ac:dyDescent="0.3">
      <c r="B129" s="95">
        <f>'Nach Mannschaften sortiert'!D129</f>
        <v>46238</v>
      </c>
      <c r="C129" s="96">
        <f>'Nach Mannschaften sortiert'!E129</f>
        <v>0.375</v>
      </c>
      <c r="D129" s="96">
        <f t="shared" si="5"/>
        <v>0.5</v>
      </c>
      <c r="E129" s="96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3" t="s">
        <v>79</v>
      </c>
      <c r="K129" t="s">
        <v>82</v>
      </c>
      <c r="L129" t="s">
        <v>81</v>
      </c>
    </row>
    <row r="130" spans="2:12" x14ac:dyDescent="0.3">
      <c r="B130" s="95">
        <f>'Nach Mannschaften sortiert'!D130</f>
        <v>46239</v>
      </c>
      <c r="C130" s="96">
        <f>'Nach Mannschaften sortiert'!E130</f>
        <v>0.375</v>
      </c>
      <c r="D130" s="96">
        <f t="shared" si="5"/>
        <v>0.5</v>
      </c>
      <c r="E130" s="96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3" t="s">
        <v>79</v>
      </c>
      <c r="K130" t="s">
        <v>82</v>
      </c>
      <c r="L130" t="s">
        <v>81</v>
      </c>
    </row>
    <row r="131" spans="2:12" x14ac:dyDescent="0.3">
      <c r="B131" s="95">
        <f>'Nach Mannschaften sortiert'!D131</f>
        <v>46321</v>
      </c>
      <c r="C131" s="96">
        <f>'Nach Mannschaften sortiert'!E131</f>
        <v>0.375</v>
      </c>
      <c r="D131" s="96">
        <f t="shared" si="5"/>
        <v>0.5</v>
      </c>
      <c r="E131" s="96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3" t="s">
        <v>79</v>
      </c>
      <c r="K131" t="s">
        <v>82</v>
      </c>
      <c r="L131" t="s">
        <v>81</v>
      </c>
    </row>
    <row r="132" spans="2:12" x14ac:dyDescent="0.3">
      <c r="B132" s="95">
        <f>'Nach Mannschaften sortiert'!D132</f>
        <v>46322</v>
      </c>
      <c r="C132" s="96">
        <f>'Nach Mannschaften sortiert'!E132</f>
        <v>0.375</v>
      </c>
      <c r="D132" s="96">
        <f t="shared" si="5"/>
        <v>0.5</v>
      </c>
      <c r="E132" s="96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3" t="s">
        <v>79</v>
      </c>
      <c r="K132" t="s">
        <v>82</v>
      </c>
      <c r="L132" t="s">
        <v>81</v>
      </c>
    </row>
    <row r="133" spans="2:12" x14ac:dyDescent="0.3">
      <c r="B133" s="95">
        <f>'Nach Mannschaften sortiert'!D133</f>
        <v>46323</v>
      </c>
      <c r="C133" s="96">
        <f>'Nach Mannschaften sortiert'!E133</f>
        <v>0.375</v>
      </c>
      <c r="D133" s="96">
        <f t="shared" si="5"/>
        <v>0.5</v>
      </c>
      <c r="E133" s="96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3" t="s">
        <v>79</v>
      </c>
      <c r="K133" t="s">
        <v>82</v>
      </c>
      <c r="L133" t="s">
        <v>81</v>
      </c>
    </row>
    <row r="134" spans="2:12" x14ac:dyDescent="0.3">
      <c r="B134" s="95">
        <f>'Nach Mannschaften sortiert'!D134</f>
        <v>46256</v>
      </c>
      <c r="C134" s="96">
        <f>'Nach Mannschaften sortiert'!E134</f>
        <v>0.375</v>
      </c>
      <c r="D134" s="96">
        <f t="shared" si="5"/>
        <v>0.5</v>
      </c>
      <c r="E134" s="96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GGG</v>
      </c>
      <c r="J134" s="83" t="s">
        <v>79</v>
      </c>
      <c r="K134" t="s">
        <v>82</v>
      </c>
      <c r="L134" t="s">
        <v>81</v>
      </c>
    </row>
    <row r="135" spans="2:12" x14ac:dyDescent="0.3">
      <c r="B135" s="95">
        <f>'Nach Mannschaften sortiert'!D135</f>
        <v>46367</v>
      </c>
      <c r="C135" s="96">
        <f>'Nach Mannschaften sortiert'!E135</f>
        <v>0.6875</v>
      </c>
      <c r="D135" s="96">
        <v>0.875</v>
      </c>
      <c r="E135" s="96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Hallenturnie</v>
      </c>
      <c r="J135" s="83" t="s">
        <v>79</v>
      </c>
      <c r="K135" t="s">
        <v>82</v>
      </c>
      <c r="L135" t="s">
        <v>81</v>
      </c>
    </row>
    <row r="136" spans="2:12" x14ac:dyDescent="0.3">
      <c r="B136" s="95">
        <f>'Nach Mannschaften sortiert'!D136</f>
        <v>46368</v>
      </c>
      <c r="C136" s="96">
        <f>'Nach Mannschaften sortiert'!E136</f>
        <v>0.35416666666666669</v>
      </c>
      <c r="D136" s="96">
        <v>0.875</v>
      </c>
      <c r="E136" s="96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Hallenturnie</v>
      </c>
      <c r="J136" s="83" t="s">
        <v>79</v>
      </c>
      <c r="K136" t="s">
        <v>82</v>
      </c>
      <c r="L136" t="s">
        <v>81</v>
      </c>
    </row>
    <row r="137" spans="2:12" x14ac:dyDescent="0.3">
      <c r="B137" s="95">
        <f>'Nach Mannschaften sortiert'!D137</f>
        <v>46369</v>
      </c>
      <c r="C137" s="96">
        <f>'Nach Mannschaften sortiert'!E137</f>
        <v>0.375</v>
      </c>
      <c r="D137" s="96">
        <v>0.875</v>
      </c>
      <c r="E137" s="96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Hallenturnie</v>
      </c>
      <c r="J137" s="83" t="s">
        <v>79</v>
      </c>
      <c r="K137" t="s">
        <v>82</v>
      </c>
      <c r="L137" t="s">
        <v>81</v>
      </c>
    </row>
    <row r="138" spans="2:12" x14ac:dyDescent="0.3">
      <c r="B138" s="95">
        <f>'Nach Mannschaften sortiert'!D138</f>
        <v>46359</v>
      </c>
      <c r="C138" s="96">
        <f>'Nach Mannschaften sortiert'!E138</f>
        <v>0.70833333333333337</v>
      </c>
      <c r="D138" s="96">
        <v>0.875</v>
      </c>
      <c r="E138" s="96" t="str">
        <f>UPPER('Nach Mannschaften sortiert'!F138)</f>
        <v>STEINBRUNN</v>
      </c>
      <c r="F138" s="83" t="s">
        <v>83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3" t="s">
        <v>79</v>
      </c>
      <c r="K138" t="s">
        <v>82</v>
      </c>
      <c r="L138" t="s">
        <v>84</v>
      </c>
    </row>
    <row r="139" spans="2:12" x14ac:dyDescent="0.3">
      <c r="B139" s="95">
        <f>'Nach Mannschaften sortiert'!D139</f>
        <v>46402</v>
      </c>
      <c r="C139" s="96">
        <f>'Nach Mannschaften sortiert'!E139</f>
        <v>0.6875</v>
      </c>
      <c r="D139" s="96">
        <v>0.875</v>
      </c>
      <c r="E139" s="96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Hallenturnie</v>
      </c>
      <c r="J139" s="83" t="s">
        <v>79</v>
      </c>
      <c r="K139" t="s">
        <v>82</v>
      </c>
      <c r="L139" t="s">
        <v>81</v>
      </c>
    </row>
    <row r="140" spans="2:12" x14ac:dyDescent="0.3">
      <c r="B140" s="95">
        <f>'Nach Mannschaften sortiert'!D140</f>
        <v>46403</v>
      </c>
      <c r="C140" s="96">
        <f>'Nach Mannschaften sortiert'!E140</f>
        <v>0.35416666666666669</v>
      </c>
      <c r="D140" s="96">
        <v>0.875</v>
      </c>
      <c r="E140" s="96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Hallenturnie</v>
      </c>
      <c r="J140" s="83" t="s">
        <v>79</v>
      </c>
      <c r="K140" t="s">
        <v>82</v>
      </c>
      <c r="L140" t="s">
        <v>81</v>
      </c>
    </row>
    <row r="141" spans="2:12" x14ac:dyDescent="0.3">
      <c r="B141" s="95">
        <f>'Nach Mannschaften sortiert'!D141</f>
        <v>46404</v>
      </c>
      <c r="C141" s="96">
        <f>'Nach Mannschaften sortiert'!E141</f>
        <v>0.375</v>
      </c>
      <c r="D141" s="96">
        <v>0.875</v>
      </c>
      <c r="E141" s="96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Hallenturnie</v>
      </c>
      <c r="J141" s="83" t="s">
        <v>79</v>
      </c>
      <c r="K141" t="s">
        <v>82</v>
      </c>
      <c r="L141" t="s">
        <v>81</v>
      </c>
    </row>
    <row r="142" spans="2:12" x14ac:dyDescent="0.3">
      <c r="B142" s="95">
        <f>'Nach Mannschaften sortiert'!D142</f>
        <v>46291</v>
      </c>
      <c r="C142" s="96">
        <f>'Nach Mannschaften sortiert'!E142</f>
        <v>0.75</v>
      </c>
      <c r="D142" s="96">
        <v>0.91666666666666663</v>
      </c>
      <c r="E142" s="96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3" t="s">
        <v>79</v>
      </c>
      <c r="K142" t="s">
        <v>82</v>
      </c>
      <c r="L142" t="s">
        <v>81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5" t="s">
        <v>85</v>
      </c>
      <c r="B1" s="85"/>
      <c r="C1" s="85" t="s">
        <v>86</v>
      </c>
    </row>
    <row r="2" spans="1:3" ht="19.95" customHeight="1" x14ac:dyDescent="0.3">
      <c r="A2" s="85" t="s">
        <v>87</v>
      </c>
      <c r="B2" s="85" t="s">
        <v>88</v>
      </c>
      <c r="C2" s="85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5" t="s">
        <v>89</v>
      </c>
      <c r="B3" s="85" t="s">
        <v>90</v>
      </c>
      <c r="C3" s="85" t="str">
        <f t="shared" si="0"/>
        <v>https://dtb-asv.github.io/asv-neufeld/heimspiele.ics</v>
      </c>
    </row>
    <row r="4" spans="1:3" ht="19.95" customHeight="1" x14ac:dyDescent="0.3">
      <c r="A4" s="85" t="s">
        <v>91</v>
      </c>
      <c r="B4" s="85" t="s">
        <v>92</v>
      </c>
      <c r="C4" s="85" t="str">
        <f t="shared" si="0"/>
        <v>https://dtb-asv.github.io/asv-neufeld/auswaertsspiele.ics</v>
      </c>
    </row>
    <row r="5" spans="1:3" ht="19.95" customHeight="1" x14ac:dyDescent="0.3">
      <c r="A5" s="85" t="s">
        <v>93</v>
      </c>
      <c r="B5" s="85" t="s">
        <v>94</v>
      </c>
      <c r="C5" s="85" t="str">
        <f t="shared" si="0"/>
        <v>https://dtb-asv.github.io/asv-neufeld/KM.ics</v>
      </c>
    </row>
    <row r="6" spans="1:3" ht="19.95" customHeight="1" x14ac:dyDescent="0.3">
      <c r="A6" s="85" t="s">
        <v>95</v>
      </c>
      <c r="B6" s="85" t="s">
        <v>96</v>
      </c>
      <c r="C6" s="85" t="str">
        <f t="shared" si="0"/>
        <v>https://dtb-asv.github.io/asv-neufeld/U23.ics</v>
      </c>
    </row>
    <row r="7" spans="1:3" ht="19.95" customHeight="1" x14ac:dyDescent="0.3">
      <c r="A7" s="85" t="s">
        <v>97</v>
      </c>
      <c r="B7" s="85" t="s">
        <v>98</v>
      </c>
      <c r="C7" s="85" t="str">
        <f t="shared" si="0"/>
        <v>https://dtb-asv.github.io/asv-neufeld/U16.ics</v>
      </c>
    </row>
    <row r="8" spans="1:3" ht="19.95" customHeight="1" x14ac:dyDescent="0.3">
      <c r="A8" s="85" t="s">
        <v>99</v>
      </c>
      <c r="B8" s="85" t="s">
        <v>100</v>
      </c>
      <c r="C8" s="85" t="str">
        <f t="shared" si="0"/>
        <v>https://dtb-asv.github.io/asv-neufeld/U15.ics</v>
      </c>
    </row>
    <row r="9" spans="1:3" ht="19.95" customHeight="1" x14ac:dyDescent="0.3">
      <c r="A9" s="85" t="s">
        <v>101</v>
      </c>
      <c r="B9" s="85" t="s">
        <v>102</v>
      </c>
      <c r="C9" s="85" t="str">
        <f t="shared" si="0"/>
        <v>https://dtb-asv.github.io/asv-neufeld/U14.ics</v>
      </c>
    </row>
    <row r="10" spans="1:3" ht="19.95" customHeight="1" x14ac:dyDescent="0.3">
      <c r="A10" s="85" t="s">
        <v>103</v>
      </c>
      <c r="B10" s="85" t="s">
        <v>104</v>
      </c>
      <c r="C10" s="85" t="str">
        <f t="shared" si="0"/>
        <v>https://dtb-asv.github.io/asv-neufeld/U13.ics</v>
      </c>
    </row>
    <row r="11" spans="1:3" ht="19.95" customHeight="1" x14ac:dyDescent="0.3">
      <c r="A11" s="85" t="s">
        <v>105</v>
      </c>
      <c r="B11" s="85" t="s">
        <v>106</v>
      </c>
      <c r="C11" s="85" t="str">
        <f t="shared" si="0"/>
        <v>https://dtb-asv.github.io/asv-neufeld/U12.ics</v>
      </c>
    </row>
    <row r="12" spans="1:3" ht="19.95" customHeight="1" x14ac:dyDescent="0.3">
      <c r="A12" s="85" t="s">
        <v>107</v>
      </c>
      <c r="B12" s="85" t="s">
        <v>108</v>
      </c>
      <c r="C12" s="85" t="str">
        <f t="shared" si="0"/>
        <v>https://dtb-asv.github.io/asv-neufeld/U11.ics</v>
      </c>
    </row>
    <row r="13" spans="1:3" ht="19.95" customHeight="1" x14ac:dyDescent="0.3">
      <c r="A13" s="85" t="s">
        <v>109</v>
      </c>
      <c r="B13" s="85" t="s">
        <v>110</v>
      </c>
      <c r="C13" s="85" t="str">
        <f t="shared" si="0"/>
        <v>https://dtb-asv.github.io/asv-neufeld/U10.ics</v>
      </c>
    </row>
    <row r="14" spans="1:3" ht="19.95" customHeight="1" x14ac:dyDescent="0.3">
      <c r="A14" s="85" t="s">
        <v>111</v>
      </c>
      <c r="B14" s="85" t="s">
        <v>112</v>
      </c>
      <c r="C14" s="85" t="str">
        <f t="shared" si="0"/>
        <v>https://dtb-asv.github.io/asv-neufeld/U9.ics</v>
      </c>
    </row>
    <row r="15" spans="1:3" ht="19.95" customHeight="1" x14ac:dyDescent="0.3">
      <c r="A15" s="85" t="s">
        <v>113</v>
      </c>
      <c r="B15" s="85" t="s">
        <v>114</v>
      </c>
      <c r="C15" s="85" t="str">
        <f t="shared" si="0"/>
        <v>https://dtb-asv.github.io/asv-neufeld/ U8.ics</v>
      </c>
    </row>
    <row r="16" spans="1:3" ht="19.95" customHeight="1" x14ac:dyDescent="0.3">
      <c r="A16" s="85" t="s">
        <v>115</v>
      </c>
      <c r="B16" s="85" t="s">
        <v>116</v>
      </c>
      <c r="C16" s="85" t="str">
        <f t="shared" si="0"/>
        <v>https://dtb-asv.github.io/asv-neufeld/ U7.ics</v>
      </c>
    </row>
    <row r="17" spans="2:3" x14ac:dyDescent="0.3">
      <c r="B17" t="s">
        <v>117</v>
      </c>
      <c r="C17" t="str">
        <f t="shared" si="0"/>
        <v>https://dtb-asv.github.io/asv-neufeld/ Camp.ics</v>
      </c>
    </row>
    <row r="18" spans="2:3" x14ac:dyDescent="0.3">
      <c r="B18" t="s">
        <v>118</v>
      </c>
      <c r="C18" t="str">
        <f t="shared" si="0"/>
        <v>https://dtb-asv.github.io/asv-neufeld/ GGG.ics</v>
      </c>
    </row>
    <row r="21" spans="2:3" x14ac:dyDescent="0.3">
      <c r="B21" s="84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18" t="s">
        <v>119</v>
      </c>
      <c r="B1" s="119"/>
      <c r="C1" s="119"/>
      <c r="D1" s="119"/>
      <c r="E1" s="119"/>
      <c r="F1" s="119"/>
      <c r="G1" s="119"/>
      <c r="H1" s="119"/>
    </row>
    <row r="2" spans="1:10" ht="31.8" customHeight="1" thickTop="1" x14ac:dyDescent="0.3">
      <c r="A2" s="32" t="s">
        <v>120</v>
      </c>
      <c r="B2" s="32" t="s">
        <v>121</v>
      </c>
      <c r="C2" s="32" t="s">
        <v>122</v>
      </c>
      <c r="D2" s="32" t="s">
        <v>123</v>
      </c>
      <c r="E2" s="32" t="s">
        <v>124</v>
      </c>
      <c r="F2" s="32" t="s">
        <v>125</v>
      </c>
      <c r="G2" s="32" t="s">
        <v>126</v>
      </c>
      <c r="H2" s="32" t="s">
        <v>127</v>
      </c>
      <c r="I2" s="113" t="s">
        <v>128</v>
      </c>
      <c r="J2" s="39"/>
    </row>
    <row r="3" spans="1:10" ht="31.2" customHeight="1" x14ac:dyDescent="0.35">
      <c r="A3" s="35" t="s">
        <v>129</v>
      </c>
      <c r="B3" s="36" t="s">
        <v>130</v>
      </c>
      <c r="C3" s="61"/>
      <c r="D3" s="61"/>
      <c r="E3" s="62" t="s">
        <v>131</v>
      </c>
      <c r="F3" s="61"/>
      <c r="G3" s="61"/>
      <c r="H3" s="63"/>
      <c r="I3" s="114"/>
      <c r="J3" s="39"/>
    </row>
    <row r="4" spans="1:10" ht="31.2" customHeight="1" x14ac:dyDescent="0.35">
      <c r="A4" s="35" t="s">
        <v>53</v>
      </c>
      <c r="B4" s="36" t="s">
        <v>132</v>
      </c>
      <c r="C4" s="61"/>
      <c r="D4" s="64" t="s">
        <v>133</v>
      </c>
      <c r="E4" s="61"/>
      <c r="F4" s="64" t="s">
        <v>133</v>
      </c>
      <c r="G4" s="61"/>
      <c r="H4" s="63"/>
      <c r="I4" s="114"/>
      <c r="J4" s="39"/>
    </row>
    <row r="5" spans="1:10" ht="31.2" customHeight="1" x14ac:dyDescent="0.35">
      <c r="A5" s="35" t="s">
        <v>52</v>
      </c>
      <c r="B5" s="36" t="s">
        <v>134</v>
      </c>
      <c r="C5" s="62" t="s">
        <v>135</v>
      </c>
      <c r="D5" s="61"/>
      <c r="E5" s="61"/>
      <c r="F5" s="62" t="s">
        <v>136</v>
      </c>
      <c r="G5" s="61"/>
      <c r="H5" s="63"/>
      <c r="I5" s="114"/>
      <c r="J5" s="39"/>
    </row>
    <row r="6" spans="1:10" ht="31.2" customHeight="1" x14ac:dyDescent="0.35">
      <c r="A6" s="35" t="s">
        <v>51</v>
      </c>
      <c r="B6" s="36" t="s">
        <v>137</v>
      </c>
      <c r="C6" s="65"/>
      <c r="D6" s="66" t="s">
        <v>138</v>
      </c>
      <c r="E6" s="65"/>
      <c r="F6" s="66" t="s">
        <v>138</v>
      </c>
      <c r="G6" s="65"/>
      <c r="H6" s="63"/>
      <c r="I6" s="114"/>
      <c r="J6" s="39"/>
    </row>
    <row r="7" spans="1:10" ht="31.2" customHeight="1" x14ac:dyDescent="0.35">
      <c r="A7" s="35" t="s">
        <v>48</v>
      </c>
      <c r="B7" s="36" t="s">
        <v>139</v>
      </c>
      <c r="C7" s="66" t="s">
        <v>138</v>
      </c>
      <c r="D7" s="61"/>
      <c r="E7" s="66" t="s">
        <v>138</v>
      </c>
      <c r="F7" s="61"/>
      <c r="G7" s="66" t="s">
        <v>138</v>
      </c>
      <c r="H7" s="63"/>
      <c r="I7" s="114"/>
      <c r="J7" s="39"/>
    </row>
    <row r="8" spans="1:10" ht="31.2" customHeight="1" x14ac:dyDescent="0.35">
      <c r="A8" s="35" t="s">
        <v>140</v>
      </c>
      <c r="B8" s="36" t="s">
        <v>141</v>
      </c>
      <c r="C8" s="67" t="s">
        <v>138</v>
      </c>
      <c r="D8" s="61"/>
      <c r="E8" s="66" t="s">
        <v>138</v>
      </c>
      <c r="F8" s="65"/>
      <c r="G8" s="62" t="s">
        <v>138</v>
      </c>
      <c r="H8" s="63"/>
      <c r="I8" s="114"/>
      <c r="J8" s="39"/>
    </row>
    <row r="9" spans="1:10" ht="31.5" customHeight="1" x14ac:dyDescent="0.35">
      <c r="A9" s="35" t="s">
        <v>27</v>
      </c>
      <c r="B9" s="36" t="s">
        <v>142</v>
      </c>
      <c r="C9" s="66" t="s">
        <v>138</v>
      </c>
      <c r="D9" s="61"/>
      <c r="E9" s="61"/>
      <c r="F9" s="67" t="s">
        <v>138</v>
      </c>
      <c r="G9" s="66" t="s">
        <v>138</v>
      </c>
      <c r="H9" s="68" t="s">
        <v>143</v>
      </c>
      <c r="I9" s="114"/>
      <c r="J9" s="39"/>
    </row>
    <row r="10" spans="1:10" ht="31.2" customHeight="1" x14ac:dyDescent="0.35">
      <c r="A10" s="33" t="s">
        <v>8</v>
      </c>
      <c r="B10" s="36" t="s">
        <v>144</v>
      </c>
      <c r="C10" s="61"/>
      <c r="D10" s="67" t="s">
        <v>145</v>
      </c>
      <c r="E10" s="61"/>
      <c r="F10" s="66" t="s">
        <v>146</v>
      </c>
      <c r="G10" s="66" t="s">
        <v>145</v>
      </c>
      <c r="H10" s="63"/>
      <c r="I10" s="114"/>
      <c r="J10" s="39"/>
    </row>
    <row r="11" spans="1:10" ht="31.8" customHeight="1" thickBot="1" x14ac:dyDescent="0.4">
      <c r="A11" s="34" t="s">
        <v>12</v>
      </c>
      <c r="B11" s="38" t="s">
        <v>147</v>
      </c>
      <c r="C11" s="61"/>
      <c r="D11" s="69"/>
      <c r="E11" s="70" t="s">
        <v>148</v>
      </c>
      <c r="F11" s="80"/>
      <c r="G11" s="71" t="s">
        <v>149</v>
      </c>
      <c r="H11" s="72"/>
      <c r="I11" s="115"/>
      <c r="J11" s="39"/>
    </row>
    <row r="12" spans="1:10" ht="18.600000000000001" customHeight="1" thickTop="1" x14ac:dyDescent="0.35">
      <c r="A12" s="35" t="s">
        <v>19</v>
      </c>
      <c r="B12" s="37" t="s">
        <v>150</v>
      </c>
      <c r="C12" s="73" t="s">
        <v>151</v>
      </c>
      <c r="D12" s="74"/>
      <c r="E12" s="73" t="s">
        <v>151</v>
      </c>
      <c r="F12" s="73" t="s">
        <v>151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152</v>
      </c>
      <c r="C13" s="76" t="s">
        <v>151</v>
      </c>
      <c r="D13" s="69"/>
      <c r="E13" s="76" t="s">
        <v>151</v>
      </c>
      <c r="F13" s="76" t="s">
        <v>151</v>
      </c>
      <c r="G13" s="69"/>
      <c r="H13" s="72"/>
    </row>
    <row r="14" spans="1:10" ht="19.2" customHeight="1" thickTop="1" thickBot="1" x14ac:dyDescent="0.4">
      <c r="A14" s="35" t="s">
        <v>153</v>
      </c>
      <c r="B14" s="35"/>
      <c r="C14" s="77"/>
      <c r="D14" s="78" t="s">
        <v>151</v>
      </c>
      <c r="E14" s="77"/>
      <c r="F14" s="77"/>
      <c r="G14" s="77"/>
      <c r="H14" s="79"/>
    </row>
    <row r="15" spans="1:10" ht="16.8" customHeight="1" thickTop="1" thickBot="1" x14ac:dyDescent="0.35">
      <c r="A15" s="116" t="s">
        <v>154</v>
      </c>
      <c r="B15" s="111"/>
      <c r="C15" s="111"/>
      <c r="D15" s="111"/>
      <c r="E15" s="111"/>
      <c r="F15" s="111"/>
      <c r="G15" s="111"/>
      <c r="H15" s="112"/>
    </row>
    <row r="16" spans="1:10" ht="16.8" customHeight="1" thickTop="1" thickBot="1" x14ac:dyDescent="0.35">
      <c r="A16" s="117" t="s">
        <v>155</v>
      </c>
      <c r="B16" s="111"/>
      <c r="C16" s="111"/>
      <c r="D16" s="111"/>
      <c r="E16" s="111"/>
      <c r="F16" s="111"/>
      <c r="G16" s="111"/>
      <c r="H16" s="112"/>
    </row>
    <row r="17" spans="1:8" ht="16.8" customHeight="1" thickTop="1" thickBot="1" x14ac:dyDescent="0.35">
      <c r="A17" s="120" t="s">
        <v>156</v>
      </c>
      <c r="B17" s="111"/>
      <c r="C17" s="111"/>
      <c r="D17" s="111"/>
      <c r="E17" s="111"/>
      <c r="F17" s="111"/>
      <c r="G17" s="111"/>
      <c r="H17" s="112"/>
    </row>
    <row r="18" spans="1:8" ht="16.8" customHeight="1" thickTop="1" thickBot="1" x14ac:dyDescent="0.35">
      <c r="A18" s="110" t="s">
        <v>157</v>
      </c>
      <c r="B18" s="111"/>
      <c r="C18" s="111"/>
      <c r="D18" s="111"/>
      <c r="E18" s="111"/>
      <c r="F18" s="111"/>
      <c r="G18" s="111"/>
      <c r="H18" s="112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sortiert'!A22</f>
        <v>21</v>
      </c>
      <c r="B2" s="54">
        <f>'Nach Mannschaften sortiert'!B22</f>
        <v>1</v>
      </c>
      <c r="C2" s="54" t="str">
        <f>'Nach Mannschaften sortiert'!C22</f>
        <v>KM</v>
      </c>
      <c r="D2" s="55">
        <f>'Nach Mannschaften sortiert'!D22</f>
        <v>46250</v>
      </c>
      <c r="E2" s="97">
        <f>'Nach Mannschaften sortiert'!E22</f>
        <v>0.72916666666666663</v>
      </c>
      <c r="F2" s="54" t="str">
        <f>'Nach Mannschaften sortiert'!F22</f>
        <v>Kittsee</v>
      </c>
      <c r="G2" s="54" t="str">
        <f>'Nach Mannschaften sortiert'!G22</f>
        <v>Kittsee</v>
      </c>
      <c r="H2" s="54" t="str">
        <f>'Nach Mannschaften sortiert'!H22</f>
        <v>Auswärts</v>
      </c>
    </row>
    <row r="3" spans="1:8" x14ac:dyDescent="0.3">
      <c r="A3" s="54">
        <f>'Nach Mannschaften sortiert'!A23</f>
        <v>22</v>
      </c>
      <c r="B3" s="54">
        <f>'Nach Mannschaften sortiert'!B23</f>
        <v>2</v>
      </c>
      <c r="C3" s="54" t="str">
        <f>'Nach Mannschaften sortiert'!C23</f>
        <v>KM</v>
      </c>
      <c r="D3" s="55">
        <f>'Nach Mannschaften sortiert'!D23</f>
        <v>46255</v>
      </c>
      <c r="E3" s="97">
        <f>'Nach Mannschaften sortiert'!E23</f>
        <v>0.83333333333333337</v>
      </c>
      <c r="F3" s="54" t="str">
        <f>'Nach Mannschaften sortiert'!F23</f>
        <v>Deutsch Jahrndorf</v>
      </c>
      <c r="G3" s="54" t="str">
        <f>'Nach Mannschaften sortiert'!G23</f>
        <v>Deutsch Jahrndorf</v>
      </c>
      <c r="H3" s="54" t="str">
        <f>'Nach Mannschaften sortiert'!H23</f>
        <v>Auswärts</v>
      </c>
    </row>
    <row r="4" spans="1:8" hidden="1" x14ac:dyDescent="0.3">
      <c r="A4" s="54">
        <f>'Nach Mannschaften sortiert'!A24</f>
        <v>23</v>
      </c>
      <c r="B4" s="54">
        <f>'Nach Mannschaften sortiert'!B24</f>
        <v>3</v>
      </c>
      <c r="C4" s="54" t="str">
        <f>'Nach Mannschaften sortiert'!C24</f>
        <v>KM</v>
      </c>
      <c r="D4" s="55">
        <f>'Nach Mannschaften sortiert'!D24</f>
        <v>46263</v>
      </c>
      <c r="E4" s="97">
        <f>'Nach Mannschaften sortiert'!E24</f>
        <v>0.75</v>
      </c>
      <c r="F4" s="54" t="str">
        <f>'Nach Mannschaften sortiert'!F24</f>
        <v>Neufeld</v>
      </c>
      <c r="G4" s="54" t="str">
        <f>'Nach Mannschaften sortiert'!G24</f>
        <v>Tadten</v>
      </c>
      <c r="H4" s="54" t="str">
        <f>'Nach Mannschaften sortiert'!H24</f>
        <v>Heim</v>
      </c>
    </row>
    <row r="5" spans="1:8" x14ac:dyDescent="0.3">
      <c r="A5" s="54">
        <f>'Nach Mannschaften sortiert'!A58</f>
        <v>57</v>
      </c>
      <c r="B5" s="54">
        <f>'Nach Mannschaften sortiert'!B58</f>
        <v>1</v>
      </c>
      <c r="C5" s="54" t="str">
        <f>'Nach Mannschaften sortiert'!C58</f>
        <v>U14</v>
      </c>
      <c r="D5" s="55">
        <f>'Nach Mannschaften sortiert'!D58</f>
        <v>46033</v>
      </c>
      <c r="E5" s="97">
        <f>'Nach Mannschaften sortiert'!E58</f>
        <v>0</v>
      </c>
      <c r="F5" s="54">
        <f>'Nach Mannschaften sortiert'!F58</f>
        <v>0</v>
      </c>
      <c r="G5" s="54">
        <f>'Nach Mannschaften sortiert'!G58</f>
        <v>0</v>
      </c>
      <c r="H5" s="54">
        <f>'Nach Mannschaften sortiert'!H58</f>
        <v>0</v>
      </c>
    </row>
    <row r="6" spans="1:8" hidden="1" x14ac:dyDescent="0.3">
      <c r="A6" s="54">
        <f>'Nach Mannschaften sortiert'!A26</f>
        <v>25</v>
      </c>
      <c r="B6" s="54">
        <f>'Nach Mannschaften sortiert'!B26</f>
        <v>5</v>
      </c>
      <c r="C6" s="54" t="str">
        <f>'Nach Mannschaften sortiert'!C26</f>
        <v>KM</v>
      </c>
      <c r="D6" s="55">
        <f>'Nach Mannschaften sortiert'!D26</f>
        <v>46276</v>
      </c>
      <c r="E6" s="97">
        <f>'Nach Mannschaften sortiert'!E26</f>
        <v>0.8125</v>
      </c>
      <c r="F6" s="54" t="str">
        <f>'Nach Mannschaften sortiert'!F26</f>
        <v>Neufeld</v>
      </c>
      <c r="G6" s="54" t="str">
        <f>'Nach Mannschaften sortiert'!G26</f>
        <v>Winden</v>
      </c>
      <c r="H6" s="54" t="str">
        <f>'Nach Mannschaften sortiert'!H26</f>
        <v>Heim</v>
      </c>
    </row>
    <row r="7" spans="1:8" x14ac:dyDescent="0.3">
      <c r="A7" s="54">
        <f>'Nach Mannschaften sortiert'!A68</f>
        <v>67</v>
      </c>
      <c r="B7" s="54">
        <f>'Nach Mannschaften sortiert'!B68</f>
        <v>1</v>
      </c>
      <c r="C7" s="54" t="str">
        <f>'Nach Mannschaften sortiert'!C68</f>
        <v>U12_1</v>
      </c>
      <c r="D7" s="55">
        <f>'Nach Mannschaften sortiert'!D68</f>
        <v>46043</v>
      </c>
      <c r="E7" s="97">
        <f>'Nach Mannschaften sortiert'!E68</f>
        <v>0</v>
      </c>
      <c r="F7" s="54">
        <f>'Nach Mannschaften sortiert'!F68</f>
        <v>0</v>
      </c>
      <c r="G7" s="54">
        <f>'Nach Mannschaften sortiert'!G68</f>
        <v>0</v>
      </c>
      <c r="H7" s="54">
        <f>'Nach Mannschaften sortiert'!H68</f>
        <v>0</v>
      </c>
    </row>
    <row r="8" spans="1:8" hidden="1" x14ac:dyDescent="0.3">
      <c r="A8" s="54">
        <f>'Nach Mannschaften sortiert'!A28</f>
        <v>27</v>
      </c>
      <c r="B8" s="54">
        <f>'Nach Mannschaften sortiert'!B28</f>
        <v>7</v>
      </c>
      <c r="C8" s="54" t="str">
        <f>'Nach Mannschaften sortiert'!C28</f>
        <v>KM</v>
      </c>
      <c r="D8" s="55">
        <f>'Nach Mannschaften sortiert'!D28</f>
        <v>46291</v>
      </c>
      <c r="E8" s="97">
        <f>'Nach Mannschaften sortiert'!E28</f>
        <v>0.75</v>
      </c>
      <c r="F8" s="54" t="str">
        <f>'Nach Mannschaften sortiert'!F28</f>
        <v>Neufeld</v>
      </c>
      <c r="G8" s="54" t="str">
        <f>'Nach Mannschaften sortiert'!G28</f>
        <v>Wallern</v>
      </c>
      <c r="H8" s="54" t="str">
        <f>'Nach Mannschaften sortiert'!H28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8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sortiert'!A30</f>
        <v>29</v>
      </c>
      <c r="B10" s="54">
        <f>'Nach Mannschaften sortiert'!B30</f>
        <v>9</v>
      </c>
      <c r="C10" s="54" t="str">
        <f>'Nach Mannschaften sortiert'!C30</f>
        <v>KM</v>
      </c>
      <c r="D10" s="55">
        <f>'Nach Mannschaften sortiert'!D30</f>
        <v>46304</v>
      </c>
      <c r="E10" s="97">
        <f>'Nach Mannschaften sortiert'!E30</f>
        <v>0.8125</v>
      </c>
      <c r="F10" s="54" t="str">
        <f>'Nach Mannschaften sortiert'!F30</f>
        <v>Neufeld</v>
      </c>
      <c r="G10" s="54" t="str">
        <f>'Nach Mannschaften sortiert'!G30</f>
        <v>Wimpassing</v>
      </c>
      <c r="H10" s="54" t="str">
        <f>'Nach Mannschaften sortiert'!H30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8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sortiert'!A32</f>
        <v>31</v>
      </c>
      <c r="B12" s="54">
        <f>'Nach Mannschaften sortiert'!B32</f>
        <v>11</v>
      </c>
      <c r="C12" s="54" t="str">
        <f>'Nach Mannschaften sortiert'!C32</f>
        <v>KM</v>
      </c>
      <c r="D12" s="55">
        <f>'Nach Mannschaften sortiert'!D32</f>
        <v>46319</v>
      </c>
      <c r="E12" s="97">
        <f>'Nach Mannschaften sortiert'!E32</f>
        <v>0.70833333333333337</v>
      </c>
      <c r="F12" s="54" t="str">
        <f>'Nach Mannschaften sortiert'!F32</f>
        <v>Neufeld</v>
      </c>
      <c r="G12" s="54" t="str">
        <f>'Nach Mannschaften sortiert'!G32</f>
        <v>Gols</v>
      </c>
      <c r="H12" s="54" t="str">
        <f>'Nach Mannschaften sortiert'!H32</f>
        <v>Heim</v>
      </c>
    </row>
    <row r="13" spans="1:8" hidden="1" x14ac:dyDescent="0.3">
      <c r="A13" s="54">
        <f>'Nach Mannschaften sortiert'!A33</f>
        <v>32</v>
      </c>
      <c r="B13" s="54">
        <f>'Nach Mannschaften sortiert'!B33</f>
        <v>12</v>
      </c>
      <c r="C13" s="54" t="str">
        <f>'Nach Mannschaften sortiert'!C33</f>
        <v>KM</v>
      </c>
      <c r="D13" s="55">
        <f>'Nach Mannschaften sortiert'!D33</f>
        <v>46326</v>
      </c>
      <c r="E13" s="97">
        <f>'Nach Mannschaften sortiert'!E33</f>
        <v>0.75</v>
      </c>
      <c r="F13" s="54" t="str">
        <f>'Nach Mannschaften sortiert'!F33</f>
        <v>Illmitz</v>
      </c>
      <c r="G13" s="54" t="str">
        <f>'Nach Mannschaften sortiert'!G33</f>
        <v>Illmitz</v>
      </c>
      <c r="H13" s="54" t="str">
        <f>'Nach Mannschaften sortiert'!H33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8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sortiert'!A48</f>
        <v>47</v>
      </c>
      <c r="B15" s="54">
        <f>'Nach Mannschaften sortiert'!B48</f>
        <v>1</v>
      </c>
      <c r="C15" s="54" t="str">
        <f>'Nach Mannschaften sortiert'!C48</f>
        <v>U16</v>
      </c>
      <c r="D15" s="55">
        <f>'Nach Mannschaften sortiert'!D48</f>
        <v>46023</v>
      </c>
      <c r="E15" s="97">
        <f>'Nach Mannschaften sortiert'!E48</f>
        <v>0</v>
      </c>
      <c r="F15" s="54">
        <f>'Nach Mannschaften sortiert'!F48</f>
        <v>0</v>
      </c>
      <c r="G15" s="54">
        <f>'Nach Mannschaften sortiert'!G48</f>
        <v>0</v>
      </c>
      <c r="H15" s="54">
        <f>'Nach Mannschaften sortiert'!H48</f>
        <v>0</v>
      </c>
    </row>
    <row r="16" spans="1:8" hidden="1" x14ac:dyDescent="0.3">
      <c r="A16" s="48">
        <f>'Nach Mannschaften sortiert'!A49</f>
        <v>48</v>
      </c>
      <c r="B16" s="48">
        <f>'Nach Mannschaften sortiert'!B49</f>
        <v>2</v>
      </c>
      <c r="C16" s="48" t="str">
        <f>'Nach Mannschaften sortiert'!C49</f>
        <v>U16</v>
      </c>
      <c r="D16" s="49">
        <f>'Nach Mannschaften sortiert'!D49</f>
        <v>46024</v>
      </c>
      <c r="E16" s="99">
        <f>'Nach Mannschaften sortiert'!E49</f>
        <v>0</v>
      </c>
      <c r="F16" s="48">
        <f>'Nach Mannschaften sortiert'!F49</f>
        <v>0</v>
      </c>
      <c r="G16" s="48">
        <f>'Nach Mannschaften sortiert'!G49</f>
        <v>0</v>
      </c>
      <c r="H16" s="48">
        <f>'Nach Mannschaften sortiert'!H49</f>
        <v>0</v>
      </c>
    </row>
    <row r="17" spans="1:8" hidden="1" x14ac:dyDescent="0.3">
      <c r="A17" s="54">
        <f>'Nach Mannschaften sortiert'!A50</f>
        <v>49</v>
      </c>
      <c r="B17" s="54">
        <f>'Nach Mannschaften sortiert'!B50</f>
        <v>3</v>
      </c>
      <c r="C17" s="54" t="str">
        <f>'Nach Mannschaften sortiert'!C50</f>
        <v>U16</v>
      </c>
      <c r="D17" s="55">
        <f>'Nach Mannschaften sortiert'!D50</f>
        <v>46025</v>
      </c>
      <c r="E17" s="97">
        <f>'Nach Mannschaften sortiert'!E50</f>
        <v>0</v>
      </c>
      <c r="F17" s="54">
        <f>'Nach Mannschaften sortiert'!F50</f>
        <v>0</v>
      </c>
      <c r="G17" s="54">
        <f>'Nach Mannschaften sortiert'!G50</f>
        <v>0</v>
      </c>
      <c r="H17" s="54">
        <f>'Nach Mannschaften sortiert'!H50</f>
        <v>0</v>
      </c>
    </row>
    <row r="18" spans="1:8" x14ac:dyDescent="0.3">
      <c r="A18" s="54">
        <f>'Nach Mannschaften sortiert'!A25</f>
        <v>24</v>
      </c>
      <c r="B18" s="54">
        <f>'Nach Mannschaften sortiert'!B25</f>
        <v>4</v>
      </c>
      <c r="C18" s="54" t="str">
        <f>'Nach Mannschaften sortiert'!C25</f>
        <v>KM</v>
      </c>
      <c r="D18" s="55">
        <f>'Nach Mannschaften sortiert'!D25</f>
        <v>46270</v>
      </c>
      <c r="E18" s="97">
        <f>'Nach Mannschaften sortiert'!E25</f>
        <v>0.6875</v>
      </c>
      <c r="F18" s="54" t="str">
        <f>'Nach Mannschaften sortiert'!F25</f>
        <v>Mönchhof</v>
      </c>
      <c r="G18" s="54" t="str">
        <f>'Nach Mannschaften sortiert'!G25</f>
        <v>Mönchhof</v>
      </c>
      <c r="H18" s="54" t="str">
        <f>'Nach Mannschaften sortiert'!H25</f>
        <v>Auswärts</v>
      </c>
    </row>
    <row r="19" spans="1:8" hidden="1" x14ac:dyDescent="0.3">
      <c r="A19" s="54">
        <f>'Nach Mannschaften sortiert'!A52</f>
        <v>51</v>
      </c>
      <c r="B19" s="54">
        <f>'Nach Mannschaften sortiert'!B52</f>
        <v>5</v>
      </c>
      <c r="C19" s="54" t="str">
        <f>'Nach Mannschaften sortiert'!C52</f>
        <v>U16</v>
      </c>
      <c r="D19" s="55">
        <f>'Nach Mannschaften sortiert'!D52</f>
        <v>46027</v>
      </c>
      <c r="E19" s="97">
        <f>'Nach Mannschaften sortiert'!E52</f>
        <v>0</v>
      </c>
      <c r="F19" s="54">
        <f>'Nach Mannschaften sortiert'!F52</f>
        <v>0</v>
      </c>
      <c r="G19" s="54">
        <f>'Nach Mannschaften sortiert'!G52</f>
        <v>0</v>
      </c>
      <c r="H19" s="54">
        <f>'Nach Mannschaften sortiert'!H52</f>
        <v>0</v>
      </c>
    </row>
    <row r="20" spans="1:8" hidden="1" x14ac:dyDescent="0.3">
      <c r="A20" s="46">
        <f>'Nach Mannschaften sortiert'!A53</f>
        <v>52</v>
      </c>
      <c r="B20" s="46">
        <f>'Nach Mannschaften sortiert'!B53</f>
        <v>6</v>
      </c>
      <c r="C20" s="46" t="str">
        <f>'Nach Mannschaften sortiert'!C53</f>
        <v>U16</v>
      </c>
      <c r="D20" s="47">
        <f>'Nach Mannschaften sortiert'!D53</f>
        <v>46028</v>
      </c>
      <c r="E20" s="100">
        <f>'Nach Mannschaften sortiert'!E53</f>
        <v>0</v>
      </c>
      <c r="F20" s="46">
        <f>'Nach Mannschaften sortiert'!F53</f>
        <v>0</v>
      </c>
      <c r="G20" s="46">
        <f>'Nach Mannschaften sortiert'!G53</f>
        <v>0</v>
      </c>
      <c r="H20" s="46">
        <f>'Nach Mannschaften sortiert'!H53</f>
        <v>0</v>
      </c>
    </row>
    <row r="21" spans="1:8" hidden="1" x14ac:dyDescent="0.3">
      <c r="A21" s="54">
        <f>'Nach Mannschaften sortiert'!A54</f>
        <v>53</v>
      </c>
      <c r="B21" s="54">
        <f>'Nach Mannschaften sortiert'!B54</f>
        <v>7</v>
      </c>
      <c r="C21" s="54" t="str">
        <f>'Nach Mannschaften sortiert'!C54</f>
        <v>U16</v>
      </c>
      <c r="D21" s="55">
        <f>'Nach Mannschaften sortiert'!D54</f>
        <v>46029</v>
      </c>
      <c r="E21" s="97">
        <f>'Nach Mannschaften sortiert'!E54</f>
        <v>0</v>
      </c>
      <c r="F21" s="54">
        <f>'Nach Mannschaften sortiert'!F54</f>
        <v>0</v>
      </c>
      <c r="G21" s="54">
        <f>'Nach Mannschaften sortiert'!G54</f>
        <v>0</v>
      </c>
      <c r="H21" s="54">
        <f>'Nach Mannschaften sortiert'!H54</f>
        <v>0</v>
      </c>
    </row>
    <row r="22" spans="1:8" hidden="1" x14ac:dyDescent="0.3">
      <c r="A22" s="48">
        <f>'Nach Mannschaften sortiert'!A55</f>
        <v>54</v>
      </c>
      <c r="B22" s="48">
        <f>'Nach Mannschaften sortiert'!B55</f>
        <v>8</v>
      </c>
      <c r="C22" s="48" t="str">
        <f>'Nach Mannschaften sortiert'!C55</f>
        <v>U16</v>
      </c>
      <c r="D22" s="49">
        <f>'Nach Mannschaften sortiert'!D55</f>
        <v>46030</v>
      </c>
      <c r="E22" s="99">
        <f>'Nach Mannschaften sortiert'!E55</f>
        <v>0</v>
      </c>
      <c r="F22" s="48">
        <f>'Nach Mannschaften sortiert'!F55</f>
        <v>0</v>
      </c>
      <c r="G22" s="48">
        <f>'Nach Mannschaften sortiert'!G55</f>
        <v>0</v>
      </c>
      <c r="H22" s="48">
        <f>'Nach Mannschaften sortiert'!H55</f>
        <v>0</v>
      </c>
    </row>
    <row r="23" spans="1:8" hidden="1" x14ac:dyDescent="0.3">
      <c r="A23" s="54">
        <f>'Nach Mannschaften sortiert'!A56</f>
        <v>55</v>
      </c>
      <c r="B23" s="54">
        <f>'Nach Mannschaften sortiert'!B56</f>
        <v>9</v>
      </c>
      <c r="C23" s="54" t="str">
        <f>'Nach Mannschaften sortiert'!C56</f>
        <v>U16</v>
      </c>
      <c r="D23" s="55">
        <f>'Nach Mannschaften sortiert'!D56</f>
        <v>46031</v>
      </c>
      <c r="E23" s="97">
        <f>'Nach Mannschaften sortiert'!E56</f>
        <v>0</v>
      </c>
      <c r="F23" s="54">
        <f>'Nach Mannschaften sortiert'!F56</f>
        <v>0</v>
      </c>
      <c r="G23" s="54">
        <f>'Nach Mannschaften sortiert'!G56</f>
        <v>0</v>
      </c>
      <c r="H23" s="54">
        <f>'Nach Mannschaften sortiert'!H56</f>
        <v>0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46078</v>
      </c>
      <c r="E24" s="101">
        <f>'Nach Mannschaften sortiert'!E103</f>
        <v>0</v>
      </c>
      <c r="F24" s="50">
        <f>'Nach Mannschaften sortiert'!F103</f>
        <v>0</v>
      </c>
      <c r="G24" s="50">
        <f>'Nach Mannschaften sortiert'!G103</f>
        <v>0</v>
      </c>
      <c r="H24" s="50">
        <f>'Nach Mannschaften sortiert'!H103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101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46312</v>
      </c>
      <c r="E29" s="101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sortiert'!A89</f>
        <v>88</v>
      </c>
      <c r="B35" s="50">
        <f>'Nach Mannschaften sortiert'!B89</f>
        <v>2</v>
      </c>
      <c r="C35" s="50" t="str">
        <f>'Nach Mannschaften sortiert'!C89</f>
        <v>U11</v>
      </c>
      <c r="D35" s="51">
        <f>'Nach Mannschaften sortiert'!D89</f>
        <v>46064</v>
      </c>
      <c r="E35" s="101">
        <f>'Nach Mannschaften sortiert'!E89</f>
        <v>0</v>
      </c>
      <c r="F35" s="50">
        <f>'Nach Mannschaften sortiert'!F89</f>
        <v>0</v>
      </c>
      <c r="G35" s="50">
        <f>'Nach Mannschaften sortiert'!G89</f>
        <v>0</v>
      </c>
      <c r="H35" s="50">
        <f>'Nach Mannschaften sortiert'!H89</f>
        <v>0</v>
      </c>
    </row>
    <row r="36" spans="1:8" hidden="1" x14ac:dyDescent="0.3">
      <c r="A36" s="54">
        <f>'Nach Mannschaften sortiert'!A59</f>
        <v>58</v>
      </c>
      <c r="B36" s="54">
        <f>'Nach Mannschaften sortiert'!B59</f>
        <v>2</v>
      </c>
      <c r="C36" s="54" t="str">
        <f>'Nach Mannschaften sortiert'!C59</f>
        <v>U14</v>
      </c>
      <c r="D36" s="55">
        <f>'Nach Mannschaften sortiert'!D59</f>
        <v>46034</v>
      </c>
      <c r="E36" s="97">
        <f>'Nach Mannschaften sortiert'!E59</f>
        <v>0</v>
      </c>
      <c r="F36" s="54">
        <f>'Nach Mannschaften sortiert'!F59</f>
        <v>0</v>
      </c>
      <c r="G36" s="54">
        <f>'Nach Mannschaften sortiert'!G59</f>
        <v>0</v>
      </c>
      <c r="H36" s="54">
        <f>'Nach Mannschaften sortiert'!H59</f>
        <v>0</v>
      </c>
    </row>
    <row r="37" spans="1:8" hidden="1" x14ac:dyDescent="0.3">
      <c r="A37" s="54">
        <f>'Nach Mannschaften sortiert'!A60</f>
        <v>59</v>
      </c>
      <c r="B37" s="54">
        <f>'Nach Mannschaften sortiert'!B60</f>
        <v>3</v>
      </c>
      <c r="C37" s="54" t="str">
        <f>'Nach Mannschaften sortiert'!C60</f>
        <v>U14</v>
      </c>
      <c r="D37" s="55">
        <f>'Nach Mannschaften sortiert'!D60</f>
        <v>46035</v>
      </c>
      <c r="E37" s="97">
        <f>'Nach Mannschaften sortiert'!E60</f>
        <v>0</v>
      </c>
      <c r="F37" s="54">
        <f>'Nach Mannschaften sortiert'!F60</f>
        <v>0</v>
      </c>
      <c r="G37" s="54">
        <f>'Nach Mannschaften sortiert'!G60</f>
        <v>0</v>
      </c>
      <c r="H37" s="54">
        <f>'Nach Mannschaften sortiert'!H60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sortiert'!A62</f>
        <v>61</v>
      </c>
      <c r="B40" s="54">
        <f>'Nach Mannschaften sortiert'!B62</f>
        <v>5</v>
      </c>
      <c r="C40" s="54" t="str">
        <f>'Nach Mannschaften sortiert'!C62</f>
        <v>U14</v>
      </c>
      <c r="D40" s="55">
        <f>'Nach Mannschaften sortiert'!D62</f>
        <v>46037</v>
      </c>
      <c r="E40" s="97">
        <f>'Nach Mannschaften sortiert'!E62</f>
        <v>0</v>
      </c>
      <c r="F40" s="54">
        <f>'Nach Mannschaften sortiert'!F62</f>
        <v>0</v>
      </c>
      <c r="G40" s="54">
        <f>'Nach Mannschaften sortiert'!G62</f>
        <v>0</v>
      </c>
      <c r="H40" s="54">
        <f>'Nach Mannschaften sortiert'!H62</f>
        <v>0</v>
      </c>
    </row>
    <row r="41" spans="1:8" x14ac:dyDescent="0.3">
      <c r="A41" s="48">
        <f>'Nach Mannschaften sortiert'!A27</f>
        <v>26</v>
      </c>
      <c r="B41" s="48">
        <f>'Nach Mannschaften sortiert'!B27</f>
        <v>6</v>
      </c>
      <c r="C41" s="48" t="str">
        <f>'Nach Mannschaften sortiert'!C27</f>
        <v>KM</v>
      </c>
      <c r="D41" s="49">
        <f>'Nach Mannschaften sortiert'!D27</f>
        <v>46284</v>
      </c>
      <c r="E41" s="99">
        <f>'Nach Mannschaften sortiert'!E27</f>
        <v>0.66666666666666663</v>
      </c>
      <c r="F41" s="48" t="str">
        <f>'Nach Mannschaften sortiert'!F27</f>
        <v>Gattendorf</v>
      </c>
      <c r="G41" s="48" t="str">
        <f>'Nach Mannschaften sortiert'!G27</f>
        <v>Gattendorf</v>
      </c>
      <c r="H41" s="48" t="str">
        <f>'Nach Mannschaften sortiert'!H27</f>
        <v>Auswärts</v>
      </c>
    </row>
    <row r="42" spans="1:8" x14ac:dyDescent="0.3">
      <c r="A42" s="54">
        <f>'Nach Mannschaften sortiert'!A93</f>
        <v>92</v>
      </c>
      <c r="B42" s="54">
        <f>'Nach Mannschaften sortiert'!B93</f>
        <v>6</v>
      </c>
      <c r="C42" s="54" t="str">
        <f>'Nach Mannschaften sortiert'!C93</f>
        <v>U11</v>
      </c>
      <c r="D42" s="55">
        <f>'Nach Mannschaften sortiert'!D93</f>
        <v>46068</v>
      </c>
      <c r="E42" s="97">
        <f>'Nach Mannschaften sortiert'!E93</f>
        <v>0</v>
      </c>
      <c r="F42" s="54">
        <f>'Nach Mannschaften sortiert'!F93</f>
        <v>0</v>
      </c>
      <c r="G42" s="54">
        <f>'Nach Mannschaften sortiert'!G93</f>
        <v>0</v>
      </c>
      <c r="H42" s="54">
        <f>'Nach Mannschaften sortiert'!H93</f>
        <v>0</v>
      </c>
    </row>
    <row r="43" spans="1:8" hidden="1" x14ac:dyDescent="0.3">
      <c r="A43" s="54">
        <f>'Nach Mannschaften sortiert'!A67</f>
        <v>66</v>
      </c>
      <c r="B43" s="54">
        <f>'Nach Mannschaften sortiert'!B67</f>
        <v>10</v>
      </c>
      <c r="C43" s="54" t="str">
        <f>'Nach Mannschaften sortiert'!C67</f>
        <v>U14</v>
      </c>
      <c r="D43" s="55">
        <f>'Nach Mannschaften sortiert'!D67</f>
        <v>46042</v>
      </c>
      <c r="E43" s="97">
        <f>'Nach Mannschaften sortiert'!E67</f>
        <v>0</v>
      </c>
      <c r="F43" s="54">
        <f>'Nach Mannschaften sortiert'!F67</f>
        <v>0</v>
      </c>
      <c r="G43" s="54">
        <f>'Nach Mannschaften sortiert'!G67</f>
        <v>0</v>
      </c>
      <c r="H43" s="54">
        <f>'Nach Mannschaften sortiert'!H67</f>
        <v>0</v>
      </c>
    </row>
    <row r="44" spans="1:8" x14ac:dyDescent="0.3">
      <c r="A44" s="50">
        <f>'Nach Mannschaften sortiert'!A70</f>
        <v>69</v>
      </c>
      <c r="B44" s="50">
        <f>'Nach Mannschaften sortiert'!B70</f>
        <v>3</v>
      </c>
      <c r="C44" s="50" t="str">
        <f>'Nach Mannschaften sortiert'!C70</f>
        <v>U12_1</v>
      </c>
      <c r="D44" s="51">
        <f>'Nach Mannschaften sortiert'!D70</f>
        <v>46045</v>
      </c>
      <c r="E44" s="101">
        <f>'Nach Mannschaften sortiert'!E70</f>
        <v>0</v>
      </c>
      <c r="F44" s="50">
        <f>'Nach Mannschaften sortiert'!F70</f>
        <v>0</v>
      </c>
      <c r="G44" s="50">
        <f>'Nach Mannschaften sortiert'!G70</f>
        <v>0</v>
      </c>
      <c r="H44" s="50">
        <f>'Nach Mannschaften sortiert'!H70</f>
        <v>0</v>
      </c>
    </row>
    <row r="45" spans="1:8" x14ac:dyDescent="0.3">
      <c r="A45" s="50">
        <f>'Nach Mannschaften sortiert'!A61</f>
        <v>60</v>
      </c>
      <c r="B45" s="50">
        <f>'Nach Mannschaften sortiert'!B61</f>
        <v>4</v>
      </c>
      <c r="C45" s="50" t="str">
        <f>'Nach Mannschaften sortiert'!C61</f>
        <v>U14</v>
      </c>
      <c r="D45" s="51">
        <f>'Nach Mannschaften sortiert'!D61</f>
        <v>46036</v>
      </c>
      <c r="E45" s="101">
        <f>'Nach Mannschaften sortiert'!E61</f>
        <v>0</v>
      </c>
      <c r="F45" s="50">
        <f>'Nach Mannschaften sortiert'!F61</f>
        <v>0</v>
      </c>
      <c r="G45" s="50">
        <f>'Nach Mannschaften sortiert'!G61</f>
        <v>0</v>
      </c>
      <c r="H45" s="50">
        <f>'Nach Mannschaften sortiert'!H61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sortiert'!A69</f>
        <v>68</v>
      </c>
      <c r="B47" s="54">
        <f>'Nach Mannschaften sortiert'!B69</f>
        <v>2</v>
      </c>
      <c r="C47" s="54" t="str">
        <f>'Nach Mannschaften sortiert'!C69</f>
        <v>U12_1</v>
      </c>
      <c r="D47" s="55">
        <f>'Nach Mannschaften sortiert'!D69</f>
        <v>46044</v>
      </c>
      <c r="E47" s="97">
        <f>'Nach Mannschaften sortiert'!E69</f>
        <v>0</v>
      </c>
      <c r="F47" s="54">
        <f>'Nach Mannschaften sortiert'!F69</f>
        <v>0</v>
      </c>
      <c r="G47" s="54">
        <f>'Nach Mannschaften sortiert'!G69</f>
        <v>0</v>
      </c>
      <c r="H47" s="54">
        <f>'Nach Mannschaften sortiert'!H69</f>
        <v>0</v>
      </c>
    </row>
    <row r="48" spans="1:8" x14ac:dyDescent="0.3">
      <c r="A48" s="48">
        <f>'Nach Mannschaften sortiert'!A51</f>
        <v>50</v>
      </c>
      <c r="B48" s="48">
        <f>'Nach Mannschaften sortiert'!B51</f>
        <v>4</v>
      </c>
      <c r="C48" s="48" t="str">
        <f>'Nach Mannschaften sortiert'!C51</f>
        <v>U16</v>
      </c>
      <c r="D48" s="49">
        <f>'Nach Mannschaften sortiert'!D51</f>
        <v>46026</v>
      </c>
      <c r="E48" s="99">
        <f>'Nach Mannschaften sortiert'!E51</f>
        <v>0</v>
      </c>
      <c r="F48" s="48">
        <f>'Nach Mannschaften sortiert'!F51</f>
        <v>0</v>
      </c>
      <c r="G48" s="48">
        <f>'Nach Mannschaften sortiert'!G51</f>
        <v>0</v>
      </c>
      <c r="H48" s="48">
        <f>'Nach Mannschaften sortiert'!H51</f>
        <v>0</v>
      </c>
    </row>
    <row r="49" spans="1:8" hidden="1" x14ac:dyDescent="0.3">
      <c r="A49" s="54">
        <f>'Nach Mannschaften sortiert'!A71</f>
        <v>70</v>
      </c>
      <c r="B49" s="54">
        <f>'Nach Mannschaften sortiert'!B71</f>
        <v>4</v>
      </c>
      <c r="C49" s="54" t="str">
        <f>'Nach Mannschaften sortiert'!C71</f>
        <v>U12_1</v>
      </c>
      <c r="D49" s="55">
        <f>'Nach Mannschaften sortiert'!D71</f>
        <v>46046</v>
      </c>
      <c r="E49" s="97">
        <f>'Nach Mannschaften sortiert'!E71</f>
        <v>0</v>
      </c>
      <c r="F49" s="54">
        <f>'Nach Mannschaften sortiert'!F71</f>
        <v>0</v>
      </c>
      <c r="G49" s="54">
        <f>'Nach Mannschaften sortiert'!G71</f>
        <v>0</v>
      </c>
      <c r="H49" s="54">
        <f>'Nach Mannschaften sortiert'!H71</f>
        <v>0</v>
      </c>
    </row>
    <row r="50" spans="1:8" hidden="1" x14ac:dyDescent="0.3">
      <c r="A50" s="54">
        <f>'Nach Mannschaften sortiert'!A72</f>
        <v>71</v>
      </c>
      <c r="B50" s="54">
        <f>'Nach Mannschaften sortiert'!B72</f>
        <v>5</v>
      </c>
      <c r="C50" s="54" t="str">
        <f>'Nach Mannschaften sortiert'!C72</f>
        <v>U12_1</v>
      </c>
      <c r="D50" s="55">
        <f>'Nach Mannschaften sortiert'!D72</f>
        <v>46047</v>
      </c>
      <c r="E50" s="97">
        <f>'Nach Mannschaften sortiert'!E72</f>
        <v>0</v>
      </c>
      <c r="F50" s="54">
        <f>'Nach Mannschaften sortiert'!F72</f>
        <v>0</v>
      </c>
      <c r="G50" s="54">
        <f>'Nach Mannschaften sortiert'!G72</f>
        <v>0</v>
      </c>
      <c r="H50" s="54">
        <f>'Nach Mannschaften sortiert'!H72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sortiert'!A29</f>
        <v>28</v>
      </c>
      <c r="B52" s="48">
        <f>'Nach Mannschaften sortiert'!B29</f>
        <v>8</v>
      </c>
      <c r="C52" s="48" t="str">
        <f>'Nach Mannschaften sortiert'!C29</f>
        <v>KM</v>
      </c>
      <c r="D52" s="49">
        <f>'Nach Mannschaften sortiert'!D29</f>
        <v>46297</v>
      </c>
      <c r="E52" s="99">
        <f>'Nach Mannschaften sortiert'!E29</f>
        <v>0.79166666666666663</v>
      </c>
      <c r="F52" s="48" t="str">
        <f>'Nach Mannschaften sortiert'!F29</f>
        <v>Siegendorf</v>
      </c>
      <c r="G52" s="48" t="str">
        <f>'Nach Mannschaften sortiert'!G29</f>
        <v>Siegendorf</v>
      </c>
      <c r="H52" s="48" t="str">
        <f>'Nach Mannschaften sortiert'!H29</f>
        <v>Auswärts</v>
      </c>
    </row>
    <row r="53" spans="1:8" hidden="1" x14ac:dyDescent="0.3">
      <c r="A53" s="54">
        <f>'Nach Mannschaften sortiert'!A74</f>
        <v>73</v>
      </c>
      <c r="B53" s="54">
        <f>'Nach Mannschaften sortiert'!B74</f>
        <v>7</v>
      </c>
      <c r="C53" s="54" t="str">
        <f>'Nach Mannschaften sortiert'!C74</f>
        <v>U12_1</v>
      </c>
      <c r="D53" s="55">
        <f>'Nach Mannschaften sortiert'!D74</f>
        <v>46049</v>
      </c>
      <c r="E53" s="97">
        <f>'Nach Mannschaften sortiert'!E74</f>
        <v>0</v>
      </c>
      <c r="F53" s="54">
        <f>'Nach Mannschaften sortiert'!F74</f>
        <v>0</v>
      </c>
      <c r="G53" s="54">
        <f>'Nach Mannschaften sortiert'!G74</f>
        <v>0</v>
      </c>
      <c r="H53" s="54">
        <f>'Nach Mannschaften sortiert'!H74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sortiert'!A88</f>
        <v>87</v>
      </c>
      <c r="B55" s="54">
        <f>'Nach Mannschaften sortiert'!B88</f>
        <v>1</v>
      </c>
      <c r="C55" s="54" t="str">
        <f>'Nach Mannschaften sortiert'!C88</f>
        <v>U11</v>
      </c>
      <c r="D55" s="55">
        <f>'Nach Mannschaften sortiert'!D88</f>
        <v>46063</v>
      </c>
      <c r="E55" s="97">
        <f>'Nach Mannschaften sortiert'!E88</f>
        <v>0</v>
      </c>
      <c r="F55" s="54">
        <f>'Nach Mannschaften sortiert'!F88</f>
        <v>0</v>
      </c>
      <c r="G55" s="54">
        <f>'Nach Mannschaften sortiert'!G88</f>
        <v>0</v>
      </c>
      <c r="H55" s="54">
        <f>'Nach Mannschaften sortiert'!H88</f>
        <v>0</v>
      </c>
    </row>
    <row r="56" spans="1:8" x14ac:dyDescent="0.3">
      <c r="A56" s="48">
        <f>'Nach Mannschaften sortiert'!A94</f>
        <v>93</v>
      </c>
      <c r="B56" s="48">
        <f>'Nach Mannschaften sortiert'!B94</f>
        <v>7</v>
      </c>
      <c r="C56" s="48" t="str">
        <f>'Nach Mannschaften sortiert'!C94</f>
        <v>U11</v>
      </c>
      <c r="D56" s="49">
        <f>'Nach Mannschaften sortiert'!D94</f>
        <v>46069</v>
      </c>
      <c r="E56" s="99">
        <f>'Nach Mannschaften sortiert'!E94</f>
        <v>0</v>
      </c>
      <c r="F56" s="48">
        <f>'Nach Mannschaften sortiert'!F94</f>
        <v>0</v>
      </c>
      <c r="G56" s="48">
        <f>'Nach Mannschaften sortiert'!G94</f>
        <v>0</v>
      </c>
      <c r="H56" s="48">
        <f>'Nach Mannschaften sortiert'!H94</f>
        <v>0</v>
      </c>
    </row>
    <row r="57" spans="1:8" hidden="1" x14ac:dyDescent="0.3">
      <c r="A57" s="54">
        <f>'Nach Mannschaften sortiert'!A91</f>
        <v>90</v>
      </c>
      <c r="B57" s="54">
        <f>'Nach Mannschaften sortiert'!B91</f>
        <v>4</v>
      </c>
      <c r="C57" s="54" t="str">
        <f>'Nach Mannschaften sortiert'!C91</f>
        <v>U11</v>
      </c>
      <c r="D57" s="55">
        <f>'Nach Mannschaften sortiert'!D91</f>
        <v>46066</v>
      </c>
      <c r="E57" s="97">
        <f>'Nach Mannschaften sortiert'!E91</f>
        <v>0</v>
      </c>
      <c r="F57" s="54">
        <f>'Nach Mannschaften sortiert'!F91</f>
        <v>0</v>
      </c>
      <c r="G57" s="54">
        <f>'Nach Mannschaften sortiert'!G91</f>
        <v>0</v>
      </c>
      <c r="H57" s="54">
        <f>'Nach Mannschaften sortiert'!H91</f>
        <v>0</v>
      </c>
    </row>
    <row r="58" spans="1:8" x14ac:dyDescent="0.3">
      <c r="A58" s="48">
        <f>'Nach Mannschaften sortiert'!A31</f>
        <v>30</v>
      </c>
      <c r="B58" s="48">
        <f>'Nach Mannschaften sortiert'!B31</f>
        <v>10</v>
      </c>
      <c r="C58" s="48" t="str">
        <f>'Nach Mannschaften sortiert'!C31</f>
        <v>KM</v>
      </c>
      <c r="D58" s="49">
        <f>'Nach Mannschaften sortiert'!D31</f>
        <v>46311</v>
      </c>
      <c r="E58" s="99">
        <f>'Nach Mannschaften sortiert'!E31</f>
        <v>0.8125</v>
      </c>
      <c r="F58" s="48" t="str">
        <f>'Nach Mannschaften sortiert'!F31</f>
        <v>Hornstein</v>
      </c>
      <c r="G58" s="48" t="str">
        <f>'Nach Mannschaften sortiert'!G31</f>
        <v>Hornstein</v>
      </c>
      <c r="H58" s="48" t="str">
        <f>'Nach Mannschaften sortiert'!H31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sortiert'!A65</f>
        <v>64</v>
      </c>
      <c r="B60" s="48">
        <f>'Nach Mannschaften sortiert'!B65</f>
        <v>8</v>
      </c>
      <c r="C60" s="48" t="str">
        <f>'Nach Mannschaften sortiert'!C65</f>
        <v>U14</v>
      </c>
      <c r="D60" s="49">
        <f>'Nach Mannschaften sortiert'!D65</f>
        <v>46040</v>
      </c>
      <c r="E60" s="99">
        <f>'Nach Mannschaften sortiert'!E65</f>
        <v>0</v>
      </c>
      <c r="F60" s="48">
        <f>'Nach Mannschaften sortiert'!F65</f>
        <v>0</v>
      </c>
      <c r="G60" s="48">
        <f>'Nach Mannschaften sortiert'!G65</f>
        <v>0</v>
      </c>
      <c r="H60" s="48">
        <f>'Nach Mannschaften sortiert'!H65</f>
        <v>0</v>
      </c>
    </row>
    <row r="61" spans="1:8" hidden="1" x14ac:dyDescent="0.3">
      <c r="A61" s="54">
        <f>'Nach Mannschaften sortiert'!A95</f>
        <v>94</v>
      </c>
      <c r="B61" s="54">
        <f>'Nach Mannschaften sortiert'!B95</f>
        <v>8</v>
      </c>
      <c r="C61" s="54" t="str">
        <f>'Nach Mannschaften sortiert'!C95</f>
        <v>U11</v>
      </c>
      <c r="D61" s="55">
        <f>'Nach Mannschaften sortiert'!D95</f>
        <v>46070</v>
      </c>
      <c r="E61" s="97">
        <f>'Nach Mannschaften sortiert'!E95</f>
        <v>0</v>
      </c>
      <c r="F61" s="54">
        <f>'Nach Mannschaften sortiert'!F95</f>
        <v>0</v>
      </c>
      <c r="G61" s="54">
        <f>'Nach Mannschaften sortiert'!G95</f>
        <v>0</v>
      </c>
      <c r="H61" s="54">
        <f>'Nach Mannschaften sortiert'!H95</f>
        <v>0</v>
      </c>
    </row>
    <row r="62" spans="1:8" x14ac:dyDescent="0.3">
      <c r="A62" s="46">
        <f>'Nach Mannschaften sortiert'!A66</f>
        <v>65</v>
      </c>
      <c r="B62" s="46">
        <f>'Nach Mannschaften sortiert'!B66</f>
        <v>9</v>
      </c>
      <c r="C62" s="46" t="str">
        <f>'Nach Mannschaften sortiert'!C66</f>
        <v>U14</v>
      </c>
      <c r="D62" s="47">
        <f>'Nach Mannschaften sortiert'!D66</f>
        <v>46041</v>
      </c>
      <c r="E62" s="100">
        <f>'Nach Mannschaften sortiert'!E66</f>
        <v>0</v>
      </c>
      <c r="F62" s="46">
        <f>'Nach Mannschaften sortiert'!F66</f>
        <v>0</v>
      </c>
      <c r="G62" s="46">
        <f>'Nach Mannschaften sortiert'!G66</f>
        <v>0</v>
      </c>
      <c r="H62" s="46">
        <f>'Nach Mannschaften sortiert'!H66</f>
        <v>0</v>
      </c>
    </row>
    <row r="63" spans="1:8" hidden="1" x14ac:dyDescent="0.3">
      <c r="A63" s="54">
        <f>'Nach Mannschaften sortiert'!A97</f>
        <v>96</v>
      </c>
      <c r="B63" s="54">
        <f>'Nach Mannschaften sortiert'!B97</f>
        <v>10</v>
      </c>
      <c r="C63" s="54" t="str">
        <f>'Nach Mannschaften sortiert'!C97</f>
        <v>U11</v>
      </c>
      <c r="D63" s="55">
        <f>'Nach Mannschaften sortiert'!D97</f>
        <v>46072</v>
      </c>
      <c r="E63" s="97">
        <f>'Nach Mannschaften sortiert'!E97</f>
        <v>0</v>
      </c>
      <c r="F63" s="54">
        <f>'Nach Mannschaften sortiert'!F97</f>
        <v>0</v>
      </c>
      <c r="G63" s="54">
        <f>'Nach Mannschaften sortiert'!G97</f>
        <v>0</v>
      </c>
      <c r="H63" s="54">
        <f>'Nach Mannschaften sortiert'!H97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sortiert'!A96</f>
        <v>95</v>
      </c>
      <c r="B65" s="48">
        <f>'Nach Mannschaften sortiert'!B96</f>
        <v>9</v>
      </c>
      <c r="C65" s="48" t="str">
        <f>'Nach Mannschaften sortiert'!C96</f>
        <v>U11</v>
      </c>
      <c r="D65" s="49">
        <v>46164</v>
      </c>
      <c r="E65" s="99">
        <v>0.70833333333333337</v>
      </c>
      <c r="F65" s="48">
        <f>'Nach Mannschaften sortiert'!F96</f>
        <v>0</v>
      </c>
      <c r="G65" s="48">
        <f>'Nach Mannschaften sortiert'!G96</f>
        <v>0</v>
      </c>
      <c r="H65" s="48">
        <f>'Nach Mannschaften sortiert'!H96</f>
        <v>0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46079</v>
      </c>
      <c r="E66" s="97">
        <f>'Nach Mannschaften sortiert'!E104</f>
        <v>0</v>
      </c>
      <c r="F66" s="54">
        <f>'Nach Mannschaften sortiert'!F104</f>
        <v>0</v>
      </c>
      <c r="G66" s="54">
        <f>'Nach Mannschaften sortiert'!G104</f>
        <v>0</v>
      </c>
      <c r="H66" s="54">
        <f>'Nach Mannschaften sortiert'!H104</f>
        <v>0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46080</v>
      </c>
      <c r="E67" s="97">
        <f>'Nach Mannschaften sortiert'!E105</f>
        <v>0</v>
      </c>
      <c r="F67" s="54">
        <f>'Nach Mannschaften sortiert'!F105</f>
        <v>0</v>
      </c>
      <c r="G67" s="54">
        <f>'Nach Mannschaften sortiert'!G105</f>
        <v>0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46081</v>
      </c>
      <c r="E68" s="97">
        <f>'Nach Mannschaften sortiert'!E106</f>
        <v>0</v>
      </c>
      <c r="F68" s="54">
        <f>'Nach Mannschaften sortiert'!F106</f>
        <v>0</v>
      </c>
      <c r="G68" s="54">
        <f>'Nach Mannschaften sortiert'!G106</f>
        <v>0</v>
      </c>
      <c r="H68" s="54">
        <f>'Nach Mannschaften sortiert'!H106</f>
        <v>0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46087</v>
      </c>
      <c r="E69" s="97">
        <f>'Nach Mannschaften sortiert'!E112</f>
        <v>0</v>
      </c>
      <c r="F69" s="54">
        <f>'Nach Mannschaften sortiert'!F112</f>
        <v>0</v>
      </c>
      <c r="G69" s="54">
        <f>'Nach Mannschaften sortiert'!G112</f>
        <v>0</v>
      </c>
      <c r="H69" s="54">
        <f>'Nach Mannschaften sortiert'!H112</f>
        <v>0</v>
      </c>
    </row>
    <row r="70" spans="1:8" x14ac:dyDescent="0.3">
      <c r="A70" s="48">
        <f>'Nach Mannschaften sortiert'!A73</f>
        <v>72</v>
      </c>
      <c r="B70" s="48">
        <f>'Nach Mannschaften sortiert'!B73</f>
        <v>6</v>
      </c>
      <c r="C70" s="48" t="str">
        <f>'Nach Mannschaften sortiert'!C73</f>
        <v>U12_1</v>
      </c>
      <c r="D70" s="49">
        <f>'Nach Mannschaften sortiert'!D73</f>
        <v>46048</v>
      </c>
      <c r="E70" s="99">
        <f>'Nach Mannschaften sortiert'!E73</f>
        <v>0</v>
      </c>
      <c r="F70" s="48">
        <f>'Nach Mannschaften sortiert'!F73</f>
        <v>0</v>
      </c>
      <c r="G70" s="48">
        <f>'Nach Mannschaften sortiert'!G73</f>
        <v>0</v>
      </c>
      <c r="H70" s="48">
        <f>'Nach Mannschaften sortiert'!H73</f>
        <v>0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46089</v>
      </c>
      <c r="E71" s="97">
        <f>'Nach Mannschaften sortiert'!E114</f>
        <v>0</v>
      </c>
      <c r="F71" s="54">
        <f>'Nach Mannschaften sortiert'!F114</f>
        <v>0</v>
      </c>
      <c r="G71" s="54">
        <f>'Nach Mannschaften sortiert'!G114</f>
        <v>0</v>
      </c>
      <c r="H71" s="54">
        <f>'Nach Mannschaften sortiert'!H114</f>
        <v>0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46090</v>
      </c>
      <c r="E72" s="97">
        <f>'Nach Mannschaften sortiert'!E115</f>
        <v>0</v>
      </c>
      <c r="F72" s="54">
        <f>'Nach Mannschaften sortiert'!F115</f>
        <v>0</v>
      </c>
      <c r="G72" s="54">
        <f>'Nach Mannschaften sortiert'!G115</f>
        <v>0</v>
      </c>
      <c r="H72" s="54">
        <f>'Nach Mannschaften sortiert'!H115</f>
        <v>0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46091</v>
      </c>
      <c r="E73" s="97">
        <f>'Nach Mannschaften sortiert'!E116</f>
        <v>0</v>
      </c>
      <c r="F73" s="54">
        <f>'Nach Mannschaften sortiert'!F116</f>
        <v>0</v>
      </c>
      <c r="G73" s="54">
        <f>'Nach Mannschaften sortiert'!G116</f>
        <v>0</v>
      </c>
      <c r="H73" s="54">
        <f>'Nach Mannschaften sortiert'!H116</f>
        <v>0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46092</v>
      </c>
      <c r="E74" s="97">
        <f>'Nach Mannschaften sortiert'!E117</f>
        <v>0</v>
      </c>
      <c r="F74" s="54">
        <f>'Nach Mannschaften sortiert'!F117</f>
        <v>0</v>
      </c>
      <c r="G74" s="54">
        <f>'Nach Mannschaften sortiert'!G117</f>
        <v>0</v>
      </c>
      <c r="H74" s="54">
        <f>'Nach Mannschaften sortiert'!H117</f>
        <v>0</v>
      </c>
    </row>
    <row r="75" spans="1:8" x14ac:dyDescent="0.3">
      <c r="A75" s="48">
        <f>'Nach Mannschaften sortiert'!A34</f>
        <v>33</v>
      </c>
      <c r="B75" s="48">
        <f>'Nach Mannschaften sortiert'!B34</f>
        <v>13</v>
      </c>
      <c r="C75" s="48" t="str">
        <f>'Nach Mannschaften sortiert'!C34</f>
        <v>KM</v>
      </c>
      <c r="D75" s="49">
        <f>'Nach Mannschaften sortiert'!D34</f>
        <v>46333</v>
      </c>
      <c r="E75" s="99">
        <f>'Nach Mannschaften sortiert'!E34</f>
        <v>0.6875</v>
      </c>
      <c r="F75" s="48" t="str">
        <f>'Nach Mannschaften sortiert'!F34</f>
        <v>Neufeld</v>
      </c>
      <c r="G75" s="48" t="str">
        <f>'Nach Mannschaften sortiert'!G34</f>
        <v>Andau</v>
      </c>
      <c r="H75" s="48" t="str">
        <f>'Nach Mannschaften sortiert'!H34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46094</v>
      </c>
      <c r="E76" s="97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46095</v>
      </c>
      <c r="E77" s="97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46096</v>
      </c>
      <c r="E78" s="97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46097</v>
      </c>
      <c r="E79" s="97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sortiert'!A75</f>
        <v>74</v>
      </c>
      <c r="B80" s="48">
        <f>'Nach Mannschaften sortiert'!B75</f>
        <v>8</v>
      </c>
      <c r="C80" s="48" t="str">
        <f>'Nach Mannschaften sortiert'!C75</f>
        <v>U12_1</v>
      </c>
      <c r="D80" s="49">
        <f>'Nach Mannschaften sortiert'!D75</f>
        <v>46050</v>
      </c>
      <c r="E80" s="99">
        <f>'Nach Mannschaften sortiert'!E75</f>
        <v>0</v>
      </c>
      <c r="F80" s="48">
        <f>'Nach Mannschaften sortiert'!F75</f>
        <v>0</v>
      </c>
      <c r="G80" s="48">
        <f>'Nach Mannschaften sortiert'!G75</f>
        <v>0</v>
      </c>
      <c r="H80" s="48">
        <f>'Nach Mannschaften sortiert'!H75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sortiert'!A57</f>
        <v>56</v>
      </c>
      <c r="B82" s="48">
        <f>'Nach Mannschaften sortiert'!B57</f>
        <v>10</v>
      </c>
      <c r="C82" s="48" t="str">
        <f>'Nach Mannschaften sortiert'!C57</f>
        <v>U16</v>
      </c>
      <c r="D82" s="49">
        <f>'Nach Mannschaften sortiert'!D57</f>
        <v>46032</v>
      </c>
      <c r="E82" s="99">
        <f>'Nach Mannschaften sortiert'!E57</f>
        <v>0</v>
      </c>
      <c r="F82" s="48">
        <f>'Nach Mannschaften sortiert'!F57</f>
        <v>0</v>
      </c>
      <c r="G82" s="48">
        <f>'Nach Mannschaften sortiert'!G57</f>
        <v>0</v>
      </c>
      <c r="H82" s="48">
        <f>'Nach Mannschaften sortiert'!H57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GGG</v>
      </c>
      <c r="D84" s="55">
        <f>'Nach Mannschaften sortiert'!D134</f>
        <v>46256</v>
      </c>
      <c r="E84" s="97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48</v>
      </c>
      <c r="B1" t="s">
        <v>158</v>
      </c>
      <c r="C1" t="s">
        <v>159</v>
      </c>
    </row>
    <row r="2" spans="1:3" x14ac:dyDescent="0.3">
      <c r="A2" t="s">
        <v>51</v>
      </c>
      <c r="B2" t="s">
        <v>160</v>
      </c>
      <c r="C2" t="s">
        <v>161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162</v>
      </c>
      <c r="D1" s="56" t="s">
        <v>5</v>
      </c>
      <c r="E1" s="56" t="s">
        <v>6</v>
      </c>
      <c r="F1" s="56" t="s">
        <v>163</v>
      </c>
      <c r="G1" s="56" t="s">
        <v>164</v>
      </c>
      <c r="H1" s="56" t="s">
        <v>165</v>
      </c>
      <c r="I1" s="56" t="s">
        <v>166</v>
      </c>
      <c r="J1" s="56" t="s">
        <v>167</v>
      </c>
      <c r="K1" s="56" t="s">
        <v>168</v>
      </c>
    </row>
    <row r="2" spans="1:11" ht="15.6" customHeight="1" x14ac:dyDescent="0.3">
      <c r="A2" s="57" t="s">
        <v>52</v>
      </c>
      <c r="B2" s="105">
        <v>46091</v>
      </c>
      <c r="C2" s="106">
        <v>0.6875</v>
      </c>
      <c r="D2" s="57" t="s">
        <v>23</v>
      </c>
      <c r="E2" s="57" t="s">
        <v>169</v>
      </c>
      <c r="F2" s="57" t="s">
        <v>52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170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171</v>
      </c>
      <c r="B4" s="105">
        <v>46095</v>
      </c>
      <c r="C4" s="106">
        <v>0.54166666666666663</v>
      </c>
      <c r="D4" s="57" t="s">
        <v>23</v>
      </c>
      <c r="E4" s="57" t="s">
        <v>172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170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173</v>
      </c>
      <c r="B6" s="105">
        <v>46096</v>
      </c>
      <c r="C6" s="106">
        <v>0.45833333333333331</v>
      </c>
      <c r="D6" s="57" t="s">
        <v>23</v>
      </c>
      <c r="E6" s="57" t="s">
        <v>174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170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175</v>
      </c>
      <c r="B8" s="105">
        <v>46102</v>
      </c>
      <c r="C8" s="106">
        <v>0.5</v>
      </c>
      <c r="D8" s="57" t="s">
        <v>23</v>
      </c>
      <c r="E8" s="57" t="s">
        <v>176</v>
      </c>
      <c r="F8" s="57" t="s">
        <v>177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170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170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170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170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27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170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170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170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140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170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170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170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170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170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170</v>
      </c>
      <c r="G23" s="57" t="str">
        <f t="shared" si="0"/>
        <v>Großfeld</v>
      </c>
      <c r="H23" s="57" t="s">
        <v>178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170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170</v>
      </c>
      <c r="G25" s="57" t="str">
        <f t="shared" si="0"/>
        <v>Großfeld</v>
      </c>
      <c r="H25" s="57" t="s">
        <v>178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170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170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170</v>
      </c>
      <c r="G28" s="57" t="str">
        <f t="shared" si="0"/>
        <v>Großfeld</v>
      </c>
      <c r="H28" s="57" t="s">
        <v>178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170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170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170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170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170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170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170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170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179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170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170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52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53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170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177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170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170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170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170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170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170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177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170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27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170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140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170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170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170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170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170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170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177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170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170</v>
      </c>
      <c r="G66" t="str">
        <f t="shared" ref="G66:G9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170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170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170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170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170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170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170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27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170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170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170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170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27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177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140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170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140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27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180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180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181</v>
      </c>
      <c r="B1" t="s">
        <v>182</v>
      </c>
      <c r="C1" t="s">
        <v>72</v>
      </c>
      <c r="D1" t="s">
        <v>183</v>
      </c>
    </row>
    <row r="2" spans="1:4" x14ac:dyDescent="0.3">
      <c r="A2" t="s">
        <v>184</v>
      </c>
      <c r="B2" t="s">
        <v>185</v>
      </c>
      <c r="C2" t="s">
        <v>186</v>
      </c>
      <c r="D2" t="s">
        <v>187</v>
      </c>
    </row>
    <row r="3" spans="1:4" x14ac:dyDescent="0.3">
      <c r="A3" t="s">
        <v>188</v>
      </c>
      <c r="B3" t="s">
        <v>189</v>
      </c>
      <c r="C3" t="s">
        <v>190</v>
      </c>
      <c r="D3" t="s">
        <v>187</v>
      </c>
    </row>
    <row r="4" spans="1:4" x14ac:dyDescent="0.3">
      <c r="A4" t="s">
        <v>191</v>
      </c>
      <c r="B4" t="s">
        <v>192</v>
      </c>
      <c r="C4" t="s">
        <v>192</v>
      </c>
      <c r="D4" t="s">
        <v>187</v>
      </c>
    </row>
    <row r="5" spans="1:4" x14ac:dyDescent="0.3">
      <c r="A5" t="s">
        <v>193</v>
      </c>
      <c r="B5" t="s">
        <v>194</v>
      </c>
      <c r="C5" t="s">
        <v>195</v>
      </c>
      <c r="D5" t="s">
        <v>187</v>
      </c>
    </row>
    <row r="6" spans="1:4" x14ac:dyDescent="0.3">
      <c r="A6" t="s">
        <v>196</v>
      </c>
      <c r="B6" t="s">
        <v>197</v>
      </c>
      <c r="C6" t="s">
        <v>197</v>
      </c>
      <c r="D6" t="s">
        <v>187</v>
      </c>
    </row>
    <row r="7" spans="1:4" x14ac:dyDescent="0.3">
      <c r="A7" t="s">
        <v>198</v>
      </c>
      <c r="B7" t="s">
        <v>199</v>
      </c>
      <c r="C7" t="s">
        <v>199</v>
      </c>
      <c r="D7" t="s">
        <v>187</v>
      </c>
    </row>
    <row r="8" spans="1:4" x14ac:dyDescent="0.3">
      <c r="A8" t="s">
        <v>200</v>
      </c>
      <c r="B8" t="s">
        <v>201</v>
      </c>
      <c r="C8" t="s">
        <v>201</v>
      </c>
      <c r="D8" t="s">
        <v>187</v>
      </c>
    </row>
    <row r="9" spans="1:4" x14ac:dyDescent="0.3">
      <c r="A9" t="s">
        <v>202</v>
      </c>
      <c r="B9" t="s">
        <v>203</v>
      </c>
      <c r="C9" t="s">
        <v>203</v>
      </c>
      <c r="D9" t="s">
        <v>187</v>
      </c>
    </row>
    <row r="10" spans="1:4" x14ac:dyDescent="0.3">
      <c r="A10" t="s">
        <v>204</v>
      </c>
      <c r="B10" t="s">
        <v>205</v>
      </c>
      <c r="C10" t="s">
        <v>205</v>
      </c>
      <c r="D10" t="s">
        <v>187</v>
      </c>
    </row>
    <row r="11" spans="1:4" x14ac:dyDescent="0.3">
      <c r="A11" t="s">
        <v>206</v>
      </c>
      <c r="B11" t="s">
        <v>207</v>
      </c>
      <c r="C11" t="s">
        <v>207</v>
      </c>
      <c r="D11" t="s">
        <v>187</v>
      </c>
    </row>
    <row r="12" spans="1:4" x14ac:dyDescent="0.3">
      <c r="A12" t="s">
        <v>208</v>
      </c>
      <c r="B12" t="s">
        <v>209</v>
      </c>
      <c r="C12" t="s">
        <v>209</v>
      </c>
      <c r="D12" t="s">
        <v>187</v>
      </c>
    </row>
    <row r="13" spans="1:4" x14ac:dyDescent="0.3">
      <c r="A13" t="s">
        <v>210</v>
      </c>
      <c r="B13" t="s">
        <v>211</v>
      </c>
      <c r="C13" t="s">
        <v>211</v>
      </c>
      <c r="D13" t="s">
        <v>187</v>
      </c>
    </row>
    <row r="14" spans="1:4" x14ac:dyDescent="0.3">
      <c r="A14" t="s">
        <v>212</v>
      </c>
      <c r="B14" t="s">
        <v>213</v>
      </c>
      <c r="C14" t="s">
        <v>213</v>
      </c>
      <c r="D14" t="s">
        <v>187</v>
      </c>
    </row>
    <row r="15" spans="1:4" x14ac:dyDescent="0.3">
      <c r="A15" t="s">
        <v>214</v>
      </c>
      <c r="B15" t="s">
        <v>215</v>
      </c>
      <c r="C15" t="s">
        <v>215</v>
      </c>
      <c r="D15" t="s">
        <v>187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216</v>
      </c>
      <c r="B1" t="s">
        <v>182</v>
      </c>
      <c r="C1" t="s">
        <v>72</v>
      </c>
      <c r="D1" t="s">
        <v>183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t="s">
        <v>181</v>
      </c>
      <c r="B1" t="s">
        <v>216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1"/>
  <sheetViews>
    <sheetView workbookViewId="0"/>
  </sheetViews>
  <sheetFormatPr baseColWidth="10" defaultColWidth="8.88671875" defaultRowHeight="14.4" x14ac:dyDescent="0.3"/>
  <sheetData>
    <row r="1" spans="1:8" x14ac:dyDescent="0.3">
      <c r="A1" t="s">
        <v>217</v>
      </c>
      <c r="B1" t="s">
        <v>218</v>
      </c>
      <c r="C1" t="s">
        <v>219</v>
      </c>
      <c r="D1" t="s">
        <v>182</v>
      </c>
      <c r="E1" t="s">
        <v>72</v>
      </c>
      <c r="F1" t="s">
        <v>220</v>
      </c>
      <c r="G1" t="s">
        <v>183</v>
      </c>
      <c r="H1" t="s">
        <v>221</v>
      </c>
    </row>
    <row r="2" spans="1:8" x14ac:dyDescent="0.3">
      <c r="A2" t="s">
        <v>222</v>
      </c>
      <c r="B2" t="s">
        <v>223</v>
      </c>
      <c r="C2" t="s">
        <v>224</v>
      </c>
      <c r="D2" t="s">
        <v>185</v>
      </c>
      <c r="E2" t="s">
        <v>186</v>
      </c>
      <c r="F2">
        <v>10</v>
      </c>
      <c r="G2" t="s">
        <v>187</v>
      </c>
      <c r="H2" t="s">
        <v>187</v>
      </c>
    </row>
    <row r="3" spans="1:8" x14ac:dyDescent="0.3">
      <c r="A3" t="s">
        <v>225</v>
      </c>
      <c r="B3" t="s">
        <v>223</v>
      </c>
      <c r="C3" t="s">
        <v>121</v>
      </c>
      <c r="D3" t="s">
        <v>189</v>
      </c>
      <c r="E3" t="s">
        <v>189</v>
      </c>
      <c r="F3">
        <v>20</v>
      </c>
      <c r="G3" t="s">
        <v>187</v>
      </c>
      <c r="H3" t="s">
        <v>187</v>
      </c>
    </row>
    <row r="4" spans="1:8" x14ac:dyDescent="0.3">
      <c r="A4" t="s">
        <v>226</v>
      </c>
      <c r="B4" t="s">
        <v>223</v>
      </c>
      <c r="C4" t="s">
        <v>227</v>
      </c>
      <c r="D4" t="s">
        <v>192</v>
      </c>
      <c r="E4" t="s">
        <v>192</v>
      </c>
      <c r="F4">
        <v>30</v>
      </c>
      <c r="G4" t="s">
        <v>187</v>
      </c>
      <c r="H4" t="s">
        <v>187</v>
      </c>
    </row>
    <row r="5" spans="1:8" x14ac:dyDescent="0.3">
      <c r="A5" t="s">
        <v>228</v>
      </c>
      <c r="B5" t="s">
        <v>223</v>
      </c>
      <c r="C5" t="s">
        <v>229</v>
      </c>
      <c r="D5" t="s">
        <v>194</v>
      </c>
      <c r="E5" t="s">
        <v>194</v>
      </c>
      <c r="F5">
        <v>40</v>
      </c>
      <c r="G5" t="s">
        <v>187</v>
      </c>
      <c r="H5" t="s">
        <v>187</v>
      </c>
    </row>
    <row r="6" spans="1:8" x14ac:dyDescent="0.3">
      <c r="A6" t="s">
        <v>230</v>
      </c>
      <c r="B6" t="s">
        <v>223</v>
      </c>
      <c r="C6" t="s">
        <v>231</v>
      </c>
      <c r="D6" t="s">
        <v>199</v>
      </c>
      <c r="E6" t="s">
        <v>199</v>
      </c>
      <c r="F6">
        <v>50</v>
      </c>
      <c r="G6" t="s">
        <v>187</v>
      </c>
      <c r="H6" t="s">
        <v>187</v>
      </c>
    </row>
    <row r="7" spans="1:8" x14ac:dyDescent="0.3">
      <c r="A7" t="s">
        <v>232</v>
      </c>
      <c r="B7" t="s">
        <v>76</v>
      </c>
      <c r="C7" t="s">
        <v>183</v>
      </c>
      <c r="D7" t="s">
        <v>233</v>
      </c>
      <c r="E7" t="s">
        <v>233</v>
      </c>
      <c r="F7">
        <v>10</v>
      </c>
      <c r="G7" t="s">
        <v>187</v>
      </c>
      <c r="H7" t="s">
        <v>187</v>
      </c>
    </row>
    <row r="8" spans="1:8" x14ac:dyDescent="0.3">
      <c r="A8" t="s">
        <v>234</v>
      </c>
      <c r="B8" t="s">
        <v>76</v>
      </c>
      <c r="C8" t="s">
        <v>235</v>
      </c>
      <c r="D8" t="s">
        <v>236</v>
      </c>
      <c r="E8" t="s">
        <v>236</v>
      </c>
      <c r="F8">
        <v>20</v>
      </c>
      <c r="G8" t="s">
        <v>187</v>
      </c>
      <c r="H8" t="s">
        <v>187</v>
      </c>
    </row>
    <row r="9" spans="1:8" x14ac:dyDescent="0.3">
      <c r="A9" t="s">
        <v>237</v>
      </c>
      <c r="B9" t="s">
        <v>238</v>
      </c>
      <c r="C9" t="s">
        <v>239</v>
      </c>
      <c r="D9" t="s">
        <v>81</v>
      </c>
      <c r="E9" t="s">
        <v>81</v>
      </c>
      <c r="F9">
        <v>10</v>
      </c>
      <c r="G9" t="s">
        <v>187</v>
      </c>
      <c r="H9" t="s">
        <v>187</v>
      </c>
    </row>
    <row r="10" spans="1:8" x14ac:dyDescent="0.3">
      <c r="A10" t="s">
        <v>240</v>
      </c>
      <c r="B10" t="s">
        <v>238</v>
      </c>
      <c r="C10" t="s">
        <v>241</v>
      </c>
      <c r="D10" t="s">
        <v>80</v>
      </c>
      <c r="E10" t="s">
        <v>80</v>
      </c>
      <c r="F10">
        <v>20</v>
      </c>
      <c r="G10" t="s">
        <v>187</v>
      </c>
      <c r="H10" t="s">
        <v>187</v>
      </c>
    </row>
    <row r="11" spans="1:8" x14ac:dyDescent="0.3">
      <c r="A11" t="s">
        <v>242</v>
      </c>
      <c r="B11" t="s">
        <v>238</v>
      </c>
      <c r="C11" t="s">
        <v>243</v>
      </c>
      <c r="D11" t="s">
        <v>54</v>
      </c>
      <c r="E11" t="s">
        <v>54</v>
      </c>
      <c r="F11">
        <v>30</v>
      </c>
      <c r="G11" t="s">
        <v>187</v>
      </c>
      <c r="H11" t="s">
        <v>187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244</v>
      </c>
      <c r="B1" t="s">
        <v>245</v>
      </c>
      <c r="C1" t="s">
        <v>246</v>
      </c>
      <c r="D1" t="s">
        <v>247</v>
      </c>
      <c r="E1" t="s">
        <v>183</v>
      </c>
      <c r="F1" t="s">
        <v>248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"/>
  <sheetViews>
    <sheetView workbookViewId="0"/>
  </sheetViews>
  <sheetFormatPr baseColWidth="10" defaultColWidth="8.88671875" defaultRowHeight="14.4" x14ac:dyDescent="0.3"/>
  <sheetData>
    <row r="1" spans="1:7" x14ac:dyDescent="0.3">
      <c r="A1" t="s">
        <v>249</v>
      </c>
      <c r="B1" t="s">
        <v>244</v>
      </c>
      <c r="C1" t="s">
        <v>245</v>
      </c>
      <c r="D1" t="s">
        <v>246</v>
      </c>
      <c r="E1" t="s">
        <v>247</v>
      </c>
      <c r="F1" t="s">
        <v>183</v>
      </c>
      <c r="G1" t="s">
        <v>248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250</v>
      </c>
      <c r="B1" t="s">
        <v>249</v>
      </c>
      <c r="C1" t="s">
        <v>68</v>
      </c>
      <c r="D1" t="s">
        <v>69</v>
      </c>
      <c r="E1" t="s">
        <v>70</v>
      </c>
      <c r="F1" t="s">
        <v>71</v>
      </c>
      <c r="G1" t="s">
        <v>251</v>
      </c>
      <c r="H1" t="s">
        <v>76</v>
      </c>
      <c r="I1" t="s">
        <v>183</v>
      </c>
      <c r="J1" t="s">
        <v>248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250</v>
      </c>
      <c r="B1" t="s">
        <v>244</v>
      </c>
      <c r="C1" t="s">
        <v>223</v>
      </c>
      <c r="D1" t="s">
        <v>76</v>
      </c>
      <c r="E1" t="s">
        <v>248</v>
      </c>
      <c r="F1" t="s">
        <v>183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252</v>
      </c>
      <c r="B1" t="s">
        <v>249</v>
      </c>
      <c r="C1" t="s">
        <v>253</v>
      </c>
      <c r="D1" t="s">
        <v>254</v>
      </c>
      <c r="E1" t="s">
        <v>255</v>
      </c>
      <c r="F1" t="s">
        <v>256</v>
      </c>
      <c r="G1" t="s">
        <v>257</v>
      </c>
      <c r="H1" t="s">
        <v>251</v>
      </c>
      <c r="I1" t="s">
        <v>183</v>
      </c>
      <c r="J1" t="s">
        <v>248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258</v>
      </c>
      <c r="B1" t="s">
        <v>182</v>
      </c>
      <c r="C1" t="s">
        <v>259</v>
      </c>
      <c r="D1" t="s">
        <v>260</v>
      </c>
      <c r="E1" t="s">
        <v>183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261</v>
      </c>
      <c r="B1" t="s">
        <v>182</v>
      </c>
      <c r="C1" t="s">
        <v>246</v>
      </c>
      <c r="D1" t="s">
        <v>247</v>
      </c>
      <c r="E1" t="s">
        <v>183</v>
      </c>
      <c r="F1" t="s">
        <v>248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262</v>
      </c>
      <c r="B1" t="s">
        <v>182</v>
      </c>
      <c r="C1" t="s">
        <v>71</v>
      </c>
      <c r="D1" t="s">
        <v>263</v>
      </c>
      <c r="E1" t="s">
        <v>183</v>
      </c>
      <c r="F1" t="s">
        <v>248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264</v>
      </c>
      <c r="B1" t="s">
        <v>262</v>
      </c>
      <c r="C1" t="s">
        <v>182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183</v>
      </c>
      <c r="J1" t="s">
        <v>248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249</v>
      </c>
      <c r="B1" t="s">
        <v>182</v>
      </c>
      <c r="C1" t="s">
        <v>270</v>
      </c>
      <c r="D1" t="s">
        <v>271</v>
      </c>
      <c r="E1" t="s">
        <v>183</v>
      </c>
      <c r="F1" t="s">
        <v>248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"/>
  <sheetViews>
    <sheetView workbookViewId="0"/>
  </sheetViews>
  <sheetFormatPr baseColWidth="10" defaultColWidth="8.88671875" defaultRowHeight="14.4" x14ac:dyDescent="0.3"/>
  <sheetData>
    <row r="1" spans="1:8" x14ac:dyDescent="0.3">
      <c r="A1" t="s">
        <v>272</v>
      </c>
      <c r="B1" t="s">
        <v>249</v>
      </c>
      <c r="C1" t="s">
        <v>244</v>
      </c>
      <c r="D1" t="s">
        <v>273</v>
      </c>
      <c r="E1" t="s">
        <v>246</v>
      </c>
      <c r="F1" t="s">
        <v>247</v>
      </c>
      <c r="G1" t="s">
        <v>183</v>
      </c>
      <c r="H1" t="s">
        <v>248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271</v>
      </c>
      <c r="B1" t="s">
        <v>182</v>
      </c>
      <c r="C1" t="s">
        <v>274</v>
      </c>
      <c r="D1" t="s">
        <v>183</v>
      </c>
      <c r="E1" t="s">
        <v>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24</vt:i4>
      </vt:variant>
    </vt:vector>
  </HeadingPairs>
  <TitlesOfParts>
    <vt:vector size="24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  <vt:lpstr>CFG_ROLES</vt:lpstr>
      <vt:lpstr>CFG_RIGHTS</vt:lpstr>
      <vt:lpstr>CFG_ROLE_RIGHTS</vt:lpstr>
      <vt:lpstr>CFG_LOOKUPS</vt:lpstr>
      <vt:lpstr>MEMBER_ROLES</vt:lpstr>
      <vt:lpstr>TEAM_ASSIGNMENTS</vt:lpstr>
      <vt:lpstr>TRAININGS</vt:lpstr>
      <vt:lpstr>TRAINING_PARTICIPANTS</vt:lpstr>
      <vt:lpstr>TRAINING_SCHEDULES</vt:lpstr>
      <vt:lpstr>CLUB</vt:lpstr>
      <vt:lpstr>SEASONS</vt:lpstr>
      <vt:lpstr>FACILITIES</vt:lpstr>
      <vt:lpstr>PLACES</vt:lpstr>
      <vt:lpstr>TEAMS</vt:lpstr>
      <vt:lpstr>TEAM_MEMBERS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2026-07-30T21:54:01Z</dcterms:modified>
</cp:coreProperties>
</file>
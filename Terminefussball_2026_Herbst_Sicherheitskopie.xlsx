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/>
  <mc:AlternateContent xmlns:mc="http://schemas.openxmlformats.org/markup-compatibility/2006">
    <mc:Choice Requires="x15">
      <x15ac:absPath xmlns:x15ac="http://schemas.microsoft.com/office/spreadsheetml/2010/11/ac" url="C:\Users\DTB\asv-neufeld\Excel2\"/>
    </mc:Choice>
  </mc:AlternateContent>
  <xr:revisionPtr revIDLastSave="0" documentId="13_ncr:1_{664E9CD3-31CF-4088-8AA7-244B800DC33D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Nach Mannschaften sortiert" sheetId="1" r:id="rId1"/>
    <sheet name="ICS2" sheetId="21" r:id="rId2"/>
    <sheet name="Kalendernamen" sheetId="22" r:id="rId3"/>
    <sheet name="Trainingsplan" sheetId="16" r:id="rId4"/>
    <sheet name="Heimspiele" sheetId="13" r:id="rId5"/>
    <sheet name="Tabelle1" sheetId="18" r:id="rId6"/>
    <sheet name="Stefans Liste 2026" sheetId="19" r:id="rId7"/>
    <sheet name="Tabelle2" sheetId="20" r:id="rId8"/>
  </sheets>
  <definedNames>
    <definedName name="_xlnm._FilterDatabase" localSheetId="4" hidden="1">Heimspiele!$A$1:$H$84</definedName>
    <definedName name="_xlnm._FilterDatabase" localSheetId="0" hidden="1">'Nach Mannschaften sortiert'!$A$1:$H$104</definedName>
    <definedName name="_xlnm._FilterDatabase" localSheetId="6" hidden="1">'Stefans Liste 2026'!$A$1:$K$83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3" i="21" l="1"/>
  <c r="G4" i="21"/>
  <c r="G5" i="21"/>
  <c r="G6" i="21"/>
  <c r="G7" i="21"/>
  <c r="G8" i="21"/>
  <c r="G9" i="21"/>
  <c r="G10" i="21"/>
  <c r="G11" i="21"/>
  <c r="G12" i="21"/>
  <c r="G13" i="21"/>
  <c r="G14" i="21"/>
  <c r="G15" i="21"/>
  <c r="G16" i="21"/>
  <c r="G17" i="21"/>
  <c r="G18" i="21"/>
  <c r="G19" i="21"/>
  <c r="G20" i="21"/>
  <c r="G21" i="21"/>
  <c r="G22" i="21"/>
  <c r="G23" i="21"/>
  <c r="G24" i="21"/>
  <c r="G25" i="21"/>
  <c r="G26" i="21"/>
  <c r="G27" i="21"/>
  <c r="G28" i="21"/>
  <c r="G29" i="21"/>
  <c r="G30" i="21"/>
  <c r="G31" i="21"/>
  <c r="G32" i="21"/>
  <c r="G33" i="21"/>
  <c r="G34" i="21"/>
  <c r="G35" i="21"/>
  <c r="G36" i="21"/>
  <c r="G37" i="21"/>
  <c r="G38" i="21"/>
  <c r="G39" i="21"/>
  <c r="G40" i="21"/>
  <c r="G41" i="21"/>
  <c r="G42" i="21"/>
  <c r="G43" i="21"/>
  <c r="G44" i="21"/>
  <c r="G45" i="21"/>
  <c r="G46" i="21"/>
  <c r="G47" i="21"/>
  <c r="G48" i="21"/>
  <c r="G49" i="21"/>
  <c r="G50" i="21"/>
  <c r="G51" i="21"/>
  <c r="G52" i="21"/>
  <c r="G53" i="21"/>
  <c r="G54" i="21"/>
  <c r="G55" i="21"/>
  <c r="G56" i="21"/>
  <c r="G57" i="21"/>
  <c r="G58" i="21"/>
  <c r="G59" i="21"/>
  <c r="G60" i="21"/>
  <c r="G61" i="21"/>
  <c r="G62" i="21"/>
  <c r="G63" i="21"/>
  <c r="G64" i="21"/>
  <c r="G65" i="21"/>
  <c r="G66" i="21"/>
  <c r="G67" i="21"/>
  <c r="G68" i="21"/>
  <c r="G69" i="21"/>
  <c r="G70" i="21"/>
  <c r="G71" i="21"/>
  <c r="G72" i="21"/>
  <c r="G73" i="21"/>
  <c r="G74" i="21"/>
  <c r="G75" i="21"/>
  <c r="G76" i="21"/>
  <c r="G77" i="21"/>
  <c r="G78" i="21"/>
  <c r="G79" i="21"/>
  <c r="G80" i="21"/>
  <c r="G81" i="21"/>
  <c r="G82" i="21"/>
  <c r="G83" i="21"/>
  <c r="G84" i="21"/>
  <c r="G85" i="21"/>
  <c r="G86" i="21"/>
  <c r="G87" i="21"/>
  <c r="G88" i="21"/>
  <c r="G89" i="21"/>
  <c r="G90" i="21"/>
  <c r="G91" i="21"/>
  <c r="G92" i="21"/>
  <c r="G93" i="21"/>
  <c r="G94" i="21"/>
  <c r="G95" i="21"/>
  <c r="G96" i="21"/>
  <c r="G97" i="21"/>
  <c r="G98" i="21"/>
  <c r="G99" i="21"/>
  <c r="G100" i="21"/>
  <c r="G101" i="21"/>
  <c r="G102" i="21"/>
  <c r="G103" i="21"/>
  <c r="G104" i="21"/>
  <c r="G105" i="21"/>
  <c r="G106" i="21"/>
  <c r="G107" i="21"/>
  <c r="G108" i="21"/>
  <c r="G109" i="21"/>
  <c r="G110" i="21"/>
  <c r="G111" i="21"/>
  <c r="G112" i="21"/>
  <c r="G113" i="21"/>
  <c r="G114" i="21"/>
  <c r="G115" i="21"/>
  <c r="G116" i="21"/>
  <c r="G117" i="21"/>
  <c r="G118" i="21"/>
  <c r="G119" i="21"/>
  <c r="G120" i="21"/>
  <c r="G121" i="21"/>
  <c r="G2" i="21"/>
  <c r="B35" i="21"/>
  <c r="B36" i="21"/>
  <c r="B37" i="21"/>
  <c r="B38" i="21"/>
  <c r="B39" i="21"/>
  <c r="B40" i="21"/>
  <c r="B41" i="21"/>
  <c r="B42" i="21"/>
  <c r="B43" i="21"/>
  <c r="B44" i="21"/>
  <c r="B45" i="21"/>
  <c r="B46" i="21"/>
  <c r="B47" i="21"/>
  <c r="B48" i="21"/>
  <c r="B49" i="21"/>
  <c r="B50" i="21"/>
  <c r="B51" i="21"/>
  <c r="B52" i="21"/>
  <c r="B53" i="21"/>
  <c r="B54" i="21"/>
  <c r="B55" i="21"/>
  <c r="B56" i="21"/>
  <c r="B57" i="21"/>
  <c r="B58" i="21"/>
  <c r="B59" i="21"/>
  <c r="B60" i="21"/>
  <c r="B61" i="21"/>
  <c r="B62" i="21"/>
  <c r="B63" i="21"/>
  <c r="B64" i="21"/>
  <c r="B65" i="21"/>
  <c r="B66" i="21"/>
  <c r="B67" i="21"/>
  <c r="B68" i="21"/>
  <c r="B69" i="21"/>
  <c r="B70" i="21"/>
  <c r="B71" i="21"/>
  <c r="B72" i="21"/>
  <c r="B73" i="21"/>
  <c r="B74" i="21"/>
  <c r="B75" i="21"/>
  <c r="B76" i="21"/>
  <c r="B77" i="21"/>
  <c r="B78" i="21"/>
  <c r="B79" i="21"/>
  <c r="B80" i="21"/>
  <c r="B81" i="21"/>
  <c r="B82" i="21"/>
  <c r="B83" i="21"/>
  <c r="B84" i="21"/>
  <c r="B85" i="21"/>
  <c r="B86" i="21"/>
  <c r="B87" i="21"/>
  <c r="B88" i="21"/>
  <c r="B89" i="21"/>
  <c r="B90" i="21"/>
  <c r="B91" i="21"/>
  <c r="B92" i="21"/>
  <c r="B93" i="21"/>
  <c r="B94" i="21"/>
  <c r="B95" i="21"/>
  <c r="B96" i="21"/>
  <c r="B97" i="21"/>
  <c r="B98" i="21"/>
  <c r="B99" i="21"/>
  <c r="B100" i="21"/>
  <c r="B101" i="21"/>
  <c r="B102" i="21"/>
  <c r="B103" i="21"/>
  <c r="B104" i="21"/>
  <c r="B105" i="21"/>
  <c r="B106" i="21"/>
  <c r="B107" i="21"/>
  <c r="B108" i="21"/>
  <c r="B109" i="21"/>
  <c r="C104" i="21"/>
  <c r="D104" i="21"/>
  <c r="E104" i="21"/>
  <c r="H104" i="21"/>
  <c r="I104" i="21"/>
  <c r="C105" i="21"/>
  <c r="E105" i="21"/>
  <c r="H105" i="21"/>
  <c r="I105" i="21"/>
  <c r="D105" i="21" s="1"/>
  <c r="C106" i="21"/>
  <c r="D106" i="21"/>
  <c r="E106" i="21"/>
  <c r="H106" i="21"/>
  <c r="I106" i="21"/>
  <c r="C107" i="21"/>
  <c r="E107" i="21"/>
  <c r="H107" i="21"/>
  <c r="I107" i="21"/>
  <c r="D107" i="21" s="1"/>
  <c r="C108" i="21"/>
  <c r="D108" i="21"/>
  <c r="E108" i="21"/>
  <c r="H108" i="21"/>
  <c r="I108" i="21"/>
  <c r="C109" i="21"/>
  <c r="E109" i="21"/>
  <c r="H109" i="21"/>
  <c r="I109" i="21"/>
  <c r="D109" i="21" s="1"/>
  <c r="B110" i="21"/>
  <c r="C110" i="21"/>
  <c r="D110" i="21"/>
  <c r="E110" i="21"/>
  <c r="H110" i="21"/>
  <c r="I110" i="21"/>
  <c r="B111" i="21"/>
  <c r="C111" i="21"/>
  <c r="E111" i="21"/>
  <c r="H111" i="21"/>
  <c r="I111" i="21"/>
  <c r="D111" i="21" s="1"/>
  <c r="B112" i="21"/>
  <c r="C112" i="21"/>
  <c r="D112" i="21"/>
  <c r="E112" i="21"/>
  <c r="H112" i="21"/>
  <c r="I112" i="21"/>
  <c r="B113" i="21"/>
  <c r="C113" i="21"/>
  <c r="E113" i="21"/>
  <c r="H113" i="21"/>
  <c r="I113" i="21"/>
  <c r="D113" i="21" s="1"/>
  <c r="B114" i="21"/>
  <c r="C114" i="21"/>
  <c r="D114" i="21"/>
  <c r="E114" i="21"/>
  <c r="H114" i="21"/>
  <c r="I114" i="21"/>
  <c r="B115" i="21"/>
  <c r="C115" i="21"/>
  <c r="E115" i="21"/>
  <c r="H115" i="21"/>
  <c r="I115" i="21"/>
  <c r="D115" i="21" s="1"/>
  <c r="B116" i="21"/>
  <c r="C116" i="21"/>
  <c r="D116" i="21"/>
  <c r="E116" i="21"/>
  <c r="H116" i="21"/>
  <c r="I116" i="21"/>
  <c r="B117" i="21"/>
  <c r="C117" i="21"/>
  <c r="E117" i="21"/>
  <c r="H117" i="21"/>
  <c r="I117" i="21"/>
  <c r="D117" i="21" s="1"/>
  <c r="B118" i="21"/>
  <c r="C118" i="21"/>
  <c r="D118" i="21"/>
  <c r="E118" i="21"/>
  <c r="H118" i="21"/>
  <c r="I118" i="21"/>
  <c r="B119" i="21"/>
  <c r="C119" i="21"/>
  <c r="E119" i="21"/>
  <c r="H119" i="21"/>
  <c r="I119" i="21"/>
  <c r="D119" i="21" s="1"/>
  <c r="B120" i="21"/>
  <c r="C120" i="21"/>
  <c r="D120" i="21"/>
  <c r="E120" i="21"/>
  <c r="H120" i="21"/>
  <c r="I120" i="21"/>
  <c r="B121" i="21"/>
  <c r="C121" i="21"/>
  <c r="E121" i="21"/>
  <c r="H121" i="21"/>
  <c r="I121" i="21"/>
  <c r="D121" i="21" s="1"/>
  <c r="B3" i="21"/>
  <c r="C3" i="21"/>
  <c r="D3" i="21"/>
  <c r="E3" i="21"/>
  <c r="H3" i="21"/>
  <c r="I3" i="21"/>
  <c r="B4" i="21"/>
  <c r="C4" i="21"/>
  <c r="E4" i="21"/>
  <c r="H4" i="21"/>
  <c r="I4" i="21"/>
  <c r="D4" i="21" s="1"/>
  <c r="B5" i="21"/>
  <c r="C5" i="21"/>
  <c r="D5" i="21"/>
  <c r="E5" i="21"/>
  <c r="H5" i="21"/>
  <c r="I5" i="21"/>
  <c r="B6" i="21"/>
  <c r="C6" i="21"/>
  <c r="E6" i="21"/>
  <c r="H6" i="21"/>
  <c r="I6" i="21"/>
  <c r="D6" i="21" s="1"/>
  <c r="B7" i="21"/>
  <c r="C7" i="21"/>
  <c r="D7" i="21"/>
  <c r="E7" i="21"/>
  <c r="H7" i="21"/>
  <c r="I7" i="21"/>
  <c r="B8" i="21"/>
  <c r="C8" i="21"/>
  <c r="E8" i="21"/>
  <c r="H8" i="21"/>
  <c r="I8" i="21"/>
  <c r="D8" i="21" s="1"/>
  <c r="B9" i="21"/>
  <c r="C9" i="21"/>
  <c r="D9" i="21"/>
  <c r="E9" i="21"/>
  <c r="H9" i="21"/>
  <c r="I9" i="21"/>
  <c r="B10" i="21"/>
  <c r="C10" i="21"/>
  <c r="E10" i="21"/>
  <c r="H10" i="21"/>
  <c r="I10" i="21"/>
  <c r="D10" i="21" s="1"/>
  <c r="B11" i="21"/>
  <c r="C11" i="21"/>
  <c r="D11" i="21"/>
  <c r="E11" i="21"/>
  <c r="H11" i="21"/>
  <c r="I11" i="21"/>
  <c r="B12" i="21"/>
  <c r="C12" i="21"/>
  <c r="E12" i="21"/>
  <c r="H12" i="21"/>
  <c r="I12" i="21"/>
  <c r="D12" i="21" s="1"/>
  <c r="B13" i="21"/>
  <c r="C13" i="21"/>
  <c r="D13" i="21"/>
  <c r="E13" i="21"/>
  <c r="H13" i="21"/>
  <c r="I13" i="21"/>
  <c r="B14" i="21"/>
  <c r="C14" i="21"/>
  <c r="E14" i="21"/>
  <c r="H14" i="21"/>
  <c r="I14" i="21"/>
  <c r="D14" i="21" s="1"/>
  <c r="B15" i="21"/>
  <c r="C15" i="21"/>
  <c r="D15" i="21"/>
  <c r="E15" i="21"/>
  <c r="H15" i="21"/>
  <c r="I15" i="21"/>
  <c r="B16" i="21"/>
  <c r="C16" i="21"/>
  <c r="E16" i="21"/>
  <c r="H16" i="21"/>
  <c r="I16" i="21"/>
  <c r="D16" i="21" s="1"/>
  <c r="B17" i="21"/>
  <c r="C17" i="21"/>
  <c r="D17" i="21"/>
  <c r="E17" i="21"/>
  <c r="H17" i="21"/>
  <c r="I17" i="21"/>
  <c r="B18" i="21"/>
  <c r="C18" i="21"/>
  <c r="E18" i="21"/>
  <c r="H18" i="21"/>
  <c r="I18" i="21"/>
  <c r="D18" i="21" s="1"/>
  <c r="B19" i="21"/>
  <c r="C19" i="21"/>
  <c r="D19" i="21"/>
  <c r="E19" i="21"/>
  <c r="H19" i="21"/>
  <c r="I19" i="21"/>
  <c r="B20" i="21"/>
  <c r="C20" i="21"/>
  <c r="E20" i="21"/>
  <c r="H20" i="21"/>
  <c r="I20" i="21"/>
  <c r="D20" i="21" s="1"/>
  <c r="B21" i="21"/>
  <c r="C21" i="21"/>
  <c r="D21" i="21"/>
  <c r="E21" i="21"/>
  <c r="H21" i="21"/>
  <c r="I21" i="21"/>
  <c r="B22" i="21"/>
  <c r="C22" i="21"/>
  <c r="E22" i="21"/>
  <c r="H22" i="21"/>
  <c r="I22" i="21"/>
  <c r="D22" i="21" s="1"/>
  <c r="B23" i="21"/>
  <c r="C23" i="21"/>
  <c r="D23" i="21"/>
  <c r="E23" i="21"/>
  <c r="H23" i="21"/>
  <c r="I23" i="21"/>
  <c r="B24" i="21"/>
  <c r="C24" i="21"/>
  <c r="E24" i="21"/>
  <c r="H24" i="21"/>
  <c r="I24" i="21"/>
  <c r="D24" i="21" s="1"/>
  <c r="B25" i="21"/>
  <c r="C25" i="21"/>
  <c r="D25" i="21"/>
  <c r="E25" i="21"/>
  <c r="H25" i="21"/>
  <c r="I25" i="21"/>
  <c r="B26" i="21"/>
  <c r="C26" i="21"/>
  <c r="E26" i="21"/>
  <c r="H26" i="21"/>
  <c r="I26" i="21"/>
  <c r="D26" i="21" s="1"/>
  <c r="B27" i="21"/>
  <c r="C27" i="21"/>
  <c r="D27" i="21"/>
  <c r="E27" i="21"/>
  <c r="H27" i="21"/>
  <c r="I27" i="21"/>
  <c r="B28" i="21"/>
  <c r="C28" i="21"/>
  <c r="E28" i="21"/>
  <c r="H28" i="21"/>
  <c r="I28" i="21"/>
  <c r="D28" i="21" s="1"/>
  <c r="B29" i="21"/>
  <c r="C29" i="21"/>
  <c r="D29" i="21"/>
  <c r="E29" i="21"/>
  <c r="H29" i="21"/>
  <c r="I29" i="21"/>
  <c r="B30" i="21"/>
  <c r="C30" i="21"/>
  <c r="E30" i="21"/>
  <c r="H30" i="21"/>
  <c r="I30" i="21"/>
  <c r="D30" i="21" s="1"/>
  <c r="B31" i="21"/>
  <c r="C31" i="21"/>
  <c r="D31" i="21"/>
  <c r="E31" i="21"/>
  <c r="H31" i="21"/>
  <c r="I31" i="21"/>
  <c r="B32" i="21"/>
  <c r="C32" i="21"/>
  <c r="E32" i="21"/>
  <c r="H32" i="21"/>
  <c r="I32" i="21"/>
  <c r="D32" i="21" s="1"/>
  <c r="B33" i="21"/>
  <c r="C33" i="21"/>
  <c r="D33" i="21"/>
  <c r="E33" i="21"/>
  <c r="H33" i="21"/>
  <c r="I33" i="21"/>
  <c r="B34" i="21"/>
  <c r="C34" i="21"/>
  <c r="E34" i="21"/>
  <c r="H34" i="21"/>
  <c r="I34" i="21"/>
  <c r="D34" i="21" s="1"/>
  <c r="C35" i="21"/>
  <c r="D35" i="21"/>
  <c r="E35" i="21"/>
  <c r="H35" i="21"/>
  <c r="I35" i="21"/>
  <c r="C36" i="21"/>
  <c r="E36" i="21"/>
  <c r="H36" i="21"/>
  <c r="I36" i="21"/>
  <c r="D36" i="21" s="1"/>
  <c r="C37" i="21"/>
  <c r="D37" i="21"/>
  <c r="E37" i="21"/>
  <c r="H37" i="21"/>
  <c r="I37" i="21"/>
  <c r="C38" i="21"/>
  <c r="E38" i="21"/>
  <c r="H38" i="21"/>
  <c r="I38" i="21"/>
  <c r="D38" i="21" s="1"/>
  <c r="C39" i="21"/>
  <c r="D39" i="21"/>
  <c r="E39" i="21"/>
  <c r="H39" i="21"/>
  <c r="I39" i="21"/>
  <c r="C40" i="21"/>
  <c r="E40" i="21"/>
  <c r="H40" i="21"/>
  <c r="I40" i="21"/>
  <c r="D40" i="21" s="1"/>
  <c r="C41" i="21"/>
  <c r="D41" i="21"/>
  <c r="E41" i="21"/>
  <c r="H41" i="21"/>
  <c r="I41" i="21"/>
  <c r="C42" i="21"/>
  <c r="E42" i="21"/>
  <c r="H42" i="21"/>
  <c r="I42" i="21"/>
  <c r="D42" i="21" s="1"/>
  <c r="C43" i="21"/>
  <c r="D43" i="21"/>
  <c r="E43" i="21"/>
  <c r="H43" i="21"/>
  <c r="I43" i="21"/>
  <c r="C44" i="21"/>
  <c r="E44" i="21"/>
  <c r="H44" i="21"/>
  <c r="I44" i="21"/>
  <c r="D44" i="21" s="1"/>
  <c r="C45" i="21"/>
  <c r="D45" i="21"/>
  <c r="E45" i="21"/>
  <c r="H45" i="21"/>
  <c r="I45" i="21"/>
  <c r="C46" i="21"/>
  <c r="E46" i="21"/>
  <c r="H46" i="21"/>
  <c r="I46" i="21"/>
  <c r="D46" i="21" s="1"/>
  <c r="C47" i="21"/>
  <c r="D47" i="21"/>
  <c r="E47" i="21"/>
  <c r="H47" i="21"/>
  <c r="I47" i="21"/>
  <c r="C48" i="21"/>
  <c r="E48" i="21"/>
  <c r="H48" i="21"/>
  <c r="I48" i="21"/>
  <c r="D48" i="21" s="1"/>
  <c r="C49" i="21"/>
  <c r="D49" i="21"/>
  <c r="E49" i="21"/>
  <c r="H49" i="21"/>
  <c r="I49" i="21"/>
  <c r="C50" i="21"/>
  <c r="E50" i="21"/>
  <c r="H50" i="21"/>
  <c r="I50" i="21"/>
  <c r="D50" i="21" s="1"/>
  <c r="C51" i="21"/>
  <c r="D51" i="21"/>
  <c r="E51" i="21"/>
  <c r="H51" i="21"/>
  <c r="I51" i="21"/>
  <c r="C52" i="21"/>
  <c r="E52" i="21"/>
  <c r="H52" i="21"/>
  <c r="I52" i="21"/>
  <c r="D52" i="21" s="1"/>
  <c r="C53" i="21"/>
  <c r="D53" i="21"/>
  <c r="E53" i="21"/>
  <c r="H53" i="21"/>
  <c r="I53" i="21"/>
  <c r="C54" i="21"/>
  <c r="E54" i="21"/>
  <c r="H54" i="21"/>
  <c r="I54" i="21"/>
  <c r="D54" i="21" s="1"/>
  <c r="C55" i="21"/>
  <c r="D55" i="21"/>
  <c r="E55" i="21"/>
  <c r="H55" i="21"/>
  <c r="I55" i="21"/>
  <c r="C56" i="21"/>
  <c r="E56" i="21"/>
  <c r="H56" i="21"/>
  <c r="I56" i="21"/>
  <c r="D56" i="21" s="1"/>
  <c r="C57" i="21"/>
  <c r="E57" i="21"/>
  <c r="H57" i="21"/>
  <c r="I57" i="21"/>
  <c r="D57" i="21" s="1"/>
  <c r="C58" i="21"/>
  <c r="E58" i="21"/>
  <c r="H58" i="21"/>
  <c r="I58" i="21"/>
  <c r="D58" i="21" s="1"/>
  <c r="C59" i="21"/>
  <c r="E59" i="21"/>
  <c r="H59" i="21"/>
  <c r="I59" i="21"/>
  <c r="D59" i="21" s="1"/>
  <c r="C60" i="21"/>
  <c r="E60" i="21"/>
  <c r="H60" i="21"/>
  <c r="I60" i="21"/>
  <c r="D60" i="21" s="1"/>
  <c r="C61" i="21"/>
  <c r="E61" i="21"/>
  <c r="H61" i="21"/>
  <c r="I61" i="21"/>
  <c r="D61" i="21" s="1"/>
  <c r="C62" i="21"/>
  <c r="E62" i="21"/>
  <c r="H62" i="21"/>
  <c r="I62" i="21"/>
  <c r="D62" i="21" s="1"/>
  <c r="C63" i="21"/>
  <c r="E63" i="21"/>
  <c r="H63" i="21"/>
  <c r="I63" i="21"/>
  <c r="D63" i="21" s="1"/>
  <c r="C64" i="21"/>
  <c r="E64" i="21"/>
  <c r="H64" i="21"/>
  <c r="I64" i="21"/>
  <c r="D64" i="21" s="1"/>
  <c r="C65" i="21"/>
  <c r="E65" i="21"/>
  <c r="H65" i="21"/>
  <c r="I65" i="21"/>
  <c r="D65" i="21" s="1"/>
  <c r="C66" i="21"/>
  <c r="E66" i="21"/>
  <c r="H66" i="21"/>
  <c r="I66" i="21"/>
  <c r="D66" i="21" s="1"/>
  <c r="C67" i="21"/>
  <c r="E67" i="21"/>
  <c r="H67" i="21"/>
  <c r="I67" i="21"/>
  <c r="D67" i="21" s="1"/>
  <c r="C68" i="21"/>
  <c r="E68" i="21"/>
  <c r="H68" i="21"/>
  <c r="I68" i="21"/>
  <c r="D68" i="21" s="1"/>
  <c r="C69" i="21"/>
  <c r="E69" i="21"/>
  <c r="H69" i="21"/>
  <c r="I69" i="21"/>
  <c r="D69" i="21" s="1"/>
  <c r="C70" i="21"/>
  <c r="E70" i="21"/>
  <c r="H70" i="21"/>
  <c r="I70" i="21"/>
  <c r="D70" i="21" s="1"/>
  <c r="C71" i="21"/>
  <c r="E71" i="21"/>
  <c r="H71" i="21"/>
  <c r="I71" i="21"/>
  <c r="D71" i="21" s="1"/>
  <c r="C72" i="21"/>
  <c r="E72" i="21"/>
  <c r="H72" i="21"/>
  <c r="I72" i="21"/>
  <c r="D72" i="21" s="1"/>
  <c r="C73" i="21"/>
  <c r="E73" i="21"/>
  <c r="H73" i="21"/>
  <c r="I73" i="21"/>
  <c r="D73" i="21" s="1"/>
  <c r="C74" i="21"/>
  <c r="E74" i="21"/>
  <c r="H74" i="21"/>
  <c r="I74" i="21"/>
  <c r="D74" i="21" s="1"/>
  <c r="C75" i="21"/>
  <c r="D75" i="21"/>
  <c r="E75" i="21"/>
  <c r="H75" i="21"/>
  <c r="I75" i="21"/>
  <c r="C76" i="21"/>
  <c r="E76" i="21"/>
  <c r="H76" i="21"/>
  <c r="I76" i="21"/>
  <c r="D76" i="21" s="1"/>
  <c r="C77" i="21"/>
  <c r="D77" i="21"/>
  <c r="E77" i="21"/>
  <c r="H77" i="21"/>
  <c r="I77" i="21"/>
  <c r="C78" i="21"/>
  <c r="E78" i="21"/>
  <c r="H78" i="21"/>
  <c r="I78" i="21"/>
  <c r="D78" i="21" s="1"/>
  <c r="C79" i="21"/>
  <c r="D79" i="21"/>
  <c r="E79" i="21"/>
  <c r="H79" i="21"/>
  <c r="I79" i="21"/>
  <c r="C80" i="21"/>
  <c r="E80" i="21"/>
  <c r="H80" i="21"/>
  <c r="I80" i="21"/>
  <c r="D80" i="21" s="1"/>
  <c r="C81" i="21"/>
  <c r="D81" i="21"/>
  <c r="E81" i="21"/>
  <c r="H81" i="21"/>
  <c r="I81" i="21"/>
  <c r="C82" i="21"/>
  <c r="E82" i="21"/>
  <c r="H82" i="21"/>
  <c r="I82" i="21"/>
  <c r="D82" i="21" s="1"/>
  <c r="C83" i="21"/>
  <c r="D83" i="21"/>
  <c r="E83" i="21"/>
  <c r="H83" i="21"/>
  <c r="I83" i="21"/>
  <c r="C84" i="21"/>
  <c r="E84" i="21"/>
  <c r="H84" i="21"/>
  <c r="I84" i="21"/>
  <c r="D84" i="21" s="1"/>
  <c r="C85" i="21"/>
  <c r="D85" i="21"/>
  <c r="E85" i="21"/>
  <c r="H85" i="21"/>
  <c r="I85" i="21"/>
  <c r="C86" i="21"/>
  <c r="E86" i="21"/>
  <c r="H86" i="21"/>
  <c r="I86" i="21"/>
  <c r="D86" i="21" s="1"/>
  <c r="C87" i="21"/>
  <c r="D87" i="21"/>
  <c r="E87" i="21"/>
  <c r="H87" i="21"/>
  <c r="I87" i="21"/>
  <c r="C88" i="21"/>
  <c r="E88" i="21"/>
  <c r="H88" i="21"/>
  <c r="I88" i="21"/>
  <c r="D88" i="21" s="1"/>
  <c r="C89" i="21"/>
  <c r="D89" i="21"/>
  <c r="E89" i="21"/>
  <c r="H89" i="21"/>
  <c r="I89" i="21"/>
  <c r="C90" i="21"/>
  <c r="E90" i="21"/>
  <c r="H90" i="21"/>
  <c r="I90" i="21"/>
  <c r="D90" i="21" s="1"/>
  <c r="C91" i="21"/>
  <c r="D91" i="21"/>
  <c r="E91" i="21"/>
  <c r="H91" i="21"/>
  <c r="I91" i="21"/>
  <c r="C92" i="21"/>
  <c r="E92" i="21"/>
  <c r="H92" i="21"/>
  <c r="I92" i="21"/>
  <c r="D92" i="21" s="1"/>
  <c r="C93" i="21"/>
  <c r="D93" i="21"/>
  <c r="E93" i="21"/>
  <c r="H93" i="21"/>
  <c r="I93" i="21"/>
  <c r="C94" i="21"/>
  <c r="E94" i="21"/>
  <c r="H94" i="21"/>
  <c r="I94" i="21"/>
  <c r="D94" i="21" s="1"/>
  <c r="C95" i="21"/>
  <c r="D95" i="21"/>
  <c r="E95" i="21"/>
  <c r="H95" i="21"/>
  <c r="I95" i="21"/>
  <c r="C96" i="21"/>
  <c r="E96" i="21"/>
  <c r="H96" i="21"/>
  <c r="I96" i="21"/>
  <c r="D96" i="21" s="1"/>
  <c r="C97" i="21"/>
  <c r="D97" i="21"/>
  <c r="E97" i="21"/>
  <c r="H97" i="21"/>
  <c r="I97" i="21"/>
  <c r="C98" i="21"/>
  <c r="E98" i="21"/>
  <c r="H98" i="21"/>
  <c r="I98" i="21"/>
  <c r="D98" i="21" s="1"/>
  <c r="C99" i="21"/>
  <c r="D99" i="21"/>
  <c r="E99" i="21"/>
  <c r="H99" i="21"/>
  <c r="I99" i="21"/>
  <c r="C100" i="21"/>
  <c r="E100" i="21"/>
  <c r="H100" i="21"/>
  <c r="I100" i="21"/>
  <c r="D100" i="21" s="1"/>
  <c r="C101" i="21"/>
  <c r="D101" i="21"/>
  <c r="E101" i="21"/>
  <c r="H101" i="21"/>
  <c r="I101" i="21"/>
  <c r="C102" i="21"/>
  <c r="E102" i="21"/>
  <c r="H102" i="21"/>
  <c r="I102" i="21"/>
  <c r="D102" i="21" s="1"/>
  <c r="C103" i="21"/>
  <c r="D103" i="21"/>
  <c r="E103" i="21"/>
  <c r="H103" i="21"/>
  <c r="I103" i="21"/>
  <c r="A9" i="1"/>
  <c r="I2" i="21"/>
  <c r="H2" i="21"/>
  <c r="E2" i="21"/>
  <c r="C2" i="21"/>
  <c r="B2" i="21"/>
  <c r="A3" i="1"/>
  <c r="A4" i="1" s="1"/>
  <c r="A5" i="1" s="1"/>
  <c r="A6" i="1" s="1"/>
  <c r="A7" i="1" s="1"/>
  <c r="A8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C13" i="22"/>
  <c r="C11" i="22"/>
  <c r="C3" i="22"/>
  <c r="C4" i="22"/>
  <c r="C5" i="22"/>
  <c r="C6" i="22"/>
  <c r="C7" i="22"/>
  <c r="C8" i="22"/>
  <c r="C9" i="22"/>
  <c r="C10" i="22"/>
  <c r="C12" i="22"/>
  <c r="C14" i="22"/>
  <c r="C15" i="22"/>
  <c r="C16" i="22"/>
  <c r="C17" i="22"/>
  <c r="C18" i="22"/>
  <c r="C2" i="22"/>
  <c r="H2" i="19"/>
  <c r="H85" i="19"/>
  <c r="H84" i="19"/>
  <c r="H83" i="19"/>
  <c r="H82" i="19"/>
  <c r="H81" i="19"/>
  <c r="H80" i="19"/>
  <c r="H79" i="19"/>
  <c r="H74" i="19"/>
  <c r="H69" i="19"/>
  <c r="H64" i="19"/>
  <c r="H61" i="19"/>
  <c r="H59" i="19"/>
  <c r="H57" i="19"/>
  <c r="H53" i="19"/>
  <c r="H55" i="19"/>
  <c r="H51" i="19"/>
  <c r="H47" i="19"/>
  <c r="H44" i="19"/>
  <c r="H43" i="19"/>
  <c r="H41" i="19"/>
  <c r="H86" i="19"/>
  <c r="H87" i="19"/>
  <c r="I2" i="19"/>
  <c r="J2" i="19"/>
  <c r="K2" i="19"/>
  <c r="G2" i="19"/>
  <c r="G8" i="19"/>
  <c r="H6" i="19"/>
  <c r="I6" i="19"/>
  <c r="J6" i="19"/>
  <c r="K6" i="19"/>
  <c r="H8" i="19"/>
  <c r="I8" i="19"/>
  <c r="J8" i="19"/>
  <c r="K8" i="19"/>
  <c r="G6" i="19"/>
  <c r="G4" i="19"/>
  <c r="H4" i="19"/>
  <c r="I4" i="19"/>
  <c r="J4" i="19"/>
  <c r="K4" i="19"/>
  <c r="G87" i="19"/>
  <c r="G86" i="19"/>
  <c r="G85" i="19"/>
  <c r="G84" i="19"/>
  <c r="G83" i="19"/>
  <c r="G82" i="19"/>
  <c r="G81" i="19"/>
  <c r="G80" i="19"/>
  <c r="G79" i="19"/>
  <c r="G74" i="19"/>
  <c r="G69" i="19"/>
  <c r="G64" i="19"/>
  <c r="G61" i="19"/>
  <c r="G59" i="19"/>
  <c r="G57" i="19"/>
  <c r="G53" i="19"/>
  <c r="G55" i="19"/>
  <c r="G51" i="19"/>
  <c r="G47" i="19"/>
  <c r="G44" i="19"/>
  <c r="G43" i="19"/>
  <c r="G41" i="19"/>
  <c r="G40" i="19"/>
  <c r="G37" i="19"/>
  <c r="G34" i="19"/>
  <c r="G28" i="19"/>
  <c r="G25" i="19"/>
  <c r="G23" i="19"/>
  <c r="G17" i="19"/>
  <c r="G13" i="19"/>
  <c r="G10" i="19"/>
  <c r="C80" i="19"/>
  <c r="G35" i="19"/>
  <c r="H35" i="19"/>
  <c r="I35" i="19"/>
  <c r="G36" i="19"/>
  <c r="H36" i="19"/>
  <c r="I36" i="19"/>
  <c r="I44" i="19"/>
  <c r="G38" i="19"/>
  <c r="H38" i="19"/>
  <c r="I38" i="19"/>
  <c r="G39" i="19"/>
  <c r="H39" i="19"/>
  <c r="I39" i="19"/>
  <c r="I47" i="19"/>
  <c r="I51" i="19"/>
  <c r="G42" i="19"/>
  <c r="H42" i="19"/>
  <c r="I42" i="19"/>
  <c r="I55" i="19"/>
  <c r="I53" i="19"/>
  <c r="G45" i="19"/>
  <c r="H45" i="19"/>
  <c r="I45" i="19"/>
  <c r="G46" i="19"/>
  <c r="H46" i="19"/>
  <c r="I46" i="19"/>
  <c r="I57" i="19"/>
  <c r="G48" i="19"/>
  <c r="H48" i="19"/>
  <c r="I48" i="19"/>
  <c r="G49" i="19"/>
  <c r="H49" i="19"/>
  <c r="I49" i="19"/>
  <c r="G50" i="19"/>
  <c r="H50" i="19"/>
  <c r="I50" i="19"/>
  <c r="I59" i="19"/>
  <c r="G52" i="19"/>
  <c r="H52" i="19"/>
  <c r="I52" i="19"/>
  <c r="I61" i="19"/>
  <c r="G54" i="19"/>
  <c r="H54" i="19"/>
  <c r="I54" i="19"/>
  <c r="I64" i="19"/>
  <c r="G56" i="19"/>
  <c r="H56" i="19"/>
  <c r="I56" i="19"/>
  <c r="I69" i="19"/>
  <c r="G58" i="19"/>
  <c r="H58" i="19"/>
  <c r="I58" i="19"/>
  <c r="I74" i="19"/>
  <c r="G60" i="19"/>
  <c r="H60" i="19"/>
  <c r="I60" i="19"/>
  <c r="I79" i="19"/>
  <c r="G62" i="19"/>
  <c r="H62" i="19"/>
  <c r="I62" i="19"/>
  <c r="G63" i="19"/>
  <c r="H63" i="19"/>
  <c r="I63" i="19"/>
  <c r="I80" i="19"/>
  <c r="G65" i="19"/>
  <c r="H65" i="19"/>
  <c r="I65" i="19"/>
  <c r="G66" i="19"/>
  <c r="H66" i="19"/>
  <c r="I66" i="19"/>
  <c r="G67" i="19"/>
  <c r="H67" i="19"/>
  <c r="I67" i="19"/>
  <c r="G68" i="19"/>
  <c r="H68" i="19"/>
  <c r="I68" i="19"/>
  <c r="I81" i="19"/>
  <c r="G70" i="19"/>
  <c r="H70" i="19"/>
  <c r="I70" i="19"/>
  <c r="G71" i="19"/>
  <c r="H71" i="19"/>
  <c r="I71" i="19"/>
  <c r="G72" i="19"/>
  <c r="H72" i="19"/>
  <c r="I72" i="19"/>
  <c r="G73" i="19"/>
  <c r="H73" i="19"/>
  <c r="I73" i="19"/>
  <c r="I82" i="19"/>
  <c r="G75" i="19"/>
  <c r="H75" i="19"/>
  <c r="I75" i="19"/>
  <c r="G76" i="19"/>
  <c r="H76" i="19"/>
  <c r="I76" i="19"/>
  <c r="G77" i="19"/>
  <c r="H77" i="19"/>
  <c r="I77" i="19"/>
  <c r="G78" i="19"/>
  <c r="H78" i="19"/>
  <c r="I78" i="19"/>
  <c r="I83" i="19"/>
  <c r="I84" i="19"/>
  <c r="I85" i="19"/>
  <c r="I86" i="19"/>
  <c r="I87" i="19"/>
  <c r="G3" i="19"/>
  <c r="H3" i="19"/>
  <c r="I3" i="19"/>
  <c r="H13" i="19"/>
  <c r="I13" i="19"/>
  <c r="G5" i="19"/>
  <c r="H5" i="19"/>
  <c r="I5" i="19"/>
  <c r="H17" i="19"/>
  <c r="I17" i="19"/>
  <c r="G7" i="19"/>
  <c r="H7" i="19"/>
  <c r="I7" i="19"/>
  <c r="G9" i="19"/>
  <c r="H9" i="19"/>
  <c r="I9" i="19"/>
  <c r="G11" i="19"/>
  <c r="H11" i="19"/>
  <c r="I11" i="19"/>
  <c r="G12" i="19"/>
  <c r="H12" i="19"/>
  <c r="I12" i="19"/>
  <c r="G14" i="19"/>
  <c r="H14" i="19"/>
  <c r="I14" i="19"/>
  <c r="G15" i="19"/>
  <c r="H15" i="19"/>
  <c r="I15" i="19"/>
  <c r="G16" i="19"/>
  <c r="H16" i="19"/>
  <c r="I16" i="19"/>
  <c r="H34" i="19"/>
  <c r="I34" i="19"/>
  <c r="G18" i="19"/>
  <c r="H18" i="19"/>
  <c r="I18" i="19"/>
  <c r="G19" i="19"/>
  <c r="H19" i="19"/>
  <c r="I19" i="19"/>
  <c r="G20" i="19"/>
  <c r="H20" i="19"/>
  <c r="I20" i="19"/>
  <c r="G21" i="19"/>
  <c r="H21" i="19"/>
  <c r="I21" i="19"/>
  <c r="G22" i="19"/>
  <c r="H22" i="19"/>
  <c r="I22" i="19"/>
  <c r="H37" i="19"/>
  <c r="I37" i="19"/>
  <c r="G24" i="19"/>
  <c r="H24" i="19"/>
  <c r="I24" i="19"/>
  <c r="H40" i="19"/>
  <c r="I40" i="19"/>
  <c r="G26" i="19"/>
  <c r="H26" i="19"/>
  <c r="I26" i="19"/>
  <c r="G27" i="19"/>
  <c r="H27" i="19"/>
  <c r="I27" i="19"/>
  <c r="I41" i="19"/>
  <c r="G29" i="19"/>
  <c r="H29" i="19"/>
  <c r="I29" i="19"/>
  <c r="G30" i="19"/>
  <c r="H30" i="19"/>
  <c r="I30" i="19"/>
  <c r="G31" i="19"/>
  <c r="H31" i="19"/>
  <c r="I31" i="19"/>
  <c r="G32" i="19"/>
  <c r="H32" i="19"/>
  <c r="I32" i="19"/>
  <c r="G33" i="19"/>
  <c r="H33" i="19"/>
  <c r="I33" i="19"/>
  <c r="I43" i="19"/>
  <c r="I10" i="19"/>
  <c r="H10" i="19"/>
  <c r="B14" i="13"/>
  <c r="C14" i="13"/>
  <c r="D14" i="13"/>
  <c r="E14" i="13"/>
  <c r="C28" i="19" s="1"/>
  <c r="F14" i="13"/>
  <c r="G14" i="13"/>
  <c r="H14" i="13"/>
  <c r="A83" i="13"/>
  <c r="B83" i="13"/>
  <c r="C83" i="13"/>
  <c r="A86" i="19" s="1"/>
  <c r="J86" i="19" s="1"/>
  <c r="D83" i="13"/>
  <c r="B86" i="19" s="1"/>
  <c r="E83" i="13"/>
  <c r="C86" i="19" s="1"/>
  <c r="F83" i="13"/>
  <c r="G83" i="13"/>
  <c r="H83" i="13"/>
  <c r="B84" i="13"/>
  <c r="C84" i="13"/>
  <c r="D84" i="13"/>
  <c r="E84" i="13"/>
  <c r="C87" i="19" s="1"/>
  <c r="F84" i="13"/>
  <c r="D87" i="19" s="1"/>
  <c r="G84" i="13"/>
  <c r="E87" i="19" s="1"/>
  <c r="H84" i="13"/>
  <c r="B77" i="13"/>
  <c r="C77" i="13"/>
  <c r="A76" i="19" s="1"/>
  <c r="J76" i="19" s="1"/>
  <c r="D77" i="13"/>
  <c r="B76" i="19" s="1"/>
  <c r="E77" i="13"/>
  <c r="F77" i="13"/>
  <c r="D76" i="19" s="1"/>
  <c r="G77" i="13"/>
  <c r="E76" i="19" s="1"/>
  <c r="H77" i="13"/>
  <c r="B78" i="13"/>
  <c r="C78" i="13"/>
  <c r="A77" i="19" s="1"/>
  <c r="J77" i="19" s="1"/>
  <c r="D78" i="13"/>
  <c r="B77" i="19" s="1"/>
  <c r="E78" i="13"/>
  <c r="F78" i="13"/>
  <c r="D77" i="19" s="1"/>
  <c r="G78" i="13"/>
  <c r="E77" i="19" s="1"/>
  <c r="H78" i="13"/>
  <c r="B79" i="13"/>
  <c r="C79" i="13"/>
  <c r="A78" i="19" s="1"/>
  <c r="J78" i="19" s="1"/>
  <c r="D79" i="13"/>
  <c r="B78" i="19" s="1"/>
  <c r="E79" i="13"/>
  <c r="F79" i="13"/>
  <c r="D78" i="19" s="1"/>
  <c r="G79" i="13"/>
  <c r="E78" i="19" s="1"/>
  <c r="H79" i="13"/>
  <c r="B9" i="13"/>
  <c r="C9" i="13"/>
  <c r="D9" i="13"/>
  <c r="E9" i="13"/>
  <c r="C23" i="19" s="1"/>
  <c r="F9" i="13"/>
  <c r="G9" i="13"/>
  <c r="H9" i="13"/>
  <c r="B11" i="13"/>
  <c r="C11" i="13"/>
  <c r="D11" i="13"/>
  <c r="E11" i="13"/>
  <c r="C25" i="19" s="1"/>
  <c r="F11" i="13"/>
  <c r="G11" i="13"/>
  <c r="H11" i="13"/>
  <c r="B71" i="13"/>
  <c r="C71" i="13"/>
  <c r="A70" i="19" s="1"/>
  <c r="K70" i="19" s="1"/>
  <c r="D71" i="13"/>
  <c r="B70" i="19" s="1"/>
  <c r="E71" i="13"/>
  <c r="F71" i="13"/>
  <c r="D70" i="19" s="1"/>
  <c r="G71" i="13"/>
  <c r="E70" i="19" s="1"/>
  <c r="H71" i="13"/>
  <c r="B72" i="13"/>
  <c r="C72" i="13"/>
  <c r="A71" i="19" s="1"/>
  <c r="D72" i="13"/>
  <c r="B71" i="19" s="1"/>
  <c r="E72" i="13"/>
  <c r="F72" i="13"/>
  <c r="D71" i="19" s="1"/>
  <c r="G72" i="13"/>
  <c r="E71" i="19" s="1"/>
  <c r="H72" i="13"/>
  <c r="B73" i="13"/>
  <c r="C73" i="13"/>
  <c r="A72" i="19" s="1"/>
  <c r="J72" i="19" s="1"/>
  <c r="D73" i="13"/>
  <c r="B72" i="19" s="1"/>
  <c r="E73" i="13"/>
  <c r="F73" i="13"/>
  <c r="D72" i="19" s="1"/>
  <c r="G73" i="13"/>
  <c r="E72" i="19" s="1"/>
  <c r="H73" i="13"/>
  <c r="B74" i="13"/>
  <c r="C74" i="13"/>
  <c r="A73" i="19" s="1"/>
  <c r="J73" i="19" s="1"/>
  <c r="D74" i="13"/>
  <c r="B73" i="19" s="1"/>
  <c r="E74" i="13"/>
  <c r="F74" i="13"/>
  <c r="D73" i="19" s="1"/>
  <c r="G74" i="13"/>
  <c r="E73" i="19" s="1"/>
  <c r="H74" i="13"/>
  <c r="B29" i="13"/>
  <c r="C29" i="13"/>
  <c r="D29" i="13"/>
  <c r="E29" i="13"/>
  <c r="C41" i="19" s="1"/>
  <c r="F29" i="13"/>
  <c r="G29" i="13"/>
  <c r="H29" i="13"/>
  <c r="B76" i="13"/>
  <c r="C76" i="13"/>
  <c r="A75" i="19" s="1"/>
  <c r="J75" i="19" s="1"/>
  <c r="D76" i="13"/>
  <c r="B75" i="19" s="1"/>
  <c r="E76" i="13"/>
  <c r="F76" i="13"/>
  <c r="D75" i="19" s="1"/>
  <c r="G76" i="13"/>
  <c r="E75" i="19" s="1"/>
  <c r="H76" i="13"/>
  <c r="B2" i="13"/>
  <c r="C2" i="13"/>
  <c r="D2" i="13"/>
  <c r="E2" i="13"/>
  <c r="F2" i="13"/>
  <c r="G2" i="13"/>
  <c r="H2" i="13"/>
  <c r="B3" i="13"/>
  <c r="C3" i="13"/>
  <c r="A10" i="19" s="1"/>
  <c r="K10" i="19" s="1"/>
  <c r="D3" i="13"/>
  <c r="E3" i="13"/>
  <c r="C10" i="19" s="1"/>
  <c r="F3" i="13"/>
  <c r="G3" i="13"/>
  <c r="H3" i="13"/>
  <c r="B4" i="13"/>
  <c r="C4" i="13"/>
  <c r="A3" i="19" s="1"/>
  <c r="J3" i="19" s="1"/>
  <c r="D4" i="13"/>
  <c r="B3" i="19" s="1"/>
  <c r="E4" i="13"/>
  <c r="F4" i="13"/>
  <c r="D3" i="19" s="1"/>
  <c r="G4" i="13"/>
  <c r="E3" i="19" s="1"/>
  <c r="H4" i="13"/>
  <c r="B18" i="13"/>
  <c r="C18" i="13"/>
  <c r="D18" i="13"/>
  <c r="E18" i="13"/>
  <c r="C34" i="19" s="1"/>
  <c r="F18" i="13"/>
  <c r="G18" i="13"/>
  <c r="H18" i="13"/>
  <c r="B6" i="13"/>
  <c r="C6" i="13"/>
  <c r="A5" i="19" s="1"/>
  <c r="J5" i="19" s="1"/>
  <c r="D6" i="13"/>
  <c r="B5" i="19" s="1"/>
  <c r="E6" i="13"/>
  <c r="F6" i="13"/>
  <c r="D5" i="19" s="1"/>
  <c r="G6" i="13"/>
  <c r="E5" i="19" s="1"/>
  <c r="H6" i="13"/>
  <c r="B41" i="13"/>
  <c r="C41" i="13"/>
  <c r="D41" i="13"/>
  <c r="E41" i="13"/>
  <c r="C47" i="19" s="1"/>
  <c r="F41" i="13"/>
  <c r="G41" i="13"/>
  <c r="H41" i="13"/>
  <c r="B8" i="13"/>
  <c r="C8" i="13"/>
  <c r="A7" i="19" s="1"/>
  <c r="J7" i="19" s="1"/>
  <c r="D8" i="13"/>
  <c r="B7" i="19" s="1"/>
  <c r="E8" i="13"/>
  <c r="F8" i="13"/>
  <c r="D7" i="19" s="1"/>
  <c r="G8" i="13"/>
  <c r="E7" i="19" s="1"/>
  <c r="H8" i="13"/>
  <c r="B52" i="13"/>
  <c r="C52" i="13"/>
  <c r="D52" i="13"/>
  <c r="E52" i="13"/>
  <c r="C59" i="19" s="1"/>
  <c r="F52" i="13"/>
  <c r="G52" i="13"/>
  <c r="H52" i="13"/>
  <c r="B10" i="13"/>
  <c r="C10" i="13"/>
  <c r="A9" i="19" s="1"/>
  <c r="D10" i="13"/>
  <c r="B9" i="19" s="1"/>
  <c r="E10" i="13"/>
  <c r="F10" i="13"/>
  <c r="D9" i="19" s="1"/>
  <c r="G10" i="13"/>
  <c r="E9" i="19" s="1"/>
  <c r="H10" i="13"/>
  <c r="B58" i="13"/>
  <c r="C58" i="13"/>
  <c r="D58" i="13"/>
  <c r="E58" i="13"/>
  <c r="C69" i="19" s="1"/>
  <c r="F58" i="13"/>
  <c r="G58" i="13"/>
  <c r="H58" i="13"/>
  <c r="B12" i="13"/>
  <c r="C12" i="13"/>
  <c r="A11" i="19" s="1"/>
  <c r="K11" i="19" s="1"/>
  <c r="D12" i="13"/>
  <c r="B11" i="19" s="1"/>
  <c r="E12" i="13"/>
  <c r="F12" i="13"/>
  <c r="D11" i="19" s="1"/>
  <c r="G12" i="13"/>
  <c r="E11" i="19" s="1"/>
  <c r="H12" i="13"/>
  <c r="B13" i="13"/>
  <c r="C13" i="13"/>
  <c r="A12" i="19" s="1"/>
  <c r="D13" i="13"/>
  <c r="B12" i="19" s="1"/>
  <c r="E13" i="13"/>
  <c r="F13" i="13"/>
  <c r="D12" i="19" s="1"/>
  <c r="G13" i="13"/>
  <c r="E12" i="19" s="1"/>
  <c r="H13" i="13"/>
  <c r="B75" i="13"/>
  <c r="C75" i="13"/>
  <c r="D75" i="13"/>
  <c r="E75" i="13"/>
  <c r="C82" i="19" s="1"/>
  <c r="F75" i="13"/>
  <c r="G75" i="13"/>
  <c r="H75" i="13"/>
  <c r="B15" i="13"/>
  <c r="C15" i="13"/>
  <c r="A14" i="19" s="1"/>
  <c r="J14" i="19" s="1"/>
  <c r="D15" i="13"/>
  <c r="B14" i="19" s="1"/>
  <c r="E15" i="13"/>
  <c r="F15" i="13"/>
  <c r="D14" i="19" s="1"/>
  <c r="G15" i="13"/>
  <c r="E14" i="19" s="1"/>
  <c r="H15" i="13"/>
  <c r="B16" i="13"/>
  <c r="C16" i="13"/>
  <c r="A15" i="19" s="1"/>
  <c r="J15" i="19" s="1"/>
  <c r="D16" i="13"/>
  <c r="B15" i="19" s="1"/>
  <c r="E16" i="13"/>
  <c r="F16" i="13"/>
  <c r="D15" i="19" s="1"/>
  <c r="G16" i="13"/>
  <c r="E15" i="19" s="1"/>
  <c r="H16" i="13"/>
  <c r="B17" i="13"/>
  <c r="C17" i="13"/>
  <c r="A16" i="19" s="1"/>
  <c r="K16" i="19" s="1"/>
  <c r="D17" i="13"/>
  <c r="B16" i="19" s="1"/>
  <c r="E17" i="13"/>
  <c r="F17" i="13"/>
  <c r="D16" i="19" s="1"/>
  <c r="G17" i="13"/>
  <c r="E16" i="19" s="1"/>
  <c r="H17" i="13"/>
  <c r="B48" i="13"/>
  <c r="C48" i="13"/>
  <c r="D48" i="13"/>
  <c r="E48" i="13"/>
  <c r="C57" i="19" s="1"/>
  <c r="F48" i="13"/>
  <c r="G48" i="13"/>
  <c r="H48" i="13"/>
  <c r="B19" i="13"/>
  <c r="C19" i="13"/>
  <c r="A18" i="19" s="1"/>
  <c r="J18" i="19" s="1"/>
  <c r="D19" i="13"/>
  <c r="B18" i="19" s="1"/>
  <c r="E19" i="13"/>
  <c r="F19" i="13"/>
  <c r="D18" i="19" s="1"/>
  <c r="G19" i="13"/>
  <c r="E18" i="19" s="1"/>
  <c r="H19" i="13"/>
  <c r="B20" i="13"/>
  <c r="C20" i="13"/>
  <c r="A19" i="19" s="1"/>
  <c r="K19" i="19" s="1"/>
  <c r="D20" i="13"/>
  <c r="B19" i="19" s="1"/>
  <c r="E20" i="13"/>
  <c r="F20" i="13"/>
  <c r="D19" i="19" s="1"/>
  <c r="G20" i="13"/>
  <c r="E19" i="19" s="1"/>
  <c r="H20" i="13"/>
  <c r="B21" i="13"/>
  <c r="C21" i="13"/>
  <c r="A20" i="19" s="1"/>
  <c r="D21" i="13"/>
  <c r="B20" i="19" s="1"/>
  <c r="E21" i="13"/>
  <c r="F21" i="13"/>
  <c r="D20" i="19" s="1"/>
  <c r="G21" i="13"/>
  <c r="E20" i="19" s="1"/>
  <c r="H21" i="13"/>
  <c r="B22" i="13"/>
  <c r="C22" i="13"/>
  <c r="A21" i="19" s="1"/>
  <c r="J21" i="19" s="1"/>
  <c r="D22" i="13"/>
  <c r="B21" i="19" s="1"/>
  <c r="E22" i="13"/>
  <c r="F22" i="13"/>
  <c r="D21" i="19" s="1"/>
  <c r="G22" i="13"/>
  <c r="E21" i="19" s="1"/>
  <c r="H22" i="13"/>
  <c r="B23" i="13"/>
  <c r="C23" i="13"/>
  <c r="A22" i="19" s="1"/>
  <c r="D23" i="13"/>
  <c r="B22" i="19" s="1"/>
  <c r="E23" i="13"/>
  <c r="F23" i="13"/>
  <c r="D22" i="19" s="1"/>
  <c r="G23" i="13"/>
  <c r="E22" i="19" s="1"/>
  <c r="H23" i="13"/>
  <c r="B82" i="13"/>
  <c r="C82" i="13"/>
  <c r="D82" i="13"/>
  <c r="E82" i="13"/>
  <c r="C85" i="19" s="1"/>
  <c r="F82" i="13"/>
  <c r="G82" i="13"/>
  <c r="H82" i="13"/>
  <c r="A25" i="13"/>
  <c r="B25" i="13"/>
  <c r="C25" i="13"/>
  <c r="A24" i="19" s="1"/>
  <c r="D25" i="13"/>
  <c r="B24" i="19" s="1"/>
  <c r="E25" i="13"/>
  <c r="F25" i="13"/>
  <c r="D24" i="19" s="1"/>
  <c r="G25" i="13"/>
  <c r="E24" i="19" s="1"/>
  <c r="H25" i="13"/>
  <c r="A38" i="13"/>
  <c r="B38" i="13"/>
  <c r="C38" i="13"/>
  <c r="D38" i="13"/>
  <c r="E38" i="13"/>
  <c r="C44" i="19" s="1"/>
  <c r="F38" i="13"/>
  <c r="G38" i="13"/>
  <c r="H38" i="13"/>
  <c r="A27" i="13"/>
  <c r="B27" i="13"/>
  <c r="C27" i="13"/>
  <c r="A26" i="19" s="1"/>
  <c r="J26" i="19" s="1"/>
  <c r="D27" i="13"/>
  <c r="B26" i="19" s="1"/>
  <c r="E27" i="13"/>
  <c r="F27" i="13"/>
  <c r="D26" i="19" s="1"/>
  <c r="G27" i="13"/>
  <c r="E26" i="19" s="1"/>
  <c r="H27" i="13"/>
  <c r="A28" i="13"/>
  <c r="B28" i="13"/>
  <c r="C28" i="13"/>
  <c r="A27" i="19" s="1"/>
  <c r="D28" i="13"/>
  <c r="B27" i="19" s="1"/>
  <c r="E28" i="13"/>
  <c r="F28" i="13"/>
  <c r="D27" i="19" s="1"/>
  <c r="G28" i="13"/>
  <c r="E27" i="19" s="1"/>
  <c r="H28" i="13"/>
  <c r="A54" i="13"/>
  <c r="B54" i="13"/>
  <c r="C54" i="13"/>
  <c r="D54" i="13"/>
  <c r="E54" i="13"/>
  <c r="C61" i="19" s="1"/>
  <c r="F54" i="13"/>
  <c r="G54" i="13"/>
  <c r="H54" i="13"/>
  <c r="A30" i="13"/>
  <c r="B30" i="13"/>
  <c r="C30" i="13"/>
  <c r="A29" i="19" s="1"/>
  <c r="J29" i="19" s="1"/>
  <c r="D30" i="13"/>
  <c r="B29" i="19" s="1"/>
  <c r="E30" i="13"/>
  <c r="F30" i="13"/>
  <c r="D29" i="19" s="1"/>
  <c r="G30" i="13"/>
  <c r="E29" i="19" s="1"/>
  <c r="H30" i="13"/>
  <c r="A31" i="13"/>
  <c r="B31" i="13"/>
  <c r="C31" i="13"/>
  <c r="A30" i="19" s="1"/>
  <c r="K30" i="19" s="1"/>
  <c r="D31" i="13"/>
  <c r="B30" i="19" s="1"/>
  <c r="E31" i="13"/>
  <c r="F31" i="13"/>
  <c r="D30" i="19" s="1"/>
  <c r="G31" i="13"/>
  <c r="E30" i="19" s="1"/>
  <c r="H31" i="13"/>
  <c r="A32" i="13"/>
  <c r="B32" i="13"/>
  <c r="C32" i="13"/>
  <c r="A31" i="19" s="1"/>
  <c r="J31" i="19" s="1"/>
  <c r="D32" i="13"/>
  <c r="B31" i="19" s="1"/>
  <c r="E32" i="13"/>
  <c r="F32" i="13"/>
  <c r="D31" i="19" s="1"/>
  <c r="G32" i="13"/>
  <c r="E31" i="19" s="1"/>
  <c r="H32" i="13"/>
  <c r="A33" i="13"/>
  <c r="B33" i="13"/>
  <c r="C33" i="13"/>
  <c r="A32" i="19" s="1"/>
  <c r="K32" i="19" s="1"/>
  <c r="D33" i="13"/>
  <c r="B32" i="19" s="1"/>
  <c r="E33" i="13"/>
  <c r="F33" i="13"/>
  <c r="D32" i="19" s="1"/>
  <c r="G33" i="13"/>
  <c r="E32" i="19" s="1"/>
  <c r="H33" i="13"/>
  <c r="A34" i="13"/>
  <c r="B34" i="13"/>
  <c r="C34" i="13"/>
  <c r="A33" i="19" s="1"/>
  <c r="J33" i="19" s="1"/>
  <c r="D34" i="13"/>
  <c r="B33" i="19" s="1"/>
  <c r="E34" i="13"/>
  <c r="F34" i="13"/>
  <c r="D33" i="19" s="1"/>
  <c r="G34" i="13"/>
  <c r="E33" i="19" s="1"/>
  <c r="H34" i="13"/>
  <c r="B5" i="13"/>
  <c r="C5" i="13"/>
  <c r="D5" i="13"/>
  <c r="E5" i="13"/>
  <c r="C13" i="19" s="1"/>
  <c r="F5" i="13"/>
  <c r="G5" i="13"/>
  <c r="H5" i="13"/>
  <c r="B36" i="13"/>
  <c r="C36" i="13"/>
  <c r="A35" i="19" s="1"/>
  <c r="D36" i="13"/>
  <c r="B35" i="19" s="1"/>
  <c r="E36" i="13"/>
  <c r="F36" i="13"/>
  <c r="D35" i="19" s="1"/>
  <c r="G36" i="13"/>
  <c r="E35" i="19" s="1"/>
  <c r="H36" i="13"/>
  <c r="B37" i="13"/>
  <c r="C37" i="13"/>
  <c r="A36" i="19" s="1"/>
  <c r="J36" i="19" s="1"/>
  <c r="D37" i="13"/>
  <c r="B36" i="19" s="1"/>
  <c r="E37" i="13"/>
  <c r="F37" i="13"/>
  <c r="D36" i="19" s="1"/>
  <c r="G37" i="13"/>
  <c r="E36" i="19" s="1"/>
  <c r="H37" i="13"/>
  <c r="B45" i="13"/>
  <c r="C45" i="13"/>
  <c r="D45" i="13"/>
  <c r="E45" i="13"/>
  <c r="C53" i="19" s="1"/>
  <c r="F45" i="13"/>
  <c r="G45" i="13"/>
  <c r="E44" i="19" s="1"/>
  <c r="H45" i="13"/>
  <c r="A39" i="13"/>
  <c r="B39" i="13"/>
  <c r="C39" i="13"/>
  <c r="A38" i="19" s="1"/>
  <c r="J38" i="19" s="1"/>
  <c r="D39" i="13"/>
  <c r="B38" i="19" s="1"/>
  <c r="E39" i="13"/>
  <c r="F39" i="13"/>
  <c r="D38" i="19" s="1"/>
  <c r="G39" i="13"/>
  <c r="E38" i="19" s="1"/>
  <c r="H39" i="13"/>
  <c r="B40" i="13"/>
  <c r="C40" i="13"/>
  <c r="A39" i="19" s="1"/>
  <c r="J39" i="19" s="1"/>
  <c r="D40" i="13"/>
  <c r="B39" i="19" s="1"/>
  <c r="E40" i="13"/>
  <c r="F40" i="13"/>
  <c r="D39" i="19" s="1"/>
  <c r="G40" i="13"/>
  <c r="E39" i="19" s="1"/>
  <c r="H40" i="13"/>
  <c r="B60" i="13"/>
  <c r="C60" i="13"/>
  <c r="D60" i="13"/>
  <c r="E60" i="13"/>
  <c r="C74" i="19" s="1"/>
  <c r="F60" i="13"/>
  <c r="G60" i="13"/>
  <c r="H60" i="13"/>
  <c r="B62" i="13"/>
  <c r="C62" i="13"/>
  <c r="D62" i="13"/>
  <c r="E62" i="13"/>
  <c r="C79" i="19" s="1"/>
  <c r="F62" i="13"/>
  <c r="G62" i="13"/>
  <c r="H62" i="13"/>
  <c r="B43" i="13"/>
  <c r="C43" i="13"/>
  <c r="A42" i="19" s="1"/>
  <c r="J42" i="19" s="1"/>
  <c r="D43" i="13"/>
  <c r="B42" i="19" s="1"/>
  <c r="E43" i="13"/>
  <c r="F43" i="13"/>
  <c r="D42" i="19" s="1"/>
  <c r="G43" i="13"/>
  <c r="E42" i="19" s="1"/>
  <c r="H43" i="13"/>
  <c r="A81" i="13"/>
  <c r="B81" i="13"/>
  <c r="C81" i="13"/>
  <c r="D81" i="13"/>
  <c r="E81" i="13"/>
  <c r="C84" i="19" s="1"/>
  <c r="F81" i="13"/>
  <c r="G81" i="13"/>
  <c r="H81" i="13"/>
  <c r="B7" i="13"/>
  <c r="C7" i="13"/>
  <c r="D7" i="13"/>
  <c r="E7" i="13"/>
  <c r="C17" i="19" s="1"/>
  <c r="F7" i="13"/>
  <c r="G7" i="13"/>
  <c r="H7" i="13"/>
  <c r="A46" i="13"/>
  <c r="B46" i="13"/>
  <c r="C46" i="13"/>
  <c r="A45" i="19" s="1"/>
  <c r="J45" i="19" s="1"/>
  <c r="D46" i="13"/>
  <c r="B45" i="19" s="1"/>
  <c r="E46" i="13"/>
  <c r="F46" i="13"/>
  <c r="D45" i="19" s="1"/>
  <c r="G46" i="13"/>
  <c r="E45" i="19" s="1"/>
  <c r="H46" i="13"/>
  <c r="B47" i="13"/>
  <c r="C47" i="13"/>
  <c r="A46" i="19" s="1"/>
  <c r="J46" i="19" s="1"/>
  <c r="D47" i="13"/>
  <c r="B46" i="19" s="1"/>
  <c r="E47" i="13"/>
  <c r="F47" i="13"/>
  <c r="D46" i="19" s="1"/>
  <c r="G47" i="13"/>
  <c r="E46" i="19" s="1"/>
  <c r="H47" i="13"/>
  <c r="B44" i="13"/>
  <c r="C44" i="13"/>
  <c r="D44" i="13"/>
  <c r="B57" i="19" s="1"/>
  <c r="E44" i="13"/>
  <c r="C55" i="19" s="1"/>
  <c r="F44" i="13"/>
  <c r="D57" i="19" s="1"/>
  <c r="G44" i="13"/>
  <c r="H44" i="13"/>
  <c r="B49" i="13"/>
  <c r="C49" i="13"/>
  <c r="A48" i="19" s="1"/>
  <c r="J48" i="19" s="1"/>
  <c r="D49" i="13"/>
  <c r="B48" i="19" s="1"/>
  <c r="E49" i="13"/>
  <c r="F49" i="13"/>
  <c r="D48" i="19" s="1"/>
  <c r="G49" i="13"/>
  <c r="E48" i="19" s="1"/>
  <c r="H49" i="13"/>
  <c r="B50" i="13"/>
  <c r="C50" i="13"/>
  <c r="A49" i="19" s="1"/>
  <c r="J49" i="19" s="1"/>
  <c r="D50" i="13"/>
  <c r="B49" i="19" s="1"/>
  <c r="E50" i="13"/>
  <c r="F50" i="13"/>
  <c r="D49" i="19" s="1"/>
  <c r="G50" i="13"/>
  <c r="E49" i="19" s="1"/>
  <c r="H50" i="13"/>
  <c r="A51" i="13"/>
  <c r="B51" i="13"/>
  <c r="C51" i="13"/>
  <c r="A50" i="19" s="1"/>
  <c r="J50" i="19" s="1"/>
  <c r="D51" i="13"/>
  <c r="B50" i="19" s="1"/>
  <c r="E51" i="13"/>
  <c r="F51" i="13"/>
  <c r="D50" i="19" s="1"/>
  <c r="G51" i="13"/>
  <c r="E50" i="19" s="1"/>
  <c r="H51" i="13"/>
  <c r="B70" i="13"/>
  <c r="C70" i="13"/>
  <c r="D70" i="13"/>
  <c r="B59" i="19" s="1"/>
  <c r="E70" i="13"/>
  <c r="C81" i="19" s="1"/>
  <c r="F70" i="13"/>
  <c r="G70" i="13"/>
  <c r="H70" i="13"/>
  <c r="B53" i="13"/>
  <c r="C53" i="13"/>
  <c r="A52" i="19" s="1"/>
  <c r="J52" i="19" s="1"/>
  <c r="D53" i="13"/>
  <c r="B52" i="19" s="1"/>
  <c r="E53" i="13"/>
  <c r="F53" i="13"/>
  <c r="D52" i="19" s="1"/>
  <c r="G53" i="13"/>
  <c r="E52" i="19" s="1"/>
  <c r="H53" i="13"/>
  <c r="B80" i="13"/>
  <c r="C80" i="13"/>
  <c r="D80" i="13"/>
  <c r="E80" i="13"/>
  <c r="C83" i="19" s="1"/>
  <c r="F80" i="13"/>
  <c r="G80" i="13"/>
  <c r="H80" i="13"/>
  <c r="B55" i="13"/>
  <c r="C55" i="13"/>
  <c r="A54" i="19" s="1"/>
  <c r="J54" i="19" s="1"/>
  <c r="D55" i="13"/>
  <c r="B54" i="19" s="1"/>
  <c r="E55" i="13"/>
  <c r="F55" i="13"/>
  <c r="D54" i="19" s="1"/>
  <c r="G55" i="13"/>
  <c r="E54" i="19" s="1"/>
  <c r="H55" i="13"/>
  <c r="B35" i="13"/>
  <c r="C35" i="13"/>
  <c r="D35" i="13"/>
  <c r="E35" i="13"/>
  <c r="C43" i="19" s="1"/>
  <c r="F35" i="13"/>
  <c r="G35" i="13"/>
  <c r="H35" i="13"/>
  <c r="B57" i="13"/>
  <c r="C57" i="13"/>
  <c r="A56" i="19" s="1"/>
  <c r="J56" i="19" s="1"/>
  <c r="D57" i="13"/>
  <c r="B56" i="19" s="1"/>
  <c r="E57" i="13"/>
  <c r="F57" i="13"/>
  <c r="D56" i="19" s="1"/>
  <c r="G57" i="13"/>
  <c r="E56" i="19" s="1"/>
  <c r="H57" i="13"/>
  <c r="B42" i="13"/>
  <c r="C42" i="13"/>
  <c r="D42" i="13"/>
  <c r="E42" i="13"/>
  <c r="C51" i="19" s="1"/>
  <c r="F42" i="13"/>
  <c r="G42" i="13"/>
  <c r="H42" i="13"/>
  <c r="A59" i="13"/>
  <c r="B59" i="13"/>
  <c r="C59" i="13"/>
  <c r="A58" i="19" s="1"/>
  <c r="D59" i="13"/>
  <c r="B58" i="19" s="1"/>
  <c r="E59" i="13"/>
  <c r="F59" i="13"/>
  <c r="D58" i="19" s="1"/>
  <c r="G59" i="13"/>
  <c r="E58" i="19" s="1"/>
  <c r="H59" i="13"/>
  <c r="B56" i="13"/>
  <c r="C56" i="13"/>
  <c r="D56" i="13"/>
  <c r="E56" i="13"/>
  <c r="C64" i="19" s="1"/>
  <c r="F56" i="13"/>
  <c r="G56" i="13"/>
  <c r="H56" i="13"/>
  <c r="B61" i="13"/>
  <c r="C61" i="13"/>
  <c r="A60" i="19" s="1"/>
  <c r="J60" i="19" s="1"/>
  <c r="D61" i="13"/>
  <c r="B60" i="19" s="1"/>
  <c r="E61" i="13"/>
  <c r="F61" i="13"/>
  <c r="D60" i="19" s="1"/>
  <c r="G61" i="13"/>
  <c r="E60" i="19" s="1"/>
  <c r="H61" i="13"/>
  <c r="B65" i="13"/>
  <c r="C65" i="13"/>
  <c r="F65" i="13"/>
  <c r="G65" i="13"/>
  <c r="H65" i="13"/>
  <c r="B63" i="13"/>
  <c r="C63" i="13"/>
  <c r="A62" i="19" s="1"/>
  <c r="J62" i="19" s="1"/>
  <c r="D63" i="13"/>
  <c r="B62" i="19" s="1"/>
  <c r="E63" i="13"/>
  <c r="F63" i="13"/>
  <c r="D62" i="19" s="1"/>
  <c r="G63" i="13"/>
  <c r="E62" i="19" s="1"/>
  <c r="H63" i="13"/>
  <c r="A64" i="13"/>
  <c r="B64" i="13"/>
  <c r="C64" i="13"/>
  <c r="A63" i="19" s="1"/>
  <c r="J63" i="19" s="1"/>
  <c r="D64" i="13"/>
  <c r="B63" i="19" s="1"/>
  <c r="E64" i="13"/>
  <c r="F64" i="13"/>
  <c r="D63" i="19" s="1"/>
  <c r="G64" i="13"/>
  <c r="E63" i="19" s="1"/>
  <c r="H64" i="13"/>
  <c r="B24" i="13"/>
  <c r="C24" i="13"/>
  <c r="D24" i="13"/>
  <c r="B80" i="19" s="1"/>
  <c r="E24" i="13"/>
  <c r="C37" i="19" s="1"/>
  <c r="F24" i="13"/>
  <c r="G24" i="13"/>
  <c r="H24" i="13"/>
  <c r="B66" i="13"/>
  <c r="C66" i="13"/>
  <c r="A65" i="19" s="1"/>
  <c r="J65" i="19" s="1"/>
  <c r="D66" i="13"/>
  <c r="B65" i="19" s="1"/>
  <c r="E66" i="13"/>
  <c r="F66" i="13"/>
  <c r="D65" i="19" s="1"/>
  <c r="G66" i="13"/>
  <c r="E65" i="19" s="1"/>
  <c r="H66" i="13"/>
  <c r="B67" i="13"/>
  <c r="C67" i="13"/>
  <c r="A66" i="19" s="1"/>
  <c r="J66" i="19" s="1"/>
  <c r="D67" i="13"/>
  <c r="B66" i="19" s="1"/>
  <c r="E67" i="13"/>
  <c r="F67" i="13"/>
  <c r="D66" i="19" s="1"/>
  <c r="G67" i="13"/>
  <c r="E66" i="19" s="1"/>
  <c r="H67" i="13"/>
  <c r="B68" i="13"/>
  <c r="C68" i="13"/>
  <c r="A67" i="19" s="1"/>
  <c r="K67" i="19" s="1"/>
  <c r="D68" i="13"/>
  <c r="B67" i="19" s="1"/>
  <c r="E68" i="13"/>
  <c r="F68" i="13"/>
  <c r="D67" i="19" s="1"/>
  <c r="G68" i="13"/>
  <c r="E67" i="19" s="1"/>
  <c r="H68" i="13"/>
  <c r="B69" i="13"/>
  <c r="C69" i="13"/>
  <c r="A68" i="19" s="1"/>
  <c r="J68" i="19" s="1"/>
  <c r="D69" i="13"/>
  <c r="B68" i="19" s="1"/>
  <c r="E69" i="13"/>
  <c r="F69" i="13"/>
  <c r="D68" i="19" s="1"/>
  <c r="G69" i="13"/>
  <c r="E68" i="19" s="1"/>
  <c r="H69" i="13"/>
  <c r="B26" i="13"/>
  <c r="C26" i="13"/>
  <c r="D26" i="13"/>
  <c r="E26" i="13"/>
  <c r="C40" i="19" s="1"/>
  <c r="F26" i="13"/>
  <c r="G26" i="13"/>
  <c r="H26" i="13"/>
  <c r="H1" i="13"/>
  <c r="B1" i="13"/>
  <c r="C1" i="13"/>
  <c r="D1" i="13"/>
  <c r="E1" i="13"/>
  <c r="F1" i="13"/>
  <c r="G1" i="13"/>
  <c r="A1" i="13"/>
  <c r="D59" i="19" l="1"/>
  <c r="A57" i="19"/>
  <c r="J57" i="19" s="1"/>
  <c r="D2" i="21"/>
  <c r="E59" i="19"/>
  <c r="A2" i="13"/>
  <c r="E69" i="19"/>
  <c r="B69" i="19"/>
  <c r="A74" i="19"/>
  <c r="K74" i="19" s="1"/>
  <c r="A61" i="19"/>
  <c r="J61" i="19" s="1"/>
  <c r="A59" i="19"/>
  <c r="J59" i="19" s="1"/>
  <c r="A69" i="19"/>
  <c r="K69" i="19" s="1"/>
  <c r="E74" i="19"/>
  <c r="E61" i="19"/>
  <c r="A51" i="19"/>
  <c r="K51" i="19" s="1"/>
  <c r="E40" i="19"/>
  <c r="D79" i="19"/>
  <c r="A40" i="19"/>
  <c r="K40" i="19" s="1"/>
  <c r="B55" i="19"/>
  <c r="B40" i="19"/>
  <c r="D74" i="19"/>
  <c r="D61" i="19"/>
  <c r="D53" i="19"/>
  <c r="D17" i="19"/>
  <c r="D84" i="19"/>
  <c r="E57" i="19"/>
  <c r="K57" i="19"/>
  <c r="K86" i="19"/>
  <c r="J10" i="19"/>
  <c r="D80" i="19"/>
  <c r="B61" i="19"/>
  <c r="B51" i="19"/>
  <c r="B79" i="19"/>
  <c r="B83" i="19"/>
  <c r="B85" i="19"/>
  <c r="E17" i="19"/>
  <c r="E84" i="19"/>
  <c r="A83" i="19"/>
  <c r="A85" i="19"/>
  <c r="E81" i="19"/>
  <c r="D81" i="19"/>
  <c r="B17" i="19"/>
  <c r="B84" i="19"/>
  <c r="E55" i="19"/>
  <c r="A84" i="19"/>
  <c r="E43" i="19"/>
  <c r="B81" i="19"/>
  <c r="D64" i="19"/>
  <c r="D40" i="19"/>
  <c r="A17" i="19"/>
  <c r="D55" i="19"/>
  <c r="D47" i="19"/>
  <c r="A79" i="19"/>
  <c r="A55" i="19"/>
  <c r="E83" i="19"/>
  <c r="E85" i="19"/>
  <c r="E51" i="19"/>
  <c r="D51" i="19"/>
  <c r="D83" i="19"/>
  <c r="D85" i="19"/>
  <c r="E41" i="19"/>
  <c r="E28" i="19"/>
  <c r="E25" i="19"/>
  <c r="E13" i="19"/>
  <c r="E47" i="19"/>
  <c r="D44" i="19"/>
  <c r="D43" i="19"/>
  <c r="D41" i="19"/>
  <c r="D28" i="19"/>
  <c r="D25" i="19"/>
  <c r="D13" i="19"/>
  <c r="E64" i="19"/>
  <c r="A81" i="19"/>
  <c r="E80" i="19"/>
  <c r="E79" i="19"/>
  <c r="B64" i="19"/>
  <c r="B47" i="19"/>
  <c r="B44" i="19"/>
  <c r="B43" i="19"/>
  <c r="B41" i="19"/>
  <c r="B28" i="19"/>
  <c r="B25" i="19"/>
  <c r="B13" i="19"/>
  <c r="B87" i="19"/>
  <c r="A64" i="19"/>
  <c r="E53" i="19"/>
  <c r="A43" i="19"/>
  <c r="A41" i="19"/>
  <c r="E37" i="19"/>
  <c r="E34" i="19"/>
  <c r="A28" i="19"/>
  <c r="A25" i="19"/>
  <c r="E23" i="19"/>
  <c r="A13" i="19"/>
  <c r="E10" i="19"/>
  <c r="E82" i="19"/>
  <c r="A87" i="19"/>
  <c r="A47" i="19"/>
  <c r="A44" i="19"/>
  <c r="D37" i="19"/>
  <c r="D34" i="19"/>
  <c r="D23" i="19"/>
  <c r="D10" i="19"/>
  <c r="D82" i="19"/>
  <c r="A80" i="19"/>
  <c r="B74" i="19"/>
  <c r="B53" i="19"/>
  <c r="B37" i="19"/>
  <c r="B34" i="19"/>
  <c r="B23" i="19"/>
  <c r="B10" i="19"/>
  <c r="B82" i="19"/>
  <c r="A37" i="19"/>
  <c r="A34" i="19"/>
  <c r="A23" i="19"/>
  <c r="A82" i="19"/>
  <c r="E86" i="19"/>
  <c r="A53" i="19"/>
  <c r="D69" i="19"/>
  <c r="D86" i="19"/>
  <c r="J58" i="19"/>
  <c r="K58" i="19"/>
  <c r="J71" i="19"/>
  <c r="K71" i="19"/>
  <c r="J35" i="19"/>
  <c r="K35" i="19"/>
  <c r="K20" i="19"/>
  <c r="J20" i="19"/>
  <c r="J27" i="19"/>
  <c r="K27" i="19"/>
  <c r="K24" i="19"/>
  <c r="J24" i="19"/>
  <c r="K12" i="19"/>
  <c r="J12" i="19"/>
  <c r="J9" i="19"/>
  <c r="K9" i="19"/>
  <c r="J22" i="19"/>
  <c r="K22" i="19"/>
  <c r="J70" i="19"/>
  <c r="K33" i="19"/>
  <c r="K21" i="19"/>
  <c r="J30" i="19"/>
  <c r="J16" i="19"/>
  <c r="K46" i="19"/>
  <c r="K31" i="19"/>
  <c r="J11" i="19"/>
  <c r="J67" i="19"/>
  <c r="J19" i="19"/>
  <c r="K3" i="19"/>
  <c r="K62" i="19"/>
  <c r="K50" i="19"/>
  <c r="K38" i="19"/>
  <c r="J32" i="19"/>
  <c r="K14" i="19"/>
  <c r="K75" i="19"/>
  <c r="K63" i="19"/>
  <c r="K39" i="19"/>
  <c r="K29" i="19"/>
  <c r="K18" i="19"/>
  <c r="K7" i="19"/>
  <c r="K78" i="19"/>
  <c r="K66" i="19"/>
  <c r="K54" i="19"/>
  <c r="K42" i="19"/>
  <c r="K26" i="19"/>
  <c r="K15" i="19"/>
  <c r="K76" i="19"/>
  <c r="K72" i="19"/>
  <c r="K68" i="19"/>
  <c r="K60" i="19"/>
  <c r="K56" i="19"/>
  <c r="K52" i="19"/>
  <c r="K48" i="19"/>
  <c r="K36" i="19"/>
  <c r="K77" i="19"/>
  <c r="K73" i="19"/>
  <c r="K65" i="19"/>
  <c r="K49" i="19"/>
  <c r="K45" i="19"/>
  <c r="K5" i="19"/>
  <c r="A3" i="13" l="1"/>
  <c r="K61" i="19"/>
  <c r="J74" i="19"/>
  <c r="J69" i="19"/>
  <c r="K59" i="19"/>
  <c r="J51" i="19"/>
  <c r="J40" i="19"/>
  <c r="J34" i="19"/>
  <c r="K34" i="19"/>
  <c r="J55" i="19"/>
  <c r="K55" i="19"/>
  <c r="J25" i="19"/>
  <c r="K25" i="19"/>
  <c r="J23" i="19"/>
  <c r="K23" i="19"/>
  <c r="K37" i="19"/>
  <c r="J37" i="19"/>
  <c r="K79" i="19"/>
  <c r="J79" i="19"/>
  <c r="K41" i="19"/>
  <c r="J41" i="19"/>
  <c r="K44" i="19"/>
  <c r="J44" i="19"/>
  <c r="K43" i="19"/>
  <c r="J43" i="19"/>
  <c r="J85" i="19"/>
  <c r="K85" i="19"/>
  <c r="K82" i="19"/>
  <c r="J82" i="19"/>
  <c r="J28" i="19"/>
  <c r="K28" i="19"/>
  <c r="J17" i="19"/>
  <c r="K17" i="19"/>
  <c r="J83" i="19"/>
  <c r="K83" i="19"/>
  <c r="J87" i="19"/>
  <c r="K87" i="19"/>
  <c r="K64" i="19"/>
  <c r="J64" i="19"/>
  <c r="K81" i="19"/>
  <c r="J81" i="19"/>
  <c r="K47" i="19"/>
  <c r="J47" i="19"/>
  <c r="J53" i="19"/>
  <c r="K53" i="19"/>
  <c r="K13" i="19"/>
  <c r="J13" i="19"/>
  <c r="K80" i="19"/>
  <c r="J80" i="19"/>
  <c r="J84" i="19"/>
  <c r="K84" i="19"/>
  <c r="A4" i="13" l="1"/>
  <c r="A18" i="13" l="1"/>
  <c r="A6" i="13" l="1"/>
  <c r="A41" i="13" l="1"/>
  <c r="A8" i="13" l="1"/>
  <c r="A52" i="13" l="1"/>
  <c r="A10" i="13" l="1"/>
  <c r="A58" i="13" l="1"/>
  <c r="A12" i="13" l="1"/>
  <c r="A13" i="13" l="1"/>
  <c r="A75" i="13" l="1"/>
  <c r="A15" i="13" l="1"/>
  <c r="A16" i="13" l="1"/>
  <c r="A17" i="13" l="1"/>
  <c r="A48" i="13" l="1"/>
  <c r="A19" i="13" l="1"/>
  <c r="A20" i="13" l="1"/>
  <c r="A21" i="13" l="1"/>
  <c r="A22" i="13" l="1"/>
  <c r="A23" i="13" l="1"/>
  <c r="A82" i="13" l="1"/>
  <c r="A5" i="13" l="1"/>
  <c r="A36" i="13" l="1"/>
  <c r="A37" i="13" l="1"/>
  <c r="A45" i="13" l="1"/>
  <c r="A40" i="13" l="1"/>
  <c r="A60" i="13" l="1"/>
  <c r="A62" i="13" l="1"/>
  <c r="A43" i="13" l="1"/>
  <c r="A7" i="13" l="1"/>
  <c r="A47" i="13" l="1"/>
  <c r="A44" i="13" l="1"/>
  <c r="A49" i="13" l="1"/>
  <c r="A50" i="13" l="1"/>
  <c r="A70" i="13" l="1"/>
  <c r="A53" i="13" l="1"/>
  <c r="A80" i="13" l="1"/>
  <c r="A55" i="13" l="1"/>
  <c r="A35" i="13" l="1"/>
  <c r="A57" i="13" l="1"/>
  <c r="A42" i="13" l="1"/>
  <c r="A56" i="13" l="1"/>
  <c r="A61" i="13" l="1"/>
  <c r="A65" i="13" l="1"/>
  <c r="A63" i="13" l="1"/>
  <c r="A24" i="13" l="1"/>
  <c r="A66" i="13" l="1"/>
  <c r="A67" i="13" l="1"/>
  <c r="A68" i="13" l="1"/>
  <c r="A69" i="13" l="1"/>
  <c r="A26" i="13" l="1"/>
  <c r="A71" i="13" l="1"/>
  <c r="A72" i="13" l="1"/>
  <c r="A73" i="13" l="1"/>
  <c r="A74" i="13" l="1"/>
  <c r="A29" i="13" l="1"/>
  <c r="A76" i="13" l="1"/>
  <c r="A77" i="13" l="1"/>
  <c r="A78" i="13" l="1"/>
  <c r="A79" i="13" l="1"/>
  <c r="A9" i="13" l="1"/>
  <c r="A11" i="13" l="1"/>
  <c r="A84" i="13" l="1"/>
  <c r="A14" i="13"/>
</calcChain>
</file>

<file path=xl/sharedStrings.xml><?xml version="1.0" encoding="utf-8"?>
<sst xmlns="http://schemas.openxmlformats.org/spreadsheetml/2006/main" count="853" uniqueCount="159">
  <si>
    <t>Mannschaft</t>
  </si>
  <si>
    <t>Ort</t>
  </si>
  <si>
    <t>Neufeld</t>
  </si>
  <si>
    <t>Hornstein</t>
  </si>
  <si>
    <t>Auswärt/Heim</t>
  </si>
  <si>
    <t>Gegner</t>
  </si>
  <si>
    <t>Runde</t>
  </si>
  <si>
    <t>fixierter Termin</t>
  </si>
  <si>
    <t>fixierte Uhrzeit</t>
  </si>
  <si>
    <t>fortlaufende Nummer</t>
  </si>
  <si>
    <t>Auswärts</t>
  </si>
  <si>
    <t>Heim</t>
  </si>
  <si>
    <t>Wimpassing</t>
  </si>
  <si>
    <t>Tel</t>
  </si>
  <si>
    <t>U13</t>
  </si>
  <si>
    <t>Spielfeld</t>
  </si>
  <si>
    <t>Tore</t>
  </si>
  <si>
    <t>Ball</t>
  </si>
  <si>
    <t>Großfeld</t>
  </si>
  <si>
    <t>U11/U12</t>
  </si>
  <si>
    <t>Spielfeldgröße</t>
  </si>
  <si>
    <t>U8</t>
  </si>
  <si>
    <t>U9/U10</t>
  </si>
  <si>
    <t>Kittsee</t>
  </si>
  <si>
    <t>Winden</t>
  </si>
  <si>
    <t>Gols</t>
  </si>
  <si>
    <t>U15</t>
  </si>
  <si>
    <t>U14</t>
  </si>
  <si>
    <t>U9</t>
  </si>
  <si>
    <t>Illmitz</t>
  </si>
  <si>
    <t>KM</t>
  </si>
  <si>
    <t>Tadten</t>
  </si>
  <si>
    <t>Gattendorf</t>
  </si>
  <si>
    <t>Andau</t>
  </si>
  <si>
    <t>U11 Nord D</t>
  </si>
  <si>
    <t>Camp</t>
  </si>
  <si>
    <t>Teco 7 Camp</t>
  </si>
  <si>
    <t>TRAININGSORTE/TAGE</t>
  </si>
  <si>
    <t>MONTAG</t>
  </si>
  <si>
    <t>TRAINER</t>
  </si>
  <si>
    <t>DIENSTAG</t>
  </si>
  <si>
    <t>MITTWOCH</t>
  </si>
  <si>
    <t>DONNERSTAG</t>
  </si>
  <si>
    <t>FREITAG</t>
  </si>
  <si>
    <t>SAMSTAG</t>
  </si>
  <si>
    <t>MANNSCHAFT</t>
  </si>
  <si>
    <t>FKG</t>
  </si>
  <si>
    <t>U11</t>
  </si>
  <si>
    <t>U16</t>
  </si>
  <si>
    <t>RONNIE ARCHAM</t>
  </si>
  <si>
    <t>TOBIAS BERGER SEBASTIAN PUTRIC</t>
  </si>
  <si>
    <t>MARIO MAGLER RONNIE ARCHAM</t>
  </si>
  <si>
    <t>THOMAS PÖSCHL LENZ HONC</t>
  </si>
  <si>
    <t>GERNOT SEVELDA MARKUS DORINGER</t>
  </si>
  <si>
    <t>JOSCH KÖGL</t>
  </si>
  <si>
    <t>16:30 - 18:00</t>
  </si>
  <si>
    <t>17:00 - 18:30</t>
  </si>
  <si>
    <t>10:00 - 11:00</t>
  </si>
  <si>
    <t>U23</t>
  </si>
  <si>
    <t>18:45 - 20:15</t>
  </si>
  <si>
    <t>JUNIOREN/SENIOREN</t>
  </si>
  <si>
    <t>HINTERM TOR</t>
  </si>
  <si>
    <t>TRAININGSPLATZ</t>
  </si>
  <si>
    <t>HAUPTFELD</t>
  </si>
  <si>
    <t>SPIELGEMEINSCHAFTEN MIT WIMPASSING</t>
  </si>
  <si>
    <t>WIMPASSING</t>
  </si>
  <si>
    <t>WENN KM-TRAINING MUSS DAS HAUPTFELD AB 18:45 FREI SEIN</t>
  </si>
  <si>
    <t>SERDAR EKINCI HUBERT OBERHOFER</t>
  </si>
  <si>
    <t>Trainer/Ansprechpartner</t>
  </si>
  <si>
    <t>17: 00 - 18:30</t>
  </si>
  <si>
    <t>17:15 - 19:00</t>
  </si>
  <si>
    <t>Deutsch Jahrndorf</t>
  </si>
  <si>
    <t>U7</t>
  </si>
  <si>
    <t xml:space="preserve">25 - 26.04 </t>
  </si>
  <si>
    <t>freihalten</t>
  </si>
  <si>
    <t>04.06. - 08.06.</t>
  </si>
  <si>
    <t>kein Turnier</t>
  </si>
  <si>
    <t>U16 LL</t>
  </si>
  <si>
    <t>U15 LL Nord</t>
  </si>
  <si>
    <t>Siegendorf</t>
  </si>
  <si>
    <t>Turnier</t>
  </si>
  <si>
    <t>Uhrzeit</t>
  </si>
  <si>
    <t>keine</t>
  </si>
  <si>
    <t>Freundschaftspiel Felixdorf</t>
  </si>
  <si>
    <t>Freundschaftsspiel Baden</t>
  </si>
  <si>
    <t>Freundschaftspiel Pöttsching</t>
  </si>
  <si>
    <t>Freundschaftsspiel Großhöflein</t>
  </si>
  <si>
    <t>ÖMER TÜRKES TAHA MAHSUMI</t>
  </si>
  <si>
    <t>THOMAS BRANDL DANIEL HOFBAUER</t>
  </si>
  <si>
    <t>17:30 - 18:30</t>
  </si>
  <si>
    <t>16:00 - 16:45</t>
  </si>
  <si>
    <t>DINGES STEFAN</t>
  </si>
  <si>
    <t>PLENINGER STEFAN</t>
  </si>
  <si>
    <t>18:00 - 19:30</t>
  </si>
  <si>
    <t>18:30 - 20:15</t>
  </si>
  <si>
    <t>TITEL</t>
  </si>
  <si>
    <t>DATUM</t>
  </si>
  <si>
    <t>TYP</t>
  </si>
  <si>
    <t>GEGNER</t>
  </si>
  <si>
    <t>ORT</t>
  </si>
  <si>
    <t>ENDZEIT</t>
  </si>
  <si>
    <t>STARTZEIT</t>
  </si>
  <si>
    <t>LIGA</t>
  </si>
  <si>
    <t>BESCHREIBUNG</t>
  </si>
  <si>
    <t>viele Gegner</t>
  </si>
  <si>
    <t>GGG</t>
  </si>
  <si>
    <t>STATUS</t>
  </si>
  <si>
    <t>aktiv</t>
  </si>
  <si>
    <t>SPIELART</t>
  </si>
  <si>
    <t>Liga</t>
  </si>
  <si>
    <t>alle_spiele.ics</t>
  </si>
  <si>
    <t>heimspiele.ics</t>
  </si>
  <si>
    <t>auswaertsspiele.ics</t>
  </si>
  <si>
    <t>KM.ics</t>
  </si>
  <si>
    <t>U23.ics</t>
  </si>
  <si>
    <t>U16.ics</t>
  </si>
  <si>
    <t>U15.ics</t>
  </si>
  <si>
    <t>U14.ics</t>
  </si>
  <si>
    <t>U13.ics</t>
  </si>
  <si>
    <t>U11.ics</t>
  </si>
  <si>
    <t>U9.ics</t>
  </si>
  <si>
    <t xml:space="preserve"> U8.ics</t>
  </si>
  <si>
    <t xml:space="preserve"> U7.ics</t>
  </si>
  <si>
    <t xml:space="preserve"> Camp.ics</t>
  </si>
  <si>
    <t xml:space="preserve"> GGG.ics</t>
  </si>
  <si>
    <t>U12.ics</t>
  </si>
  <si>
    <t>U10.ics</t>
  </si>
  <si>
    <t>Kategorie</t>
  </si>
  <si>
    <t>Alle Spiele des ASV Neufeld</t>
  </si>
  <si>
    <t>Alle Heimspiele des ASV Neufelds</t>
  </si>
  <si>
    <t>Alle Auswärtsspiele des ASV Neufelds</t>
  </si>
  <si>
    <t>Alle Spiele der Kampfmannschaft</t>
  </si>
  <si>
    <t xml:space="preserve">Alle Spiele der U23 </t>
  </si>
  <si>
    <t>Alle Spiele der U16</t>
  </si>
  <si>
    <t>Alle Spiele der U7</t>
  </si>
  <si>
    <t>Alle Spiele der U8</t>
  </si>
  <si>
    <t>Alle Spiele der U9</t>
  </si>
  <si>
    <t>Alle Spiele der U10</t>
  </si>
  <si>
    <t>Alle Spiele der U15</t>
  </si>
  <si>
    <t>Alle Spiele der U14</t>
  </si>
  <si>
    <t>Alle Spiele der U13</t>
  </si>
  <si>
    <t>Alle Spiele der U12</t>
  </si>
  <si>
    <t>Alle Spiele der U11</t>
  </si>
  <si>
    <t>ABOLINK</t>
  </si>
  <si>
    <t>ART</t>
  </si>
  <si>
    <t>Spiel</t>
  </si>
  <si>
    <t>U10</t>
  </si>
  <si>
    <t>MÄDCHENCAMP</t>
  </si>
  <si>
    <t>REAL MADRID CAMP</t>
  </si>
  <si>
    <t>SK Rapid Wien</t>
  </si>
  <si>
    <t>Neudörfl</t>
  </si>
  <si>
    <t>Rohbach</t>
  </si>
  <si>
    <t>Rohrbach</t>
  </si>
  <si>
    <t>Bad Fischau</t>
  </si>
  <si>
    <t>Wiener Neudorf</t>
  </si>
  <si>
    <t>Mönchhof</t>
  </si>
  <si>
    <t>Wallern</t>
  </si>
  <si>
    <t>U12_1</t>
  </si>
  <si>
    <t>U12_2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</si>
</sst>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-F800]dddd\,\ mmmm\ dd\,\ yyyy"/>
    <numFmt numFmtId="165" formatCode="[$-C07]dddd\,\ dd\.\ mmmm\ yyyy;@"/>
    <numFmt numFmtId="166" formatCode="hh:mm;@"/>
    <numFmt numFmtId="167" formatCode="dd\.mm\.yyyy;@"/>
  </numFmts>
  <fonts count="14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4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8"/>
      <name val="Arial"/>
      <family val="2"/>
    </font>
    <font>
      <b/>
      <sz val="12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1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1" tint="-0.49998474074526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-0.249977111117893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/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ck">
        <color auto="1"/>
      </bottom>
      <diagonal/>
    </border>
  </borders>
  <cellStyleXfs count="2">
    <xf numFmtId="0" fontId="0" fillId="0" borderId="0"/>
    <xf numFmtId="0" fontId="13" fillId="0" borderId="0" applyNumberFormat="0" applyFill="0" applyBorder="0" applyAlignment="0" applyProtection="0"/>
  </cellStyleXfs>
  <cellXfs count="133">
    <xf numFmtId="0" fontId="0" fillId="0" borderId="0" xfId="0"/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4" fontId="0" fillId="0" borderId="2" xfId="0" applyNumberFormat="1" applyBorder="1" applyAlignment="1">
      <alignment horizontal="center"/>
    </xf>
    <xf numFmtId="0" fontId="0" fillId="0" borderId="2" xfId="0" applyBorder="1" applyAlignment="1">
      <alignment horizontal="center"/>
    </xf>
    <xf numFmtId="20" fontId="0" fillId="2" borderId="1" xfId="0" applyNumberForma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Font="1" applyBorder="1" applyAlignment="1">
      <alignment horizontal="center"/>
    </xf>
    <xf numFmtId="0" fontId="0" fillId="4" borderId="1" xfId="0" applyFill="1" applyBorder="1" applyAlignment="1">
      <alignment horizontal="center"/>
    </xf>
    <xf numFmtId="20" fontId="0" fillId="4" borderId="1" xfId="0" applyNumberForma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164" fontId="0" fillId="0" borderId="2" xfId="0" applyNumberFormat="1" applyBorder="1" applyAlignment="1">
      <alignment horizontal="center"/>
    </xf>
    <xf numFmtId="164" fontId="0" fillId="2" borderId="1" xfId="0" applyNumberFormat="1" applyFill="1" applyBorder="1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0" xfId="0" applyAlignment="1">
      <alignment wrapText="1"/>
    </xf>
    <xf numFmtId="0" fontId="0" fillId="0" borderId="0" xfId="0" applyAlignment="1"/>
    <xf numFmtId="20" fontId="0" fillId="5" borderId="1" xfId="0" applyNumberFormat="1" applyFill="1" applyBorder="1" applyAlignment="1">
      <alignment horizontal="center"/>
    </xf>
    <xf numFmtId="0" fontId="1" fillId="6" borderId="1" xfId="0" applyFont="1" applyFill="1" applyBorder="1" applyAlignment="1">
      <alignment horizontal="center"/>
    </xf>
    <xf numFmtId="164" fontId="1" fillId="6" borderId="1" xfId="0" applyNumberFormat="1" applyFont="1" applyFill="1" applyBorder="1" applyAlignment="1">
      <alignment horizontal="center"/>
    </xf>
    <xf numFmtId="20" fontId="1" fillId="6" borderId="1" xfId="0" applyNumberFormat="1" applyFont="1" applyFill="1" applyBorder="1" applyAlignment="1">
      <alignment horizontal="center"/>
    </xf>
    <xf numFmtId="0" fontId="0" fillId="0" borderId="3" xfId="0" applyFill="1" applyBorder="1" applyAlignment="1">
      <alignment horizontal="center"/>
    </xf>
    <xf numFmtId="0" fontId="0" fillId="0" borderId="3" xfId="0" applyFill="1" applyBorder="1" applyAlignment="1">
      <alignment wrapText="1"/>
    </xf>
    <xf numFmtId="0" fontId="0" fillId="0" borderId="0" xfId="0" applyBorder="1"/>
    <xf numFmtId="0" fontId="1" fillId="7" borderId="1" xfId="0" applyFont="1" applyFill="1" applyBorder="1" applyAlignment="1">
      <alignment horizontal="center"/>
    </xf>
    <xf numFmtId="0" fontId="0" fillId="8" borderId="1" xfId="0" applyFill="1" applyBorder="1" applyAlignment="1">
      <alignment horizontal="center"/>
    </xf>
    <xf numFmtId="20" fontId="0" fillId="8" borderId="1" xfId="0" applyNumberFormat="1" applyFill="1" applyBorder="1" applyAlignment="1">
      <alignment horizontal="center"/>
    </xf>
    <xf numFmtId="0" fontId="0" fillId="9" borderId="1" xfId="0" applyFill="1" applyBorder="1" applyAlignment="1">
      <alignment horizontal="center"/>
    </xf>
    <xf numFmtId="20" fontId="0" fillId="9" borderId="1" xfId="0" applyNumberFormat="1" applyFill="1" applyBorder="1" applyAlignment="1">
      <alignment horizontal="center"/>
    </xf>
    <xf numFmtId="164" fontId="0" fillId="4" borderId="1" xfId="0" applyNumberFormat="1" applyFont="1" applyFill="1" applyBorder="1" applyAlignment="1">
      <alignment horizontal="center"/>
    </xf>
    <xf numFmtId="164" fontId="0" fillId="8" borderId="1" xfId="0" applyNumberFormat="1" applyFont="1" applyFill="1" applyBorder="1" applyAlignment="1">
      <alignment horizontal="center"/>
    </xf>
    <xf numFmtId="0" fontId="0" fillId="10" borderId="1" xfId="0" applyFill="1" applyBorder="1" applyAlignment="1">
      <alignment horizontal="center"/>
    </xf>
    <xf numFmtId="164" fontId="0" fillId="10" borderId="1" xfId="0" applyNumberFormat="1" applyFill="1" applyBorder="1" applyAlignment="1">
      <alignment horizontal="center"/>
    </xf>
    <xf numFmtId="20" fontId="0" fillId="10" borderId="1" xfId="0" applyNumberFormat="1" applyFill="1" applyBorder="1" applyAlignment="1">
      <alignment horizontal="center"/>
    </xf>
    <xf numFmtId="164" fontId="0" fillId="9" borderId="1" xfId="0" applyNumberFormat="1" applyFont="1" applyFill="1" applyBorder="1" applyAlignment="1">
      <alignment horizontal="center"/>
    </xf>
    <xf numFmtId="164" fontId="0" fillId="5" borderId="1" xfId="0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6" fontId="0" fillId="0" borderId="0" xfId="0" applyNumberFormat="1"/>
    <xf numFmtId="0" fontId="0" fillId="11" borderId="1" xfId="0" applyFill="1" applyBorder="1" applyAlignment="1">
      <alignment horizontal="center"/>
    </xf>
    <xf numFmtId="0" fontId="0" fillId="11" borderId="1" xfId="0" applyFill="1" applyBorder="1"/>
    <xf numFmtId="0" fontId="6" fillId="0" borderId="4" xfId="0" applyFont="1" applyBorder="1"/>
    <xf numFmtId="0" fontId="7" fillId="13" borderId="7" xfId="0" applyFont="1" applyFill="1" applyBorder="1"/>
    <xf numFmtId="0" fontId="7" fillId="13" borderId="9" xfId="0" applyFont="1" applyFill="1" applyBorder="1"/>
    <xf numFmtId="0" fontId="8" fillId="14" borderId="7" xfId="0" applyFont="1" applyFill="1" applyBorder="1"/>
    <xf numFmtId="0" fontId="5" fillId="0" borderId="1" xfId="0" applyFont="1" applyBorder="1" applyAlignment="1">
      <alignment wrapText="1"/>
    </xf>
    <xf numFmtId="0" fontId="5" fillId="0" borderId="10" xfId="0" applyFont="1" applyBorder="1" applyAlignment="1">
      <alignment wrapText="1"/>
    </xf>
    <xf numFmtId="0" fontId="5" fillId="0" borderId="5" xfId="0" applyFont="1" applyFill="1" applyBorder="1" applyAlignment="1">
      <alignment wrapText="1"/>
    </xf>
    <xf numFmtId="0" fontId="5" fillId="0" borderId="10" xfId="0" applyFont="1" applyFill="1" applyBorder="1" applyAlignment="1">
      <alignment wrapText="1"/>
    </xf>
    <xf numFmtId="0" fontId="4" fillId="0" borderId="0" xfId="0" applyFont="1" applyBorder="1" applyAlignment="1">
      <alignment vertical="center" wrapText="1"/>
    </xf>
    <xf numFmtId="0" fontId="0" fillId="15" borderId="1" xfId="0" applyFill="1" applyBorder="1" applyAlignment="1">
      <alignment horizontal="center"/>
    </xf>
    <xf numFmtId="0" fontId="0" fillId="15" borderId="1" xfId="0" applyFill="1" applyBorder="1"/>
    <xf numFmtId="0" fontId="0" fillId="16" borderId="1" xfId="0" applyFill="1" applyBorder="1" applyAlignment="1">
      <alignment horizontal="center"/>
    </xf>
    <xf numFmtId="164" fontId="0" fillId="16" borderId="1" xfId="0" applyNumberFormat="1" applyFill="1" applyBorder="1" applyAlignment="1">
      <alignment horizontal="center"/>
    </xf>
    <xf numFmtId="20" fontId="0" fillId="16" borderId="1" xfId="0" applyNumberFormat="1" applyFill="1" applyBorder="1" applyAlignment="1">
      <alignment horizontal="center"/>
    </xf>
    <xf numFmtId="164" fontId="0" fillId="0" borderId="0" xfId="0" applyNumberFormat="1"/>
    <xf numFmtId="0" fontId="0" fillId="2" borderId="0" xfId="0" applyFill="1" applyAlignment="1">
      <alignment horizontal="center"/>
    </xf>
    <xf numFmtId="164" fontId="0" fillId="2" borderId="0" xfId="0" applyNumberFormat="1" applyFill="1" applyAlignment="1">
      <alignment horizontal="center"/>
    </xf>
    <xf numFmtId="166" fontId="0" fillId="2" borderId="0" xfId="0" applyNumberFormat="1" applyFill="1" applyAlignment="1">
      <alignment horizontal="center"/>
    </xf>
    <xf numFmtId="0" fontId="0" fillId="17" borderId="0" xfId="0" applyFill="1" applyAlignment="1">
      <alignment horizontal="center"/>
    </xf>
    <xf numFmtId="164" fontId="0" fillId="17" borderId="0" xfId="0" applyNumberFormat="1" applyFill="1" applyAlignment="1">
      <alignment horizontal="center"/>
    </xf>
    <xf numFmtId="166" fontId="0" fillId="17" borderId="0" xfId="0" applyNumberFormat="1" applyFill="1" applyAlignment="1">
      <alignment horizontal="center"/>
    </xf>
    <xf numFmtId="0" fontId="0" fillId="18" borderId="0" xfId="0" applyFill="1" applyAlignment="1">
      <alignment horizontal="center"/>
    </xf>
    <xf numFmtId="164" fontId="0" fillId="18" borderId="0" xfId="0" applyNumberFormat="1" applyFill="1" applyAlignment="1">
      <alignment horizontal="center"/>
    </xf>
    <xf numFmtId="166" fontId="0" fillId="18" borderId="0" xfId="0" applyNumberFormat="1" applyFill="1" applyAlignment="1">
      <alignment horizontal="center"/>
    </xf>
    <xf numFmtId="0" fontId="0" fillId="9" borderId="0" xfId="0" applyFill="1" applyAlignment="1">
      <alignment horizontal="center"/>
    </xf>
    <xf numFmtId="164" fontId="0" fillId="9" borderId="0" xfId="0" applyNumberFormat="1" applyFill="1" applyAlignment="1">
      <alignment horizontal="center"/>
    </xf>
    <xf numFmtId="166" fontId="0" fillId="9" borderId="0" xfId="0" applyNumberFormat="1" applyFill="1" applyAlignment="1">
      <alignment horizontal="center"/>
    </xf>
    <xf numFmtId="0" fontId="0" fillId="0" borderId="0" xfId="0" applyFill="1" applyAlignment="1">
      <alignment horizontal="center"/>
    </xf>
    <xf numFmtId="164" fontId="0" fillId="0" borderId="0" xfId="0" applyNumberFormat="1" applyFill="1" applyAlignment="1">
      <alignment horizontal="center"/>
    </xf>
    <xf numFmtId="166" fontId="0" fillId="0" borderId="0" xfId="0" applyNumberFormat="1" applyFill="1" applyAlignment="1">
      <alignment horizontal="center"/>
    </xf>
    <xf numFmtId="165" fontId="0" fillId="0" borderId="0" xfId="0" applyNumberFormat="1"/>
    <xf numFmtId="165" fontId="0" fillId="0" borderId="0" xfId="0" applyNumberFormat="1" applyAlignment="1">
      <alignment horizontal="center"/>
    </xf>
    <xf numFmtId="0" fontId="10" fillId="0" borderId="1" xfId="0" applyFont="1" applyBorder="1" applyAlignment="1">
      <alignment horizontal="center"/>
    </xf>
    <xf numFmtId="165" fontId="10" fillId="0" borderId="1" xfId="0" applyNumberFormat="1" applyFont="1" applyBorder="1" applyAlignment="1">
      <alignment horizontal="center"/>
    </xf>
    <xf numFmtId="166" fontId="10" fillId="0" borderId="1" xfId="0" applyNumberFormat="1" applyFont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165" fontId="6" fillId="2" borderId="1" xfId="0" applyNumberFormat="1" applyFont="1" applyFill="1" applyBorder="1" applyAlignment="1">
      <alignment horizontal="center"/>
    </xf>
    <xf numFmtId="166" fontId="6" fillId="2" borderId="1" xfId="0" applyNumberFormat="1" applyFont="1" applyFill="1" applyBorder="1" applyAlignment="1">
      <alignment horizontal="center"/>
    </xf>
    <xf numFmtId="0" fontId="6" fillId="0" borderId="1" xfId="0" applyFont="1" applyBorder="1" applyAlignment="1">
      <alignment horizontal="center"/>
    </xf>
    <xf numFmtId="165" fontId="6" fillId="0" borderId="1" xfId="0" applyNumberFormat="1" applyFont="1" applyBorder="1" applyAlignment="1">
      <alignment horizontal="center"/>
    </xf>
    <xf numFmtId="166" fontId="6" fillId="0" borderId="1" xfId="0" applyNumberFormat="1" applyFont="1" applyBorder="1" applyAlignment="1">
      <alignment horizontal="center"/>
    </xf>
    <xf numFmtId="164" fontId="0" fillId="11" borderId="1" xfId="0" applyNumberFormat="1" applyFill="1" applyBorder="1" applyAlignment="1">
      <alignment horizontal="center"/>
    </xf>
    <xf numFmtId="164" fontId="0" fillId="15" borderId="1" xfId="0" applyNumberFormat="1" applyFill="1" applyBorder="1" applyAlignment="1">
      <alignment horizontal="center"/>
    </xf>
    <xf numFmtId="0" fontId="11" fillId="0" borderId="1" xfId="0" applyFont="1" applyBorder="1"/>
    <xf numFmtId="0" fontId="11" fillId="3" borderId="1" xfId="0" applyFont="1" applyFill="1" applyBorder="1"/>
    <xf numFmtId="0" fontId="11" fillId="0" borderId="8" xfId="0" applyFont="1" applyBorder="1"/>
    <xf numFmtId="20" fontId="11" fillId="3" borderId="1" xfId="0" applyNumberFormat="1" applyFont="1" applyFill="1" applyBorder="1"/>
    <xf numFmtId="0" fontId="12" fillId="0" borderId="0" xfId="0" applyFont="1"/>
    <xf numFmtId="0" fontId="11" fillId="12" borderId="1" xfId="0" applyFont="1" applyFill="1" applyBorder="1"/>
    <xf numFmtId="0" fontId="11" fillId="2" borderId="1" xfId="0" applyFont="1" applyFill="1" applyBorder="1"/>
    <xf numFmtId="0" fontId="11" fillId="12" borderId="8" xfId="0" applyFont="1" applyFill="1" applyBorder="1"/>
    <xf numFmtId="0" fontId="11" fillId="0" borderId="10" xfId="0" applyFont="1" applyBorder="1"/>
    <xf numFmtId="0" fontId="11" fillId="2" borderId="10" xfId="0" applyFont="1" applyFill="1" applyBorder="1"/>
    <xf numFmtId="0" fontId="11" fillId="13" borderId="10" xfId="0" applyFont="1" applyFill="1" applyBorder="1"/>
    <xf numFmtId="0" fontId="11" fillId="0" borderId="11" xfId="0" applyFont="1" applyBorder="1"/>
    <xf numFmtId="0" fontId="11" fillId="2" borderId="5" xfId="0" applyFont="1" applyFill="1" applyBorder="1" applyAlignment="1">
      <alignment wrapText="1"/>
    </xf>
    <xf numFmtId="0" fontId="11" fillId="0" borderId="5" xfId="0" applyFont="1" applyBorder="1"/>
    <xf numFmtId="0" fontId="11" fillId="0" borderId="6" xfId="0" applyFont="1" applyBorder="1"/>
    <xf numFmtId="0" fontId="11" fillId="2" borderId="10" xfId="0" applyFont="1" applyFill="1" applyBorder="1" applyAlignment="1">
      <alignment wrapText="1"/>
    </xf>
    <xf numFmtId="0" fontId="11" fillId="0" borderId="13" xfId="0" applyFont="1" applyBorder="1"/>
    <xf numFmtId="0" fontId="11" fillId="2" borderId="13" xfId="0" applyFont="1" applyFill="1" applyBorder="1" applyAlignment="1">
      <alignment wrapText="1"/>
    </xf>
    <xf numFmtId="0" fontId="11" fillId="0" borderId="14" xfId="0" applyFont="1" applyBorder="1"/>
    <xf numFmtId="0" fontId="11" fillId="0" borderId="20" xfId="0" applyFont="1" applyBorder="1"/>
    <xf numFmtId="167" fontId="0" fillId="0" borderId="0" xfId="0" applyNumberFormat="1"/>
    <xf numFmtId="20" fontId="0" fillId="11" borderId="1" xfId="0" applyNumberFormat="1" applyFill="1" applyBorder="1"/>
    <xf numFmtId="20" fontId="0" fillId="15" borderId="1" xfId="0" applyNumberFormat="1" applyFill="1" applyBorder="1"/>
    <xf numFmtId="49" fontId="0" fillId="0" borderId="0" xfId="0" applyNumberFormat="1"/>
    <xf numFmtId="0" fontId="13" fillId="0" borderId="0" xfId="1"/>
    <xf numFmtId="0" fontId="0" fillId="0" borderId="1" xfId="0" applyBorder="1"/>
    <xf numFmtId="0" fontId="0" fillId="19" borderId="1" xfId="0" applyFill="1" applyBorder="1" applyAlignment="1">
      <alignment horizontal="center"/>
    </xf>
    <xf numFmtId="164" fontId="0" fillId="19" borderId="1" xfId="0" applyNumberFormat="1" applyFont="1" applyFill="1" applyBorder="1" applyAlignment="1">
      <alignment horizontal="center"/>
    </xf>
    <xf numFmtId="20" fontId="0" fillId="19" borderId="1" xfId="0" applyNumberFormat="1" applyFill="1" applyBorder="1" applyAlignment="1">
      <alignment horizontal="center"/>
    </xf>
    <xf numFmtId="0" fontId="0" fillId="20" borderId="1" xfId="0" applyFill="1" applyBorder="1" applyAlignment="1">
      <alignment horizontal="center"/>
    </xf>
    <xf numFmtId="164" fontId="0" fillId="20" borderId="1" xfId="0" applyNumberFormat="1" applyFont="1" applyFill="1" applyBorder="1" applyAlignment="1">
      <alignment horizontal="center"/>
    </xf>
    <xf numFmtId="20" fontId="0" fillId="20" borderId="1" xfId="0" applyNumberFormat="1" applyFill="1" applyBorder="1" applyAlignment="1">
      <alignment horizontal="center"/>
    </xf>
    <xf numFmtId="20" fontId="0" fillId="0" borderId="2" xfId="0" applyNumberFormat="1" applyBorder="1" applyAlignment="1">
      <alignment horizontal="center"/>
    </xf>
    <xf numFmtId="0" fontId="0" fillId="0" borderId="0" xfId="0" applyNumberFormat="1"/>
    <xf numFmtId="0" fontId="6" fillId="13" borderId="15" xfId="0" applyFont="1" applyFill="1" applyBorder="1" applyAlignment="1"/>
    <xf numFmtId="0" fontId="6" fillId="13" borderId="16" xfId="0" applyFont="1" applyFill="1" applyBorder="1" applyAlignment="1"/>
    <xf numFmtId="0" fontId="6" fillId="13" borderId="17" xfId="0" applyFont="1" applyFill="1" applyBorder="1" applyAlignment="1"/>
    <xf numFmtId="0" fontId="9" fillId="0" borderId="18" xfId="0" applyFont="1" applyBorder="1" applyAlignment="1">
      <alignment vertical="center" wrapText="1"/>
    </xf>
    <xf numFmtId="0" fontId="9" fillId="0" borderId="12" xfId="0" applyFont="1" applyBorder="1" applyAlignment="1">
      <alignment vertical="center" wrapText="1"/>
    </xf>
    <xf numFmtId="0" fontId="9" fillId="0" borderId="19" xfId="0" applyFont="1" applyBorder="1" applyAlignment="1">
      <alignment vertical="center" wrapText="1"/>
    </xf>
    <xf numFmtId="0" fontId="7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6" fillId="2" borderId="15" xfId="0" applyFont="1" applyFill="1" applyBorder="1" applyAlignment="1"/>
    <xf numFmtId="0" fontId="6" fillId="2" borderId="16" xfId="0" applyFont="1" applyFill="1" applyBorder="1" applyAlignment="1"/>
    <xf numFmtId="0" fontId="6" fillId="2" borderId="17" xfId="0" applyFont="1" applyFill="1" applyBorder="1" applyAlignment="1"/>
    <xf numFmtId="0" fontId="6" fillId="12" borderId="15" xfId="0" applyFont="1" applyFill="1" applyBorder="1" applyAlignment="1"/>
    <xf numFmtId="0" fontId="6" fillId="12" borderId="16" xfId="0" applyFont="1" applyFill="1" applyBorder="1" applyAlignment="1"/>
    <xf numFmtId="0" fontId="6" fillId="12" borderId="17" xfId="0" applyFont="1" applyFill="1" applyBorder="1" applyAlignment="1"/>
    <xf numFmtId="0" fontId="6" fillId="3" borderId="15" xfId="0" applyFont="1" applyFill="1" applyBorder="1" applyAlignment="1"/>
    <xf numFmtId="0" fontId="6" fillId="3" borderId="16" xfId="0" applyFont="1" applyFill="1" applyBorder="1" applyAlignment="1"/>
    <xf numFmtId="0" fontId="6" fillId="3" borderId="17" xfId="0" applyFont="1" applyFill="1" applyBorder="1" applyAlignment="1"/>
  </cellXfs>
  <cellStyles count="2">
    <cellStyle name="Link" xfId="1" builtinId="8"/>
    <cellStyle name="Standard" xfId="0" builtinId="0"/>
  </cellStyles>
  <dxfs count="0"/>
  <tableStyles count="0" defaultTableStyle="TableStyleMedium2" defaultPivotStyle="PivotStyleLight16"/>
  <colors>
    <mruColors>
      <color rgb="FFFF99FF"/>
      <color rgb="FFF397CE"/>
      <color rgb="FFFF00FF"/>
      <color rgb="FFEC04E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BRZCorporateDesignTheme">
  <a:themeElements>
    <a:clrScheme name="Brz Corporate Design">
      <a:dk1>
        <a:srgbClr val="00587A"/>
      </a:dk1>
      <a:lt1>
        <a:sysClr val="window" lastClr="FFFFFF"/>
      </a:lt1>
      <a:dk2>
        <a:srgbClr val="B91E23"/>
      </a:dk2>
      <a:lt2>
        <a:srgbClr val="FFFFFF"/>
      </a:lt2>
      <a:accent1>
        <a:srgbClr val="00587A"/>
      </a:accent1>
      <a:accent2>
        <a:srgbClr val="009C9B"/>
      </a:accent2>
      <a:accent3>
        <a:srgbClr val="96BE50"/>
      </a:accent3>
      <a:accent4>
        <a:srgbClr val="F0C850"/>
      </a:accent4>
      <a:accent5>
        <a:srgbClr val="F0AA00"/>
      </a:accent5>
      <a:accent6>
        <a:srgbClr val="DC6400"/>
      </a:accent6>
      <a:hlink>
        <a:srgbClr val="009C9B"/>
      </a:hlink>
      <a:folHlink>
        <a:srgbClr val="00587A"/>
      </a:folHlink>
    </a:clrScheme>
    <a:fontScheme name="BRZ Corporate Design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121"/>
  <sheetViews>
    <sheetView tabSelected="1" topLeftCell="A60" zoomScaleNormal="100" workbookViewId="0">
      <selection activeCell="C76" sqref="C76"/>
    </sheetView>
  </sheetViews>
  <sheetFormatPr baseColWidth="10" defaultColWidth="10.6640625" defaultRowHeight="14.4" x14ac:dyDescent="0.3"/>
  <cols>
    <col min="1" max="1" width="21.109375" style="2" bestFit="1" customWidth="1"/>
    <col min="2" max="2" width="8.33203125" style="2" bestFit="1" customWidth="1"/>
    <col min="3" max="3" width="15.88671875" style="2" bestFit="1" customWidth="1"/>
    <col min="4" max="4" width="29.88671875" style="13" bestFit="1" customWidth="1"/>
    <col min="5" max="5" width="17.5546875" style="1" bestFit="1" customWidth="1"/>
    <col min="6" max="6" width="21.88671875" style="2" bestFit="1" customWidth="1"/>
    <col min="7" max="7" width="33" style="2" bestFit="1" customWidth="1"/>
    <col min="8" max="8" width="17.109375" style="2" bestFit="1" customWidth="1"/>
  </cols>
  <sheetData>
    <row r="1" spans="1:8" x14ac:dyDescent="0.3">
      <c r="A1" s="2" t="s">
        <v>9</v>
      </c>
      <c r="B1" s="4" t="s">
        <v>6</v>
      </c>
      <c r="C1" s="7" t="s">
        <v>0</v>
      </c>
      <c r="D1" s="11" t="s">
        <v>7</v>
      </c>
      <c r="E1" s="3" t="s">
        <v>8</v>
      </c>
      <c r="F1" s="4" t="s">
        <v>1</v>
      </c>
      <c r="G1" s="4" t="s">
        <v>5</v>
      </c>
      <c r="H1" s="4" t="s">
        <v>4</v>
      </c>
    </row>
    <row r="2" spans="1:8" x14ac:dyDescent="0.3">
      <c r="A2" s="2">
        <v>1</v>
      </c>
      <c r="B2" s="4">
        <v>0</v>
      </c>
      <c r="C2" s="7" t="s">
        <v>26</v>
      </c>
      <c r="D2" s="11">
        <v>46199</v>
      </c>
      <c r="E2" s="114">
        <v>0.66666666666666663</v>
      </c>
      <c r="F2" s="4" t="s">
        <v>12</v>
      </c>
      <c r="G2" s="4" t="s">
        <v>149</v>
      </c>
      <c r="H2" s="4" t="s">
        <v>11</v>
      </c>
    </row>
    <row r="3" spans="1:8" x14ac:dyDescent="0.3">
      <c r="A3" s="2">
        <f>A2+1</f>
        <v>2</v>
      </c>
      <c r="B3" s="4">
        <v>0</v>
      </c>
      <c r="C3" s="7" t="s">
        <v>48</v>
      </c>
      <c r="D3" s="11">
        <v>46199</v>
      </c>
      <c r="E3" s="114">
        <v>0.75</v>
      </c>
      <c r="F3" s="4" t="s">
        <v>12</v>
      </c>
      <c r="G3" s="4" t="s">
        <v>149</v>
      </c>
      <c r="H3" s="4" t="s">
        <v>11</v>
      </c>
    </row>
    <row r="4" spans="1:8" x14ac:dyDescent="0.3">
      <c r="A4" s="2">
        <f t="shared" ref="A4:A65" si="0">A3+1</f>
        <v>3</v>
      </c>
      <c r="B4" s="4">
        <v>0</v>
      </c>
      <c r="C4" s="7" t="s">
        <v>30</v>
      </c>
      <c r="D4" s="11">
        <v>46213</v>
      </c>
      <c r="E4" s="114">
        <v>0.79166666666666663</v>
      </c>
      <c r="F4" s="4" t="s">
        <v>150</v>
      </c>
      <c r="G4" s="4" t="s">
        <v>150</v>
      </c>
      <c r="H4" s="4" t="s">
        <v>10</v>
      </c>
    </row>
    <row r="5" spans="1:8" x14ac:dyDescent="0.3">
      <c r="A5" s="2">
        <f t="shared" si="0"/>
        <v>4</v>
      </c>
      <c r="B5" s="4">
        <v>0</v>
      </c>
      <c r="C5" s="7" t="s">
        <v>30</v>
      </c>
      <c r="D5" s="11">
        <v>46220</v>
      </c>
      <c r="E5" s="114">
        <v>0.79166666666666663</v>
      </c>
      <c r="F5" s="4" t="s">
        <v>151</v>
      </c>
      <c r="G5" s="4" t="s">
        <v>152</v>
      </c>
      <c r="H5" s="4" t="s">
        <v>10</v>
      </c>
    </row>
    <row r="6" spans="1:8" x14ac:dyDescent="0.3">
      <c r="A6" s="2">
        <f t="shared" si="0"/>
        <v>5</v>
      </c>
      <c r="B6" s="4">
        <v>0</v>
      </c>
      <c r="C6" s="7" t="s">
        <v>30</v>
      </c>
      <c r="D6" s="11">
        <v>46235</v>
      </c>
      <c r="E6" s="114">
        <v>0.72916666666666663</v>
      </c>
      <c r="F6" s="4" t="s">
        <v>23</v>
      </c>
      <c r="G6" s="4" t="s">
        <v>23</v>
      </c>
      <c r="H6" s="4" t="s">
        <v>10</v>
      </c>
    </row>
    <row r="7" spans="1:8" x14ac:dyDescent="0.3">
      <c r="A7" s="2">
        <f t="shared" si="0"/>
        <v>6</v>
      </c>
      <c r="B7" s="4">
        <v>0</v>
      </c>
      <c r="C7" s="7" t="s">
        <v>30</v>
      </c>
      <c r="D7" s="11">
        <v>46241</v>
      </c>
      <c r="E7" s="114">
        <v>0.79166666666666663</v>
      </c>
      <c r="F7" s="4" t="s">
        <v>2</v>
      </c>
      <c r="G7" s="4" t="s">
        <v>153</v>
      </c>
      <c r="H7" s="4" t="s">
        <v>11</v>
      </c>
    </row>
    <row r="8" spans="1:8" x14ac:dyDescent="0.3">
      <c r="A8" s="2">
        <f t="shared" si="0"/>
        <v>7</v>
      </c>
      <c r="B8" s="4">
        <v>0</v>
      </c>
      <c r="C8" s="7" t="s">
        <v>48</v>
      </c>
      <c r="D8" s="11">
        <v>46243</v>
      </c>
      <c r="E8" s="114">
        <v>0.45833333333333331</v>
      </c>
      <c r="F8" s="4" t="s">
        <v>154</v>
      </c>
      <c r="G8" s="4" t="s">
        <v>154</v>
      </c>
      <c r="H8" s="4" t="s">
        <v>10</v>
      </c>
    </row>
    <row r="9" spans="1:8" x14ac:dyDescent="0.3">
      <c r="A9" s="6">
        <f t="shared" si="0"/>
        <v>8</v>
      </c>
      <c r="B9" s="6">
        <v>1</v>
      </c>
      <c r="C9" s="6" t="s">
        <v>30</v>
      </c>
      <c r="D9" s="12">
        <v>46249</v>
      </c>
      <c r="E9" s="5">
        <v>0.72916666666666663</v>
      </c>
      <c r="F9" s="6" t="s">
        <v>23</v>
      </c>
      <c r="G9" s="6" t="s">
        <v>23</v>
      </c>
      <c r="H9" s="6" t="s">
        <v>10</v>
      </c>
    </row>
    <row r="10" spans="1:8" x14ac:dyDescent="0.3">
      <c r="A10" s="6">
        <f t="shared" si="0"/>
        <v>9</v>
      </c>
      <c r="B10" s="6">
        <v>2</v>
      </c>
      <c r="C10" s="6" t="s">
        <v>30</v>
      </c>
      <c r="D10" s="12">
        <v>46256</v>
      </c>
      <c r="E10" s="5">
        <v>0.70833333333333337</v>
      </c>
      <c r="F10" s="6" t="s">
        <v>71</v>
      </c>
      <c r="G10" s="6" t="s">
        <v>71</v>
      </c>
      <c r="H10" s="6" t="s">
        <v>10</v>
      </c>
    </row>
    <row r="11" spans="1:8" x14ac:dyDescent="0.3">
      <c r="A11" s="6">
        <f t="shared" si="0"/>
        <v>10</v>
      </c>
      <c r="B11" s="6">
        <v>3</v>
      </c>
      <c r="C11" s="6" t="s">
        <v>30</v>
      </c>
      <c r="D11" s="12">
        <v>46263</v>
      </c>
      <c r="E11" s="5">
        <v>0.70833333333333337</v>
      </c>
      <c r="F11" s="6" t="s">
        <v>2</v>
      </c>
      <c r="G11" s="6" t="s">
        <v>31</v>
      </c>
      <c r="H11" s="6" t="s">
        <v>11</v>
      </c>
    </row>
    <row r="12" spans="1:8" x14ac:dyDescent="0.3">
      <c r="A12" s="6">
        <f t="shared" si="0"/>
        <v>11</v>
      </c>
      <c r="B12" s="6">
        <v>4</v>
      </c>
      <c r="C12" s="6" t="s">
        <v>30</v>
      </c>
      <c r="D12" s="12">
        <v>46270</v>
      </c>
      <c r="E12" s="5">
        <v>0.6875</v>
      </c>
      <c r="F12" s="6" t="s">
        <v>155</v>
      </c>
      <c r="G12" s="6" t="s">
        <v>155</v>
      </c>
      <c r="H12" s="6" t="s">
        <v>10</v>
      </c>
    </row>
    <row r="13" spans="1:8" x14ac:dyDescent="0.3">
      <c r="A13" s="6">
        <f t="shared" si="0"/>
        <v>12</v>
      </c>
      <c r="B13" s="6">
        <v>5</v>
      </c>
      <c r="C13" s="6" t="s">
        <v>30</v>
      </c>
      <c r="D13" s="12">
        <v>46277</v>
      </c>
      <c r="E13" s="5">
        <v>0.6875</v>
      </c>
      <c r="F13" s="6" t="s">
        <v>2</v>
      </c>
      <c r="G13" s="6" t="s">
        <v>24</v>
      </c>
      <c r="H13" s="6" t="s">
        <v>11</v>
      </c>
    </row>
    <row r="14" spans="1:8" x14ac:dyDescent="0.3">
      <c r="A14" s="6">
        <f t="shared" si="0"/>
        <v>13</v>
      </c>
      <c r="B14" s="6">
        <v>6</v>
      </c>
      <c r="C14" s="6" t="s">
        <v>30</v>
      </c>
      <c r="D14" s="12">
        <v>46284</v>
      </c>
      <c r="E14" s="5">
        <v>0.66666666666666663</v>
      </c>
      <c r="F14" s="6" t="s">
        <v>32</v>
      </c>
      <c r="G14" s="6" t="s">
        <v>32</v>
      </c>
      <c r="H14" s="6" t="s">
        <v>10</v>
      </c>
    </row>
    <row r="15" spans="1:8" x14ac:dyDescent="0.3">
      <c r="A15" s="6">
        <f t="shared" si="0"/>
        <v>14</v>
      </c>
      <c r="B15" s="6">
        <v>7</v>
      </c>
      <c r="C15" s="6" t="s">
        <v>30</v>
      </c>
      <c r="D15" s="12">
        <v>46291</v>
      </c>
      <c r="E15" s="5">
        <v>0.66666666666666663</v>
      </c>
      <c r="F15" s="6" t="s">
        <v>2</v>
      </c>
      <c r="G15" s="6" t="s">
        <v>156</v>
      </c>
      <c r="H15" s="6" t="s">
        <v>11</v>
      </c>
    </row>
    <row r="16" spans="1:8" x14ac:dyDescent="0.3">
      <c r="A16" s="6">
        <f t="shared" si="0"/>
        <v>15</v>
      </c>
      <c r="B16" s="6">
        <v>8</v>
      </c>
      <c r="C16" s="6" t="s">
        <v>30</v>
      </c>
      <c r="D16" s="12">
        <v>46297</v>
      </c>
      <c r="E16" s="5">
        <v>0.79166666666666663</v>
      </c>
      <c r="F16" s="6" t="s">
        <v>79</v>
      </c>
      <c r="G16" s="6" t="s">
        <v>79</v>
      </c>
      <c r="H16" s="6" t="s">
        <v>10</v>
      </c>
    </row>
    <row r="17" spans="1:8" x14ac:dyDescent="0.3">
      <c r="A17" s="6">
        <f t="shared" si="0"/>
        <v>16</v>
      </c>
      <c r="B17" s="6">
        <v>9</v>
      </c>
      <c r="C17" s="6" t="s">
        <v>30</v>
      </c>
      <c r="D17" s="12">
        <v>46305</v>
      </c>
      <c r="E17" s="5">
        <v>0.64583333333333337</v>
      </c>
      <c r="F17" s="6" t="s">
        <v>2</v>
      </c>
      <c r="G17" s="6" t="s">
        <v>12</v>
      </c>
      <c r="H17" s="6" t="s">
        <v>11</v>
      </c>
    </row>
    <row r="18" spans="1:8" x14ac:dyDescent="0.3">
      <c r="A18" s="6">
        <f t="shared" si="0"/>
        <v>17</v>
      </c>
      <c r="B18" s="6">
        <v>10</v>
      </c>
      <c r="C18" s="6" t="s">
        <v>30</v>
      </c>
      <c r="D18" s="12">
        <v>46312</v>
      </c>
      <c r="E18" s="5">
        <v>0.64583333333333337</v>
      </c>
      <c r="F18" s="6" t="s">
        <v>3</v>
      </c>
      <c r="G18" s="6" t="s">
        <v>3</v>
      </c>
      <c r="H18" s="6" t="s">
        <v>10</v>
      </c>
    </row>
    <row r="19" spans="1:8" x14ac:dyDescent="0.3">
      <c r="A19" s="6">
        <f t="shared" si="0"/>
        <v>18</v>
      </c>
      <c r="B19" s="6">
        <v>11</v>
      </c>
      <c r="C19" s="6" t="s">
        <v>30</v>
      </c>
      <c r="D19" s="12">
        <v>46319</v>
      </c>
      <c r="E19" s="5">
        <v>0.625</v>
      </c>
      <c r="F19" s="6" t="s">
        <v>2</v>
      </c>
      <c r="G19" s="6" t="s">
        <v>25</v>
      </c>
      <c r="H19" s="6" t="s">
        <v>11</v>
      </c>
    </row>
    <row r="20" spans="1:8" x14ac:dyDescent="0.3">
      <c r="A20" s="6">
        <f t="shared" si="0"/>
        <v>19</v>
      </c>
      <c r="B20" s="6">
        <v>12</v>
      </c>
      <c r="C20" s="6" t="s">
        <v>30</v>
      </c>
      <c r="D20" s="12">
        <v>46326</v>
      </c>
      <c r="E20" s="5">
        <v>0.58333333333333337</v>
      </c>
      <c r="F20" s="6" t="s">
        <v>29</v>
      </c>
      <c r="G20" s="6" t="s">
        <v>29</v>
      </c>
      <c r="H20" s="6" t="s">
        <v>10</v>
      </c>
    </row>
    <row r="21" spans="1:8" x14ac:dyDescent="0.3">
      <c r="A21" s="6">
        <f t="shared" si="0"/>
        <v>20</v>
      </c>
      <c r="B21" s="6">
        <v>13</v>
      </c>
      <c r="C21" s="6" t="s">
        <v>30</v>
      </c>
      <c r="D21" s="12">
        <v>46333</v>
      </c>
      <c r="E21" s="5">
        <v>0.58333333333333337</v>
      </c>
      <c r="F21" s="6" t="s">
        <v>2</v>
      </c>
      <c r="G21" s="6" t="s">
        <v>33</v>
      </c>
      <c r="H21" s="6" t="s">
        <v>11</v>
      </c>
    </row>
    <row r="22" spans="1:8" x14ac:dyDescent="0.3">
      <c r="A22" s="6">
        <f t="shared" si="0"/>
        <v>21</v>
      </c>
      <c r="B22" s="6">
        <v>1</v>
      </c>
      <c r="C22" s="6" t="s">
        <v>58</v>
      </c>
      <c r="D22" s="12">
        <v>46249</v>
      </c>
      <c r="E22" s="5">
        <v>0.64583333333333337</v>
      </c>
      <c r="F22" s="6" t="s">
        <v>23</v>
      </c>
      <c r="G22" s="6" t="s">
        <v>23</v>
      </c>
      <c r="H22" s="6" t="s">
        <v>10</v>
      </c>
    </row>
    <row r="23" spans="1:8" x14ac:dyDescent="0.3">
      <c r="A23" s="6">
        <f t="shared" si="0"/>
        <v>22</v>
      </c>
      <c r="B23" s="6">
        <v>2</v>
      </c>
      <c r="C23" s="6" t="s">
        <v>58</v>
      </c>
      <c r="D23" s="12">
        <v>46256</v>
      </c>
      <c r="E23" s="5">
        <v>0.625</v>
      </c>
      <c r="F23" s="6" t="s">
        <v>71</v>
      </c>
      <c r="G23" s="6" t="s">
        <v>71</v>
      </c>
      <c r="H23" s="6" t="s">
        <v>10</v>
      </c>
    </row>
    <row r="24" spans="1:8" x14ac:dyDescent="0.3">
      <c r="A24" s="6">
        <f t="shared" si="0"/>
        <v>23</v>
      </c>
      <c r="B24" s="6">
        <v>3</v>
      </c>
      <c r="C24" s="6" t="s">
        <v>58</v>
      </c>
      <c r="D24" s="12">
        <v>46263</v>
      </c>
      <c r="E24" s="5">
        <v>0.625</v>
      </c>
      <c r="F24" s="6" t="s">
        <v>2</v>
      </c>
      <c r="G24" s="6" t="s">
        <v>31</v>
      </c>
      <c r="H24" s="6" t="s">
        <v>11</v>
      </c>
    </row>
    <row r="25" spans="1:8" x14ac:dyDescent="0.3">
      <c r="A25" s="6">
        <f t="shared" si="0"/>
        <v>24</v>
      </c>
      <c r="B25" s="6">
        <v>4</v>
      </c>
      <c r="C25" s="6" t="s">
        <v>58</v>
      </c>
      <c r="D25" s="12">
        <v>46270</v>
      </c>
      <c r="E25" s="5">
        <v>0.60416666666666663</v>
      </c>
      <c r="F25" s="6" t="s">
        <v>155</v>
      </c>
      <c r="G25" s="6" t="s">
        <v>155</v>
      </c>
      <c r="H25" s="6" t="s">
        <v>10</v>
      </c>
    </row>
    <row r="26" spans="1:8" x14ac:dyDescent="0.3">
      <c r="A26" s="6">
        <f t="shared" si="0"/>
        <v>25</v>
      </c>
      <c r="B26" s="6">
        <v>5</v>
      </c>
      <c r="C26" s="6" t="s">
        <v>58</v>
      </c>
      <c r="D26" s="12">
        <v>46277</v>
      </c>
      <c r="E26" s="5">
        <v>0.60416666666666663</v>
      </c>
      <c r="F26" s="6" t="s">
        <v>2</v>
      </c>
      <c r="G26" s="6" t="s">
        <v>24</v>
      </c>
      <c r="H26" s="6" t="s">
        <v>11</v>
      </c>
    </row>
    <row r="27" spans="1:8" x14ac:dyDescent="0.3">
      <c r="A27" s="6">
        <f t="shared" si="0"/>
        <v>26</v>
      </c>
      <c r="B27" s="6">
        <v>6</v>
      </c>
      <c r="C27" s="6" t="s">
        <v>58</v>
      </c>
      <c r="D27" s="12">
        <v>46284</v>
      </c>
      <c r="E27" s="5">
        <v>0.58333333333333337</v>
      </c>
      <c r="F27" s="6" t="s">
        <v>32</v>
      </c>
      <c r="G27" s="6" t="s">
        <v>32</v>
      </c>
      <c r="H27" s="6" t="s">
        <v>10</v>
      </c>
    </row>
    <row r="28" spans="1:8" x14ac:dyDescent="0.3">
      <c r="A28" s="6">
        <f t="shared" si="0"/>
        <v>27</v>
      </c>
      <c r="B28" s="6">
        <v>7</v>
      </c>
      <c r="C28" s="6" t="s">
        <v>58</v>
      </c>
      <c r="D28" s="12">
        <v>46291</v>
      </c>
      <c r="E28" s="5">
        <v>0.58333333333333337</v>
      </c>
      <c r="F28" s="6" t="s">
        <v>2</v>
      </c>
      <c r="G28" s="6" t="s">
        <v>156</v>
      </c>
      <c r="H28" s="6" t="s">
        <v>11</v>
      </c>
    </row>
    <row r="29" spans="1:8" x14ac:dyDescent="0.3">
      <c r="A29" s="6">
        <f t="shared" si="0"/>
        <v>28</v>
      </c>
      <c r="B29" s="6">
        <v>8</v>
      </c>
      <c r="C29" s="6" t="s">
        <v>58</v>
      </c>
      <c r="D29" s="12">
        <v>46298</v>
      </c>
      <c r="E29" s="5">
        <v>0.70833333333333337</v>
      </c>
      <c r="F29" s="6" t="s">
        <v>79</v>
      </c>
      <c r="G29" s="6" t="s">
        <v>79</v>
      </c>
      <c r="H29" s="6" t="s">
        <v>10</v>
      </c>
    </row>
    <row r="30" spans="1:8" x14ac:dyDescent="0.3">
      <c r="A30" s="6">
        <f t="shared" si="0"/>
        <v>29</v>
      </c>
      <c r="B30" s="6">
        <v>9</v>
      </c>
      <c r="C30" s="6" t="s">
        <v>58</v>
      </c>
      <c r="D30" s="12">
        <v>46305</v>
      </c>
      <c r="E30" s="5">
        <v>0.5625</v>
      </c>
      <c r="F30" s="6" t="s">
        <v>2</v>
      </c>
      <c r="G30" s="6" t="s">
        <v>12</v>
      </c>
      <c r="H30" s="6" t="s">
        <v>11</v>
      </c>
    </row>
    <row r="31" spans="1:8" x14ac:dyDescent="0.3">
      <c r="A31" s="6">
        <f t="shared" si="0"/>
        <v>30</v>
      </c>
      <c r="B31" s="6">
        <v>10</v>
      </c>
      <c r="C31" s="6" t="s">
        <v>58</v>
      </c>
      <c r="D31" s="12">
        <v>46312</v>
      </c>
      <c r="E31" s="5">
        <v>0.5625</v>
      </c>
      <c r="F31" s="6" t="s">
        <v>3</v>
      </c>
      <c r="G31" s="6" t="s">
        <v>3</v>
      </c>
      <c r="H31" s="6" t="s">
        <v>10</v>
      </c>
    </row>
    <row r="32" spans="1:8" x14ac:dyDescent="0.3">
      <c r="A32" s="6">
        <f t="shared" si="0"/>
        <v>31</v>
      </c>
      <c r="B32" s="6">
        <v>11</v>
      </c>
      <c r="C32" s="6" t="s">
        <v>58</v>
      </c>
      <c r="D32" s="12">
        <v>46319</v>
      </c>
      <c r="E32" s="5">
        <v>0.54166666666666663</v>
      </c>
      <c r="F32" s="6" t="s">
        <v>2</v>
      </c>
      <c r="G32" s="6" t="s">
        <v>25</v>
      </c>
      <c r="H32" s="6" t="s">
        <v>11</v>
      </c>
    </row>
    <row r="33" spans="1:10" x14ac:dyDescent="0.3">
      <c r="A33" s="6">
        <f t="shared" si="0"/>
        <v>32</v>
      </c>
      <c r="B33" s="6">
        <v>12</v>
      </c>
      <c r="C33" s="6" t="s">
        <v>58</v>
      </c>
      <c r="D33" s="12">
        <v>46326</v>
      </c>
      <c r="E33" s="5">
        <v>0.5</v>
      </c>
      <c r="F33" s="6" t="s">
        <v>29</v>
      </c>
      <c r="G33" s="6" t="s">
        <v>29</v>
      </c>
      <c r="H33" s="6" t="s">
        <v>10</v>
      </c>
    </row>
    <row r="34" spans="1:10" x14ac:dyDescent="0.3">
      <c r="A34" s="6">
        <f t="shared" si="0"/>
        <v>33</v>
      </c>
      <c r="B34" s="6">
        <v>13</v>
      </c>
      <c r="C34" s="6" t="s">
        <v>58</v>
      </c>
      <c r="D34" s="12">
        <v>46333</v>
      </c>
      <c r="E34" s="5">
        <v>0.5</v>
      </c>
      <c r="F34" s="6" t="s">
        <v>2</v>
      </c>
      <c r="G34" s="6" t="s">
        <v>33</v>
      </c>
      <c r="H34" s="6" t="s">
        <v>11</v>
      </c>
    </row>
    <row r="35" spans="1:10" x14ac:dyDescent="0.3">
      <c r="A35" s="26">
        <f t="shared" si="0"/>
        <v>34</v>
      </c>
      <c r="B35" s="26">
        <v>1</v>
      </c>
      <c r="C35" s="26" t="s">
        <v>48</v>
      </c>
      <c r="D35" s="33">
        <v>46023</v>
      </c>
      <c r="E35" s="27"/>
      <c r="F35" s="26"/>
      <c r="G35" s="26"/>
      <c r="H35" s="26"/>
    </row>
    <row r="36" spans="1:10" x14ac:dyDescent="0.3">
      <c r="A36" s="26">
        <f t="shared" si="0"/>
        <v>35</v>
      </c>
      <c r="B36" s="26">
        <v>2</v>
      </c>
      <c r="C36" s="26" t="s">
        <v>48</v>
      </c>
      <c r="D36" s="33">
        <v>46024</v>
      </c>
      <c r="E36" s="27"/>
      <c r="F36" s="26"/>
      <c r="G36" s="26"/>
      <c r="H36" s="26"/>
    </row>
    <row r="37" spans="1:10" x14ac:dyDescent="0.3">
      <c r="A37" s="26">
        <f t="shared" si="0"/>
        <v>36</v>
      </c>
      <c r="B37" s="26">
        <v>3</v>
      </c>
      <c r="C37" s="26" t="s">
        <v>48</v>
      </c>
      <c r="D37" s="33">
        <v>46025</v>
      </c>
      <c r="E37" s="27"/>
      <c r="F37" s="26"/>
      <c r="G37" s="26"/>
      <c r="H37" s="26"/>
    </row>
    <row r="38" spans="1:10" x14ac:dyDescent="0.3">
      <c r="A38" s="26">
        <f t="shared" si="0"/>
        <v>37</v>
      </c>
      <c r="B38" s="26">
        <v>4</v>
      </c>
      <c r="C38" s="26" t="s">
        <v>48</v>
      </c>
      <c r="D38" s="33">
        <v>46026</v>
      </c>
      <c r="E38" s="27"/>
      <c r="F38" s="26"/>
      <c r="G38" s="26"/>
      <c r="H38" s="26"/>
    </row>
    <row r="39" spans="1:10" x14ac:dyDescent="0.3">
      <c r="A39" s="26">
        <f t="shared" si="0"/>
        <v>38</v>
      </c>
      <c r="B39" s="26">
        <v>5</v>
      </c>
      <c r="C39" s="26" t="s">
        <v>48</v>
      </c>
      <c r="D39" s="33">
        <v>46027</v>
      </c>
      <c r="E39" s="27"/>
      <c r="F39" s="26"/>
      <c r="G39" s="26"/>
      <c r="H39" s="26"/>
    </row>
    <row r="40" spans="1:10" x14ac:dyDescent="0.3">
      <c r="A40" s="26">
        <f t="shared" si="0"/>
        <v>39</v>
      </c>
      <c r="B40" s="26">
        <v>6</v>
      </c>
      <c r="C40" s="26" t="s">
        <v>48</v>
      </c>
      <c r="D40" s="33">
        <v>46028</v>
      </c>
      <c r="E40" s="27"/>
      <c r="F40" s="26"/>
      <c r="G40" s="26"/>
      <c r="H40" s="26"/>
    </row>
    <row r="41" spans="1:10" x14ac:dyDescent="0.3">
      <c r="A41" s="26">
        <f t="shared" si="0"/>
        <v>40</v>
      </c>
      <c r="B41" s="26">
        <v>7</v>
      </c>
      <c r="C41" s="26" t="s">
        <v>48</v>
      </c>
      <c r="D41" s="33">
        <v>46029</v>
      </c>
      <c r="E41" s="27"/>
      <c r="F41" s="26"/>
      <c r="G41" s="26"/>
      <c r="H41" s="26"/>
    </row>
    <row r="42" spans="1:10" x14ac:dyDescent="0.3">
      <c r="A42" s="26">
        <f t="shared" si="0"/>
        <v>41</v>
      </c>
      <c r="B42" s="26">
        <v>8</v>
      </c>
      <c r="C42" s="26" t="s">
        <v>48</v>
      </c>
      <c r="D42" s="33">
        <v>46030</v>
      </c>
      <c r="E42" s="27"/>
      <c r="F42" s="26"/>
      <c r="G42" s="26"/>
      <c r="H42" s="26"/>
    </row>
    <row r="43" spans="1:10" x14ac:dyDescent="0.3">
      <c r="A43" s="26">
        <f t="shared" si="0"/>
        <v>42</v>
      </c>
      <c r="B43" s="26">
        <v>9</v>
      </c>
      <c r="C43" s="26" t="s">
        <v>48</v>
      </c>
      <c r="D43" s="33">
        <v>46031</v>
      </c>
      <c r="E43" s="27"/>
      <c r="F43" s="26"/>
      <c r="G43" s="26"/>
      <c r="H43" s="26"/>
    </row>
    <row r="44" spans="1:10" x14ac:dyDescent="0.3">
      <c r="A44" s="26">
        <f t="shared" si="0"/>
        <v>43</v>
      </c>
      <c r="B44" s="26">
        <v>10</v>
      </c>
      <c r="C44" s="26" t="s">
        <v>48</v>
      </c>
      <c r="D44" s="33">
        <v>46032</v>
      </c>
      <c r="E44" s="27"/>
      <c r="F44" s="26"/>
      <c r="G44" s="26"/>
      <c r="H44" s="26"/>
    </row>
    <row r="45" spans="1:10" s="14" customFormat="1" ht="14.25" customHeight="1" x14ac:dyDescent="0.3">
      <c r="A45" s="23">
        <f t="shared" si="0"/>
        <v>44</v>
      </c>
      <c r="B45" s="17">
        <v>1</v>
      </c>
      <c r="C45" s="17" t="s">
        <v>27</v>
      </c>
      <c r="D45" s="18">
        <v>46033</v>
      </c>
      <c r="E45" s="19"/>
      <c r="F45" s="17"/>
      <c r="G45" s="17"/>
      <c r="H45" s="17"/>
      <c r="I45" s="21"/>
    </row>
    <row r="46" spans="1:10" x14ac:dyDescent="0.3">
      <c r="A46" s="23">
        <f t="shared" si="0"/>
        <v>45</v>
      </c>
      <c r="B46" s="17">
        <v>2</v>
      </c>
      <c r="C46" s="17" t="s">
        <v>27</v>
      </c>
      <c r="D46" s="18">
        <v>46034</v>
      </c>
      <c r="E46" s="19"/>
      <c r="F46" s="17"/>
      <c r="G46" s="17"/>
      <c r="H46" s="17"/>
      <c r="I46" s="20"/>
      <c r="J46" s="22"/>
    </row>
    <row r="47" spans="1:10" x14ac:dyDescent="0.3">
      <c r="A47" s="23">
        <f t="shared" si="0"/>
        <v>46</v>
      </c>
      <c r="B47" s="17">
        <v>3</v>
      </c>
      <c r="C47" s="17" t="s">
        <v>27</v>
      </c>
      <c r="D47" s="18">
        <v>46035</v>
      </c>
      <c r="E47" s="19"/>
      <c r="F47" s="17"/>
      <c r="G47" s="17"/>
      <c r="H47" s="17"/>
      <c r="I47" s="20"/>
      <c r="J47" s="22"/>
    </row>
    <row r="48" spans="1:10" x14ac:dyDescent="0.3">
      <c r="A48" s="23">
        <f t="shared" si="0"/>
        <v>47</v>
      </c>
      <c r="B48" s="17">
        <v>4</v>
      </c>
      <c r="C48" s="17" t="s">
        <v>27</v>
      </c>
      <c r="D48" s="18">
        <v>46036</v>
      </c>
      <c r="E48" s="19"/>
      <c r="F48" s="17"/>
      <c r="G48" s="17"/>
      <c r="H48" s="17"/>
      <c r="I48" s="20"/>
      <c r="J48" s="22"/>
    </row>
    <row r="49" spans="1:10" x14ac:dyDescent="0.3">
      <c r="A49" s="23">
        <f t="shared" si="0"/>
        <v>48</v>
      </c>
      <c r="B49" s="17">
        <v>5</v>
      </c>
      <c r="C49" s="17" t="s">
        <v>27</v>
      </c>
      <c r="D49" s="18">
        <v>46037</v>
      </c>
      <c r="E49" s="19"/>
      <c r="F49" s="17"/>
      <c r="G49" s="17"/>
      <c r="H49" s="17"/>
      <c r="I49" s="20"/>
      <c r="J49" s="22"/>
    </row>
    <row r="50" spans="1:10" x14ac:dyDescent="0.3">
      <c r="A50" s="23">
        <f t="shared" si="0"/>
        <v>49</v>
      </c>
      <c r="B50" s="17">
        <v>6</v>
      </c>
      <c r="C50" s="17" t="s">
        <v>27</v>
      </c>
      <c r="D50" s="18">
        <v>46038</v>
      </c>
      <c r="E50" s="19"/>
      <c r="F50" s="17"/>
      <c r="G50" s="17"/>
      <c r="H50" s="17"/>
      <c r="I50" s="20"/>
      <c r="J50" s="22"/>
    </row>
    <row r="51" spans="1:10" x14ac:dyDescent="0.3">
      <c r="A51" s="23">
        <f t="shared" si="0"/>
        <v>50</v>
      </c>
      <c r="B51" s="17">
        <v>7</v>
      </c>
      <c r="C51" s="17" t="s">
        <v>27</v>
      </c>
      <c r="D51" s="18">
        <v>46039</v>
      </c>
      <c r="E51" s="19"/>
      <c r="F51" s="17"/>
      <c r="G51" s="17"/>
      <c r="H51" s="17"/>
      <c r="I51" s="20"/>
      <c r="J51" s="22"/>
    </row>
    <row r="52" spans="1:10" x14ac:dyDescent="0.3">
      <c r="A52" s="23">
        <f t="shared" si="0"/>
        <v>51</v>
      </c>
      <c r="B52" s="17">
        <v>8</v>
      </c>
      <c r="C52" s="17" t="s">
        <v>27</v>
      </c>
      <c r="D52" s="18">
        <v>46040</v>
      </c>
      <c r="E52" s="19"/>
      <c r="F52" s="17"/>
      <c r="G52" s="17"/>
      <c r="H52" s="17"/>
      <c r="I52" s="20"/>
      <c r="J52" s="22"/>
    </row>
    <row r="53" spans="1:10" x14ac:dyDescent="0.3">
      <c r="A53" s="23">
        <f t="shared" si="0"/>
        <v>52</v>
      </c>
      <c r="B53" s="17">
        <v>9</v>
      </c>
      <c r="C53" s="17" t="s">
        <v>27</v>
      </c>
      <c r="D53" s="18">
        <v>46041</v>
      </c>
      <c r="E53" s="19"/>
      <c r="F53" s="17"/>
      <c r="G53" s="17"/>
      <c r="H53" s="17"/>
      <c r="I53" s="20"/>
      <c r="J53" s="22"/>
    </row>
    <row r="54" spans="1:10" x14ac:dyDescent="0.3">
      <c r="A54" s="23">
        <f t="shared" si="0"/>
        <v>53</v>
      </c>
      <c r="B54" s="17">
        <v>10</v>
      </c>
      <c r="C54" s="17" t="s">
        <v>27</v>
      </c>
      <c r="D54" s="18">
        <v>46042</v>
      </c>
      <c r="E54" s="19"/>
      <c r="F54" s="17"/>
      <c r="G54" s="17"/>
      <c r="H54" s="17"/>
      <c r="I54" s="20"/>
      <c r="J54" s="22"/>
    </row>
    <row r="55" spans="1:10" s="15" customFormat="1" x14ac:dyDescent="0.3">
      <c r="A55" s="8">
        <f t="shared" si="0"/>
        <v>54</v>
      </c>
      <c r="B55" s="8">
        <v>1</v>
      </c>
      <c r="C55" s="8" t="s">
        <v>157</v>
      </c>
      <c r="D55" s="28">
        <v>46043</v>
      </c>
      <c r="E55" s="9"/>
      <c r="F55" s="8"/>
      <c r="G55" s="8"/>
      <c r="H55" s="8"/>
    </row>
    <row r="56" spans="1:10" x14ac:dyDescent="0.3">
      <c r="A56" s="8">
        <f t="shared" si="0"/>
        <v>55</v>
      </c>
      <c r="B56" s="8">
        <v>2</v>
      </c>
      <c r="C56" s="8" t="s">
        <v>157</v>
      </c>
      <c r="D56" s="28">
        <v>46044</v>
      </c>
      <c r="E56" s="9"/>
      <c r="F56" s="8"/>
      <c r="G56" s="8"/>
      <c r="H56" s="8"/>
    </row>
    <row r="57" spans="1:10" x14ac:dyDescent="0.3">
      <c r="A57" s="8">
        <f t="shared" si="0"/>
        <v>56</v>
      </c>
      <c r="B57" s="8">
        <v>3</v>
      </c>
      <c r="C57" s="8" t="s">
        <v>157</v>
      </c>
      <c r="D57" s="28">
        <v>46045</v>
      </c>
      <c r="E57" s="9"/>
      <c r="F57" s="8"/>
      <c r="G57" s="8"/>
      <c r="H57" s="8"/>
    </row>
    <row r="58" spans="1:10" x14ac:dyDescent="0.3">
      <c r="A58" s="8">
        <f t="shared" si="0"/>
        <v>57</v>
      </c>
      <c r="B58" s="8">
        <v>4</v>
      </c>
      <c r="C58" s="8" t="s">
        <v>157</v>
      </c>
      <c r="D58" s="28">
        <v>46046</v>
      </c>
      <c r="E58" s="9"/>
      <c r="F58" s="8"/>
      <c r="G58" s="8"/>
      <c r="H58" s="8"/>
    </row>
    <row r="59" spans="1:10" x14ac:dyDescent="0.3">
      <c r="A59" s="8">
        <f t="shared" si="0"/>
        <v>58</v>
      </c>
      <c r="B59" s="8">
        <v>5</v>
      </c>
      <c r="C59" s="8" t="s">
        <v>157</v>
      </c>
      <c r="D59" s="28">
        <v>46047</v>
      </c>
      <c r="E59" s="9"/>
      <c r="F59" s="8"/>
      <c r="G59" s="8"/>
      <c r="H59" s="8"/>
    </row>
    <row r="60" spans="1:10" x14ac:dyDescent="0.3">
      <c r="A60" s="8">
        <f t="shared" si="0"/>
        <v>59</v>
      </c>
      <c r="B60" s="8">
        <v>6</v>
      </c>
      <c r="C60" s="8" t="s">
        <v>157</v>
      </c>
      <c r="D60" s="28">
        <v>46048</v>
      </c>
      <c r="E60" s="9"/>
      <c r="F60" s="8"/>
      <c r="G60" s="8"/>
      <c r="H60" s="8"/>
    </row>
    <row r="61" spans="1:10" x14ac:dyDescent="0.3">
      <c r="A61" s="8">
        <f t="shared" si="0"/>
        <v>60</v>
      </c>
      <c r="B61" s="8">
        <v>7</v>
      </c>
      <c r="C61" s="8" t="s">
        <v>157</v>
      </c>
      <c r="D61" s="28">
        <v>46049</v>
      </c>
      <c r="E61" s="9"/>
      <c r="F61" s="8"/>
      <c r="G61" s="8"/>
      <c r="H61" s="8"/>
    </row>
    <row r="62" spans="1:10" x14ac:dyDescent="0.3">
      <c r="A62" s="8">
        <f t="shared" si="0"/>
        <v>61</v>
      </c>
      <c r="B62" s="8">
        <v>8</v>
      </c>
      <c r="C62" s="8" t="s">
        <v>157</v>
      </c>
      <c r="D62" s="28">
        <v>46050</v>
      </c>
      <c r="E62" s="9"/>
      <c r="F62" s="8"/>
      <c r="G62" s="8"/>
      <c r="H62" s="8"/>
    </row>
    <row r="63" spans="1:10" x14ac:dyDescent="0.3">
      <c r="A63" s="8">
        <f t="shared" si="0"/>
        <v>62</v>
      </c>
      <c r="B63" s="8">
        <v>9</v>
      </c>
      <c r="C63" s="8" t="s">
        <v>157</v>
      </c>
      <c r="D63" s="28">
        <v>46051</v>
      </c>
      <c r="E63" s="9"/>
      <c r="F63" s="8"/>
      <c r="G63" s="8"/>
      <c r="H63" s="8"/>
    </row>
    <row r="64" spans="1:10" x14ac:dyDescent="0.3">
      <c r="A64" s="8">
        <f t="shared" si="0"/>
        <v>63</v>
      </c>
      <c r="B64" s="8">
        <v>10</v>
      </c>
      <c r="C64" s="8" t="s">
        <v>157</v>
      </c>
      <c r="D64" s="28">
        <v>46052</v>
      </c>
      <c r="E64" s="9"/>
      <c r="F64" s="8"/>
      <c r="G64" s="8"/>
      <c r="H64" s="8"/>
    </row>
    <row r="65" spans="1:8" x14ac:dyDescent="0.3">
      <c r="A65" s="111">
        <f t="shared" si="0"/>
        <v>64</v>
      </c>
      <c r="B65" s="111">
        <v>1</v>
      </c>
      <c r="C65" s="111" t="s">
        <v>158</v>
      </c>
      <c r="D65" s="112">
        <v>46053</v>
      </c>
      <c r="E65" s="113"/>
      <c r="F65" s="111"/>
      <c r="G65" s="111"/>
      <c r="H65" s="111"/>
    </row>
    <row r="66" spans="1:8" x14ac:dyDescent="0.3">
      <c r="A66" s="111">
        <f t="shared" ref="A66:A121" si="1">A65+1</f>
        <v>65</v>
      </c>
      <c r="B66" s="111">
        <v>2</v>
      </c>
      <c r="C66" s="111" t="s">
        <v>158</v>
      </c>
      <c r="D66" s="112">
        <v>46054</v>
      </c>
      <c r="E66" s="113"/>
      <c r="F66" s="111"/>
      <c r="G66" s="111"/>
      <c r="H66" s="111"/>
    </row>
    <row r="67" spans="1:8" x14ac:dyDescent="0.3">
      <c r="A67" s="111">
        <f t="shared" si="1"/>
        <v>66</v>
      </c>
      <c r="B67" s="111">
        <v>3</v>
      </c>
      <c r="C67" s="111" t="s">
        <v>158</v>
      </c>
      <c r="D67" s="112">
        <v>46055</v>
      </c>
      <c r="E67" s="113"/>
      <c r="F67" s="111"/>
      <c r="G67" s="111"/>
      <c r="H67" s="111"/>
    </row>
    <row r="68" spans="1:8" x14ac:dyDescent="0.3">
      <c r="A68" s="111">
        <f t="shared" si="1"/>
        <v>67</v>
      </c>
      <c r="B68" s="111">
        <v>4</v>
      </c>
      <c r="C68" s="111" t="s">
        <v>158</v>
      </c>
      <c r="D68" s="112">
        <v>46056</v>
      </c>
      <c r="E68" s="113"/>
      <c r="F68" s="111"/>
      <c r="G68" s="111"/>
      <c r="H68" s="111"/>
    </row>
    <row r="69" spans="1:8" x14ac:dyDescent="0.3">
      <c r="A69" s="111">
        <f t="shared" si="1"/>
        <v>68</v>
      </c>
      <c r="B69" s="111">
        <v>5</v>
      </c>
      <c r="C69" s="111" t="s">
        <v>158</v>
      </c>
      <c r="D69" s="112">
        <v>46057</v>
      </c>
      <c r="E69" s="113"/>
      <c r="F69" s="111"/>
      <c r="G69" s="111"/>
      <c r="H69" s="111"/>
    </row>
    <row r="70" spans="1:8" x14ac:dyDescent="0.3">
      <c r="A70" s="111">
        <f t="shared" si="1"/>
        <v>69</v>
      </c>
      <c r="B70" s="111">
        <v>6</v>
      </c>
      <c r="C70" s="111" t="s">
        <v>158</v>
      </c>
      <c r="D70" s="112">
        <v>46058</v>
      </c>
      <c r="E70" s="113"/>
      <c r="F70" s="111"/>
      <c r="G70" s="111"/>
      <c r="H70" s="111"/>
    </row>
    <row r="71" spans="1:8" x14ac:dyDescent="0.3">
      <c r="A71" s="111">
        <f t="shared" si="1"/>
        <v>70</v>
      </c>
      <c r="B71" s="111">
        <v>7</v>
      </c>
      <c r="C71" s="111" t="s">
        <v>158</v>
      </c>
      <c r="D71" s="112">
        <v>46059</v>
      </c>
      <c r="E71" s="113"/>
      <c r="F71" s="111"/>
      <c r="G71" s="111"/>
      <c r="H71" s="111"/>
    </row>
    <row r="72" spans="1:8" x14ac:dyDescent="0.3">
      <c r="A72" s="111">
        <f t="shared" si="1"/>
        <v>71</v>
      </c>
      <c r="B72" s="111">
        <v>8</v>
      </c>
      <c r="C72" s="111" t="s">
        <v>158</v>
      </c>
      <c r="D72" s="112">
        <v>46060</v>
      </c>
      <c r="E72" s="113"/>
      <c r="F72" s="111"/>
      <c r="G72" s="111"/>
      <c r="H72" s="111"/>
    </row>
    <row r="73" spans="1:8" x14ac:dyDescent="0.3">
      <c r="A73" s="111">
        <f t="shared" si="1"/>
        <v>72</v>
      </c>
      <c r="B73" s="111">
        <v>9</v>
      </c>
      <c r="C73" s="111" t="s">
        <v>158</v>
      </c>
      <c r="D73" s="112">
        <v>46061</v>
      </c>
      <c r="E73" s="113"/>
      <c r="F73" s="111"/>
      <c r="G73" s="111"/>
      <c r="H73" s="111"/>
    </row>
    <row r="74" spans="1:8" x14ac:dyDescent="0.3">
      <c r="A74" s="111">
        <f t="shared" si="1"/>
        <v>73</v>
      </c>
      <c r="B74" s="111">
        <v>10</v>
      </c>
      <c r="C74" s="111" t="s">
        <v>158</v>
      </c>
      <c r="D74" s="112">
        <v>46062</v>
      </c>
      <c r="E74" s="113"/>
      <c r="F74" s="111"/>
      <c r="G74" s="111"/>
      <c r="H74" s="111"/>
    </row>
    <row r="75" spans="1:8" x14ac:dyDescent="0.3">
      <c r="A75" s="24">
        <f t="shared" si="1"/>
        <v>74</v>
      </c>
      <c r="B75" s="24">
        <v>1</v>
      </c>
      <c r="C75" s="24" t="s">
        <v>47</v>
      </c>
      <c r="D75" s="29">
        <v>46063</v>
      </c>
      <c r="E75" s="25"/>
      <c r="F75" s="24"/>
      <c r="G75" s="24"/>
      <c r="H75" s="24"/>
    </row>
    <row r="76" spans="1:8" x14ac:dyDescent="0.3">
      <c r="A76" s="24">
        <f t="shared" si="1"/>
        <v>75</v>
      </c>
      <c r="B76" s="24">
        <v>2</v>
      </c>
      <c r="C76" s="24" t="s">
        <v>47</v>
      </c>
      <c r="D76" s="29">
        <v>46064</v>
      </c>
      <c r="E76" s="25"/>
      <c r="F76" s="24"/>
      <c r="G76" s="24"/>
      <c r="H76" s="24"/>
    </row>
    <row r="77" spans="1:8" x14ac:dyDescent="0.3">
      <c r="A77" s="24">
        <f t="shared" si="1"/>
        <v>76</v>
      </c>
      <c r="B77" s="24">
        <v>3</v>
      </c>
      <c r="C77" s="24" t="s">
        <v>47</v>
      </c>
      <c r="D77" s="29">
        <v>46065</v>
      </c>
      <c r="E77" s="25"/>
      <c r="F77" s="24"/>
      <c r="G77" s="24"/>
      <c r="H77" s="24"/>
    </row>
    <row r="78" spans="1:8" x14ac:dyDescent="0.3">
      <c r="A78" s="24">
        <f t="shared" si="1"/>
        <v>77</v>
      </c>
      <c r="B78" s="24">
        <v>4</v>
      </c>
      <c r="C78" s="24" t="s">
        <v>47</v>
      </c>
      <c r="D78" s="29">
        <v>46066</v>
      </c>
      <c r="E78" s="25"/>
      <c r="F78" s="24"/>
      <c r="G78" s="24"/>
      <c r="H78" s="24"/>
    </row>
    <row r="79" spans="1:8" x14ac:dyDescent="0.3">
      <c r="A79" s="24">
        <f t="shared" si="1"/>
        <v>78</v>
      </c>
      <c r="B79" s="24">
        <v>5</v>
      </c>
      <c r="C79" s="24" t="s">
        <v>47</v>
      </c>
      <c r="D79" s="29">
        <v>46067</v>
      </c>
      <c r="E79" s="25"/>
      <c r="F79" s="24"/>
      <c r="G79" s="24"/>
      <c r="H79" s="24"/>
    </row>
    <row r="80" spans="1:8" x14ac:dyDescent="0.3">
      <c r="A80" s="24">
        <f t="shared" si="1"/>
        <v>79</v>
      </c>
      <c r="B80" s="24">
        <v>6</v>
      </c>
      <c r="C80" s="24" t="s">
        <v>47</v>
      </c>
      <c r="D80" s="29">
        <v>46068</v>
      </c>
      <c r="E80" s="25"/>
      <c r="F80" s="24"/>
      <c r="G80" s="24"/>
      <c r="H80" s="24"/>
    </row>
    <row r="81" spans="1:8" x14ac:dyDescent="0.3">
      <c r="A81" s="24">
        <f t="shared" si="1"/>
        <v>80</v>
      </c>
      <c r="B81" s="24">
        <v>7</v>
      </c>
      <c r="C81" s="24" t="s">
        <v>47</v>
      </c>
      <c r="D81" s="29">
        <v>46069</v>
      </c>
      <c r="E81" s="25"/>
      <c r="F81" s="24"/>
      <c r="G81" s="24"/>
      <c r="H81" s="24"/>
    </row>
    <row r="82" spans="1:8" x14ac:dyDescent="0.3">
      <c r="A82" s="24">
        <f t="shared" si="1"/>
        <v>81</v>
      </c>
      <c r="B82" s="24">
        <v>8</v>
      </c>
      <c r="C82" s="24" t="s">
        <v>47</v>
      </c>
      <c r="D82" s="29">
        <v>46070</v>
      </c>
      <c r="E82" s="25"/>
      <c r="F82" s="24"/>
      <c r="G82" s="24"/>
      <c r="H82" s="24"/>
    </row>
    <row r="83" spans="1:8" x14ac:dyDescent="0.3">
      <c r="A83" s="24">
        <f t="shared" si="1"/>
        <v>82</v>
      </c>
      <c r="B83" s="24">
        <v>9</v>
      </c>
      <c r="C83" s="24" t="s">
        <v>47</v>
      </c>
      <c r="D83" s="29">
        <v>46071</v>
      </c>
      <c r="E83" s="25"/>
      <c r="F83" s="24"/>
      <c r="G83" s="24"/>
      <c r="H83" s="24"/>
    </row>
    <row r="84" spans="1:8" x14ac:dyDescent="0.3">
      <c r="A84" s="24">
        <f t="shared" si="1"/>
        <v>83</v>
      </c>
      <c r="B84" s="24">
        <v>10</v>
      </c>
      <c r="C84" s="24" t="s">
        <v>47</v>
      </c>
      <c r="D84" s="29">
        <v>46072</v>
      </c>
      <c r="E84" s="25"/>
      <c r="F84" s="24"/>
      <c r="G84" s="24"/>
      <c r="H84" s="24"/>
    </row>
    <row r="85" spans="1:8" x14ac:dyDescent="0.3">
      <c r="A85" s="108">
        <f t="shared" si="1"/>
        <v>84</v>
      </c>
      <c r="B85" s="108">
        <v>1</v>
      </c>
      <c r="C85" s="108" t="s">
        <v>146</v>
      </c>
      <c r="D85" s="109">
        <v>46073</v>
      </c>
      <c r="E85" s="110"/>
      <c r="F85" s="108"/>
      <c r="G85" s="108"/>
      <c r="H85" s="108"/>
    </row>
    <row r="86" spans="1:8" x14ac:dyDescent="0.3">
      <c r="A86" s="108">
        <f t="shared" si="1"/>
        <v>85</v>
      </c>
      <c r="B86" s="108">
        <v>2</v>
      </c>
      <c r="C86" s="108" t="s">
        <v>146</v>
      </c>
      <c r="D86" s="109">
        <v>46074</v>
      </c>
      <c r="E86" s="110"/>
      <c r="F86" s="108"/>
      <c r="G86" s="108"/>
      <c r="H86" s="108"/>
    </row>
    <row r="87" spans="1:8" x14ac:dyDescent="0.3">
      <c r="A87" s="108">
        <f t="shared" si="1"/>
        <v>86</v>
      </c>
      <c r="B87" s="108">
        <v>3</v>
      </c>
      <c r="C87" s="108" t="s">
        <v>146</v>
      </c>
      <c r="D87" s="109">
        <v>46075</v>
      </c>
      <c r="E87" s="110"/>
      <c r="F87" s="108"/>
      <c r="G87" s="108"/>
      <c r="H87" s="108"/>
    </row>
    <row r="88" spans="1:8" x14ac:dyDescent="0.3">
      <c r="A88" s="108">
        <f t="shared" si="1"/>
        <v>87</v>
      </c>
      <c r="B88" s="108">
        <v>4</v>
      </c>
      <c r="C88" s="108" t="s">
        <v>146</v>
      </c>
      <c r="D88" s="109">
        <v>46076</v>
      </c>
      <c r="E88" s="110"/>
      <c r="F88" s="108"/>
      <c r="G88" s="108"/>
      <c r="H88" s="108"/>
    </row>
    <row r="89" spans="1:8" x14ac:dyDescent="0.3">
      <c r="A89" s="108">
        <f t="shared" si="1"/>
        <v>88</v>
      </c>
      <c r="B89" s="108">
        <v>5</v>
      </c>
      <c r="C89" s="108" t="s">
        <v>146</v>
      </c>
      <c r="D89" s="109">
        <v>46077</v>
      </c>
      <c r="E89" s="110"/>
      <c r="F89" s="108"/>
      <c r="G89" s="108"/>
      <c r="H89" s="108"/>
    </row>
    <row r="90" spans="1:8" x14ac:dyDescent="0.3">
      <c r="A90" s="10">
        <f t="shared" si="1"/>
        <v>89</v>
      </c>
      <c r="B90" s="10">
        <v>1</v>
      </c>
      <c r="C90" s="10" t="s">
        <v>28</v>
      </c>
      <c r="D90" s="34">
        <v>46078</v>
      </c>
      <c r="E90" s="16"/>
      <c r="F90" s="10"/>
      <c r="G90" s="10"/>
      <c r="H90" s="10"/>
    </row>
    <row r="91" spans="1:8" x14ac:dyDescent="0.3">
      <c r="A91" s="10">
        <f t="shared" si="1"/>
        <v>90</v>
      </c>
      <c r="B91" s="10">
        <v>2</v>
      </c>
      <c r="C91" s="10" t="s">
        <v>28</v>
      </c>
      <c r="D91" s="34">
        <v>46079</v>
      </c>
      <c r="E91" s="16"/>
      <c r="F91" s="10"/>
      <c r="G91" s="10"/>
      <c r="H91" s="10"/>
    </row>
    <row r="92" spans="1:8" x14ac:dyDescent="0.3">
      <c r="A92" s="10">
        <f t="shared" si="1"/>
        <v>91</v>
      </c>
      <c r="B92" s="10">
        <v>3</v>
      </c>
      <c r="C92" s="10" t="s">
        <v>28</v>
      </c>
      <c r="D92" s="34">
        <v>46080</v>
      </c>
      <c r="E92" s="16"/>
      <c r="F92" s="10"/>
      <c r="G92" s="10"/>
      <c r="H92" s="10"/>
    </row>
    <row r="93" spans="1:8" x14ac:dyDescent="0.3">
      <c r="A93" s="10">
        <f t="shared" si="1"/>
        <v>92</v>
      </c>
      <c r="B93" s="10">
        <v>4</v>
      </c>
      <c r="C93" s="10" t="s">
        <v>28</v>
      </c>
      <c r="D93" s="34">
        <v>46081</v>
      </c>
      <c r="E93" s="16"/>
      <c r="F93" s="10"/>
      <c r="G93" s="10"/>
      <c r="H93" s="10"/>
    </row>
    <row r="94" spans="1:8" x14ac:dyDescent="0.3">
      <c r="A94" s="10">
        <f t="shared" si="1"/>
        <v>93</v>
      </c>
      <c r="B94" s="10">
        <v>5</v>
      </c>
      <c r="C94" s="10" t="s">
        <v>28</v>
      </c>
      <c r="D94" s="34">
        <v>46082</v>
      </c>
      <c r="E94" s="16"/>
      <c r="F94" s="10"/>
      <c r="G94" s="10"/>
      <c r="H94" s="10"/>
    </row>
    <row r="95" spans="1:8" x14ac:dyDescent="0.3">
      <c r="A95" s="10">
        <f t="shared" si="1"/>
        <v>94</v>
      </c>
      <c r="B95" s="10">
        <v>6</v>
      </c>
      <c r="C95" s="10" t="s">
        <v>28</v>
      </c>
      <c r="D95" s="34">
        <v>46083</v>
      </c>
      <c r="E95" s="16"/>
      <c r="F95" s="10"/>
      <c r="G95" s="10"/>
      <c r="H95" s="10"/>
    </row>
    <row r="96" spans="1:8" x14ac:dyDescent="0.3">
      <c r="A96" s="10">
        <f t="shared" si="1"/>
        <v>95</v>
      </c>
      <c r="B96" s="10">
        <v>7</v>
      </c>
      <c r="C96" s="10" t="s">
        <v>28</v>
      </c>
      <c r="D96" s="34">
        <v>46084</v>
      </c>
      <c r="E96" s="16"/>
      <c r="F96" s="10"/>
      <c r="G96" s="10"/>
      <c r="H96" s="10"/>
    </row>
    <row r="97" spans="1:8" x14ac:dyDescent="0.3">
      <c r="A97" s="10">
        <f t="shared" si="1"/>
        <v>96</v>
      </c>
      <c r="B97" s="10">
        <v>8</v>
      </c>
      <c r="C97" s="10" t="s">
        <v>28</v>
      </c>
      <c r="D97" s="34">
        <v>46085</v>
      </c>
      <c r="E97" s="16"/>
      <c r="F97" s="10"/>
      <c r="G97" s="10"/>
      <c r="H97" s="10"/>
    </row>
    <row r="98" spans="1:8" x14ac:dyDescent="0.3">
      <c r="A98" s="10">
        <f t="shared" si="1"/>
        <v>97</v>
      </c>
      <c r="B98" s="10">
        <v>9</v>
      </c>
      <c r="C98" s="10" t="s">
        <v>28</v>
      </c>
      <c r="D98" s="34">
        <v>46086</v>
      </c>
      <c r="E98" s="16"/>
      <c r="F98" s="10"/>
      <c r="G98" s="10"/>
      <c r="H98" s="10"/>
    </row>
    <row r="99" spans="1:8" x14ac:dyDescent="0.3">
      <c r="A99" s="10">
        <f t="shared" si="1"/>
        <v>98</v>
      </c>
      <c r="B99" s="10">
        <v>10</v>
      </c>
      <c r="C99" s="10" t="s">
        <v>28</v>
      </c>
      <c r="D99" s="34">
        <v>46087</v>
      </c>
      <c r="E99" s="16"/>
      <c r="F99" s="10"/>
      <c r="G99" s="10"/>
      <c r="H99" s="10"/>
    </row>
    <row r="100" spans="1:8" x14ac:dyDescent="0.3">
      <c r="A100" s="30">
        <f t="shared" si="1"/>
        <v>99</v>
      </c>
      <c r="B100" s="30">
        <v>1</v>
      </c>
      <c r="C100" s="30" t="s">
        <v>21</v>
      </c>
      <c r="D100" s="31">
        <v>46088</v>
      </c>
      <c r="E100" s="32"/>
      <c r="F100" s="30"/>
      <c r="G100" s="30"/>
      <c r="H100" s="30"/>
    </row>
    <row r="101" spans="1:8" x14ac:dyDescent="0.3">
      <c r="A101" s="30">
        <f t="shared" si="1"/>
        <v>100</v>
      </c>
      <c r="B101" s="30">
        <v>2</v>
      </c>
      <c r="C101" s="30" t="s">
        <v>21</v>
      </c>
      <c r="D101" s="31">
        <v>46089</v>
      </c>
      <c r="E101" s="32"/>
      <c r="F101" s="30"/>
      <c r="G101" s="30"/>
      <c r="H101" s="30"/>
    </row>
    <row r="102" spans="1:8" x14ac:dyDescent="0.3">
      <c r="A102" s="30">
        <f t="shared" si="1"/>
        <v>101</v>
      </c>
      <c r="B102" s="30">
        <v>3</v>
      </c>
      <c r="C102" s="30" t="s">
        <v>21</v>
      </c>
      <c r="D102" s="31">
        <v>46090</v>
      </c>
      <c r="E102" s="32"/>
      <c r="F102" s="30"/>
      <c r="G102" s="30"/>
      <c r="H102" s="30"/>
    </row>
    <row r="103" spans="1:8" x14ac:dyDescent="0.3">
      <c r="A103" s="30">
        <f t="shared" si="1"/>
        <v>102</v>
      </c>
      <c r="B103" s="30">
        <v>4</v>
      </c>
      <c r="C103" s="30" t="s">
        <v>21</v>
      </c>
      <c r="D103" s="31">
        <v>46091</v>
      </c>
      <c r="E103" s="32"/>
      <c r="F103" s="30"/>
      <c r="G103" s="30"/>
      <c r="H103" s="30"/>
    </row>
    <row r="104" spans="1:8" x14ac:dyDescent="0.3">
      <c r="A104" s="30">
        <f t="shared" si="1"/>
        <v>103</v>
      </c>
      <c r="B104" s="30">
        <v>5</v>
      </c>
      <c r="C104" s="30" t="s">
        <v>21</v>
      </c>
      <c r="D104" s="31">
        <v>46092</v>
      </c>
      <c r="E104" s="32"/>
      <c r="F104" s="30"/>
      <c r="G104" s="30"/>
      <c r="H104" s="30"/>
    </row>
    <row r="105" spans="1:8" x14ac:dyDescent="0.3">
      <c r="A105" s="50">
        <f t="shared" si="1"/>
        <v>104</v>
      </c>
      <c r="B105" s="50">
        <v>1</v>
      </c>
      <c r="C105" s="50" t="s">
        <v>72</v>
      </c>
      <c r="D105" s="51">
        <v>46093</v>
      </c>
      <c r="E105" s="52"/>
      <c r="F105" s="50"/>
      <c r="G105" s="50"/>
      <c r="H105" s="50"/>
    </row>
    <row r="106" spans="1:8" x14ac:dyDescent="0.3">
      <c r="A106" s="50">
        <f t="shared" si="1"/>
        <v>105</v>
      </c>
      <c r="B106" s="50">
        <v>2</v>
      </c>
      <c r="C106" s="50" t="s">
        <v>72</v>
      </c>
      <c r="D106" s="51">
        <v>46094</v>
      </c>
      <c r="E106" s="52"/>
      <c r="F106" s="50"/>
      <c r="G106" s="50"/>
      <c r="H106" s="50"/>
    </row>
    <row r="107" spans="1:8" x14ac:dyDescent="0.3">
      <c r="A107" s="50">
        <f t="shared" si="1"/>
        <v>106</v>
      </c>
      <c r="B107" s="50">
        <v>3</v>
      </c>
      <c r="C107" s="50" t="s">
        <v>72</v>
      </c>
      <c r="D107" s="51">
        <v>46095</v>
      </c>
      <c r="E107" s="52"/>
      <c r="F107" s="50"/>
      <c r="G107" s="50"/>
      <c r="H107" s="50"/>
    </row>
    <row r="108" spans="1:8" x14ac:dyDescent="0.3">
      <c r="A108" s="50">
        <f t="shared" si="1"/>
        <v>107</v>
      </c>
      <c r="B108" s="50">
        <v>4</v>
      </c>
      <c r="C108" s="50" t="s">
        <v>72</v>
      </c>
      <c r="D108" s="51">
        <v>46096</v>
      </c>
      <c r="E108" s="52"/>
      <c r="F108" s="50"/>
      <c r="G108" s="50"/>
      <c r="H108" s="50"/>
    </row>
    <row r="109" spans="1:8" x14ac:dyDescent="0.3">
      <c r="A109" s="50">
        <f t="shared" si="1"/>
        <v>108</v>
      </c>
      <c r="B109" s="50">
        <v>5</v>
      </c>
      <c r="C109" s="50" t="s">
        <v>72</v>
      </c>
      <c r="D109" s="51">
        <v>46097</v>
      </c>
      <c r="E109" s="52"/>
      <c r="F109" s="50"/>
      <c r="G109" s="50"/>
      <c r="H109" s="50"/>
    </row>
    <row r="110" spans="1:8" x14ac:dyDescent="0.3">
      <c r="A110" s="37">
        <f t="shared" si="1"/>
        <v>109</v>
      </c>
      <c r="B110" s="37">
        <v>1</v>
      </c>
      <c r="C110" s="37" t="s">
        <v>35</v>
      </c>
      <c r="D110" s="80">
        <v>46230</v>
      </c>
      <c r="E110" s="103">
        <v>0.375</v>
      </c>
      <c r="F110" s="38" t="s">
        <v>2</v>
      </c>
      <c r="G110" s="38" t="s">
        <v>148</v>
      </c>
      <c r="H110" s="38" t="s">
        <v>11</v>
      </c>
    </row>
    <row r="111" spans="1:8" x14ac:dyDescent="0.3">
      <c r="A111" s="37">
        <f t="shared" si="1"/>
        <v>110</v>
      </c>
      <c r="B111" s="37">
        <v>2</v>
      </c>
      <c r="C111" s="37" t="s">
        <v>35</v>
      </c>
      <c r="D111" s="80">
        <v>46231</v>
      </c>
      <c r="E111" s="103">
        <v>0.375</v>
      </c>
      <c r="F111" s="38" t="s">
        <v>2</v>
      </c>
      <c r="G111" s="38" t="s">
        <v>148</v>
      </c>
      <c r="H111" s="38" t="s">
        <v>11</v>
      </c>
    </row>
    <row r="112" spans="1:8" x14ac:dyDescent="0.3">
      <c r="A112" s="37">
        <f t="shared" si="1"/>
        <v>111</v>
      </c>
      <c r="B112" s="37">
        <v>3</v>
      </c>
      <c r="C112" s="37" t="s">
        <v>35</v>
      </c>
      <c r="D112" s="80">
        <v>46232</v>
      </c>
      <c r="E112" s="103">
        <v>0.375</v>
      </c>
      <c r="F112" s="38" t="s">
        <v>2</v>
      </c>
      <c r="G112" s="38" t="s">
        <v>148</v>
      </c>
      <c r="H112" s="38" t="s">
        <v>11</v>
      </c>
    </row>
    <row r="113" spans="1:8" x14ac:dyDescent="0.3">
      <c r="A113" s="37">
        <f t="shared" si="1"/>
        <v>112</v>
      </c>
      <c r="B113" s="37">
        <v>4</v>
      </c>
      <c r="C113" s="37" t="s">
        <v>35</v>
      </c>
      <c r="D113" s="80">
        <v>46233</v>
      </c>
      <c r="E113" s="103">
        <v>0.375</v>
      </c>
      <c r="F113" s="38" t="s">
        <v>2</v>
      </c>
      <c r="G113" s="38" t="s">
        <v>148</v>
      </c>
      <c r="H113" s="38" t="s">
        <v>11</v>
      </c>
    </row>
    <row r="114" spans="1:8" x14ac:dyDescent="0.3">
      <c r="A114" s="37">
        <f t="shared" si="1"/>
        <v>113</v>
      </c>
      <c r="B114" s="37">
        <v>5</v>
      </c>
      <c r="C114" s="37" t="s">
        <v>35</v>
      </c>
      <c r="D114" s="80">
        <v>46234</v>
      </c>
      <c r="E114" s="103">
        <v>0.375</v>
      </c>
      <c r="F114" s="38" t="s">
        <v>2</v>
      </c>
      <c r="G114" s="38" t="s">
        <v>148</v>
      </c>
      <c r="H114" s="38" t="s">
        <v>11</v>
      </c>
    </row>
    <row r="115" spans="1:8" x14ac:dyDescent="0.3">
      <c r="A115" s="37">
        <f t="shared" si="1"/>
        <v>114</v>
      </c>
      <c r="B115" s="37">
        <v>6</v>
      </c>
      <c r="C115" s="37" t="s">
        <v>35</v>
      </c>
      <c r="D115" s="80">
        <v>46237</v>
      </c>
      <c r="E115" s="103">
        <v>0.375</v>
      </c>
      <c r="F115" s="38" t="s">
        <v>2</v>
      </c>
      <c r="G115" s="38" t="s">
        <v>147</v>
      </c>
      <c r="H115" s="38" t="s">
        <v>11</v>
      </c>
    </row>
    <row r="116" spans="1:8" x14ac:dyDescent="0.3">
      <c r="A116" s="37">
        <f t="shared" si="1"/>
        <v>115</v>
      </c>
      <c r="B116" s="37">
        <v>7</v>
      </c>
      <c r="C116" s="37" t="s">
        <v>35</v>
      </c>
      <c r="D116" s="80">
        <v>46238</v>
      </c>
      <c r="E116" s="103">
        <v>0.375</v>
      </c>
      <c r="F116" s="38" t="s">
        <v>2</v>
      </c>
      <c r="G116" s="38" t="s">
        <v>147</v>
      </c>
      <c r="H116" s="38" t="s">
        <v>11</v>
      </c>
    </row>
    <row r="117" spans="1:8" x14ac:dyDescent="0.3">
      <c r="A117" s="37">
        <f t="shared" si="1"/>
        <v>116</v>
      </c>
      <c r="B117" s="37">
        <v>8</v>
      </c>
      <c r="C117" s="37" t="s">
        <v>35</v>
      </c>
      <c r="D117" s="80">
        <v>46239</v>
      </c>
      <c r="E117" s="103">
        <v>0.375</v>
      </c>
      <c r="F117" s="38" t="s">
        <v>2</v>
      </c>
      <c r="G117" s="38" t="s">
        <v>147</v>
      </c>
      <c r="H117" s="38" t="s">
        <v>11</v>
      </c>
    </row>
    <row r="118" spans="1:8" x14ac:dyDescent="0.3">
      <c r="A118" s="37">
        <f t="shared" si="1"/>
        <v>117</v>
      </c>
      <c r="B118" s="37">
        <v>9</v>
      </c>
      <c r="C118" s="37" t="s">
        <v>35</v>
      </c>
      <c r="D118" s="80">
        <v>46321</v>
      </c>
      <c r="E118" s="103">
        <v>0.375</v>
      </c>
      <c r="F118" s="38" t="s">
        <v>2</v>
      </c>
      <c r="G118" s="38" t="s">
        <v>36</v>
      </c>
      <c r="H118" s="38" t="s">
        <v>11</v>
      </c>
    </row>
    <row r="119" spans="1:8" x14ac:dyDescent="0.3">
      <c r="A119" s="37">
        <f t="shared" si="1"/>
        <v>118</v>
      </c>
      <c r="B119" s="37">
        <v>10</v>
      </c>
      <c r="C119" s="37" t="s">
        <v>35</v>
      </c>
      <c r="D119" s="80">
        <v>46322</v>
      </c>
      <c r="E119" s="103">
        <v>0.375</v>
      </c>
      <c r="F119" s="38" t="s">
        <v>2</v>
      </c>
      <c r="G119" s="38" t="s">
        <v>36</v>
      </c>
      <c r="H119" s="38" t="s">
        <v>11</v>
      </c>
    </row>
    <row r="120" spans="1:8" x14ac:dyDescent="0.3">
      <c r="A120" s="37">
        <f t="shared" si="1"/>
        <v>119</v>
      </c>
      <c r="B120" s="37">
        <v>11</v>
      </c>
      <c r="C120" s="37" t="s">
        <v>35</v>
      </c>
      <c r="D120" s="80">
        <v>46323</v>
      </c>
      <c r="E120" s="103">
        <v>0.375</v>
      </c>
      <c r="F120" s="38" t="s">
        <v>2</v>
      </c>
      <c r="G120" s="38" t="s">
        <v>36</v>
      </c>
      <c r="H120" s="38" t="s">
        <v>11</v>
      </c>
    </row>
    <row r="121" spans="1:8" x14ac:dyDescent="0.3">
      <c r="A121" s="48">
        <f t="shared" si="1"/>
        <v>120</v>
      </c>
      <c r="B121" s="48">
        <v>2</v>
      </c>
      <c r="C121" s="48" t="s">
        <v>105</v>
      </c>
      <c r="D121" s="81">
        <v>46256</v>
      </c>
      <c r="E121" s="104">
        <v>0.375</v>
      </c>
      <c r="F121" s="49" t="s">
        <v>2</v>
      </c>
      <c r="G121" s="10" t="s">
        <v>104</v>
      </c>
      <c r="H121" s="49" t="s">
        <v>11</v>
      </c>
    </row>
  </sheetData>
  <autoFilter ref="A1:H104" xr:uid="{00000000-0009-0000-0000-000000000000}">
    <sortState xmlns:xlrd2="http://schemas.microsoft.com/office/spreadsheetml/2017/richdata2" ref="A2:H104">
      <sortCondition ref="A1:A104"/>
    </sortState>
  </autoFilter>
  <phoneticPr fontId="2" type="noConversion"/>
  <pageMargins left="0.25" right="0.25" top="0.75" bottom="0.75" header="0.3" footer="0.3"/>
  <pageSetup paperSize="9" scale="42" orientation="landscape" r:id="rId1"/>
  <rowBreaks count="2" manualBreakCount="2">
    <brk id="44" max="16383" man="1"/>
    <brk id="54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71BD24-40DC-4066-8BBA-CF3C23365042}">
  <dimension ref="A1:L121"/>
  <sheetViews>
    <sheetView workbookViewId="0">
      <selection activeCell="G2" sqref="G2:G121"/>
    </sheetView>
  </sheetViews>
  <sheetFormatPr baseColWidth="10" defaultRowHeight="14.4" x14ac:dyDescent="0.3"/>
  <cols>
    <col min="1" max="1" width="11.5546875" style="105"/>
    <col min="2" max="2" width="11.44140625" style="102"/>
    <col min="3" max="3" width="11.44140625" style="36"/>
    <col min="4" max="4" width="8.33203125" style="36" bestFit="1" customWidth="1"/>
    <col min="5" max="5" width="21.6640625" style="36" bestFit="1" customWidth="1"/>
    <col min="6" max="6" width="32.109375" style="105" bestFit="1" customWidth="1"/>
    <col min="7" max="7" width="11.5546875" style="115"/>
    <col min="10" max="10" width="11.5546875" style="105"/>
  </cols>
  <sheetData>
    <row r="1" spans="1:12" x14ac:dyDescent="0.3">
      <c r="A1" s="105" t="s">
        <v>95</v>
      </c>
      <c r="B1" s="102" t="s">
        <v>96</v>
      </c>
      <c r="C1" s="36" t="s">
        <v>101</v>
      </c>
      <c r="D1" s="36" t="s">
        <v>100</v>
      </c>
      <c r="E1" s="36" t="s">
        <v>99</v>
      </c>
      <c r="F1" s="105" t="s">
        <v>103</v>
      </c>
      <c r="G1" s="115" t="s">
        <v>97</v>
      </c>
      <c r="H1" t="s">
        <v>98</v>
      </c>
      <c r="I1" t="s">
        <v>102</v>
      </c>
      <c r="J1" s="105" t="s">
        <v>106</v>
      </c>
      <c r="K1" s="105" t="s">
        <v>108</v>
      </c>
      <c r="L1" s="105" t="s">
        <v>144</v>
      </c>
    </row>
    <row r="2" spans="1:12" x14ac:dyDescent="0.3">
      <c r="B2" s="102">
        <f>'Nach Mannschaften sortiert'!D2</f>
        <v>46199</v>
      </c>
      <c r="C2" s="36">
        <f>'Nach Mannschaften sortiert'!E2</f>
        <v>0.66666666666666663</v>
      </c>
      <c r="D2" s="36">
        <f>IF(I2 = "KM",C2+"1:45",IF(I2="U23",C2+"1:45",IF(I2 = "U16",C2+"1:45",IF(I2 = "U15",C2+"1:30",IF(I2 = "U14",C2+"1:30",IF(I2 = "U13",C2+"1:35",IF(I2 = "U12",C2+"1:10",IF(I2 = "U11",C2+"1:10",IF(I2 = "U10",C2+"1:03",C2+"3:00")))))))))</f>
        <v>0.72916666666666663</v>
      </c>
      <c r="E2" s="36" t="str">
        <f>UPPER('Nach Mannschaften sortiert'!F2)</f>
        <v>WIMPASSING</v>
      </c>
      <c r="G2" s="115" t="str">
        <f>'Nach Mannschaften sortiert'!H2</f>
        <v>Heim</v>
      </c>
      <c r="H2" t="str">
        <f>'Nach Mannschaften sortiert'!G2</f>
        <v>SK Rapid Wien</v>
      </c>
      <c r="I2" t="str">
        <f>'Nach Mannschaften sortiert'!C2</f>
        <v>U15</v>
      </c>
      <c r="J2" s="105" t="s">
        <v>107</v>
      </c>
      <c r="K2" t="s">
        <v>109</v>
      </c>
      <c r="L2" t="s">
        <v>145</v>
      </c>
    </row>
    <row r="3" spans="1:12" x14ac:dyDescent="0.3">
      <c r="B3" s="102">
        <f>'Nach Mannschaften sortiert'!D3</f>
        <v>46199</v>
      </c>
      <c r="C3" s="36">
        <f>'Nach Mannschaften sortiert'!E3</f>
        <v>0.75</v>
      </c>
      <c r="D3" s="36">
        <f t="shared" ref="D3:D66" si="0">IF(I3 = "KM",C3+"1:45",IF(I3="U23",C3+"1:45",IF(I3 = "U16",C3+"1:45",IF(I3 = "U15",C3+"1:30",IF(I3 = "U14",C3+"1:30",IF(I3 = "U13",C3+"1:35",IF(I3 = "U12",C3+"1:10",IF(I3 = "U11",C3+"1:10",IF(I3 = "U10",C3+"1:03",C3+"3:00")))))))))</f>
        <v>0.82291666666666663</v>
      </c>
      <c r="E3" s="36" t="str">
        <f>UPPER('Nach Mannschaften sortiert'!F3)</f>
        <v>WIMPASSING</v>
      </c>
      <c r="G3" s="115" t="str">
        <f>'Nach Mannschaften sortiert'!H3</f>
        <v>Heim</v>
      </c>
      <c r="H3" t="str">
        <f>'Nach Mannschaften sortiert'!G3</f>
        <v>SK Rapid Wien</v>
      </c>
      <c r="I3" t="str">
        <f>'Nach Mannschaften sortiert'!C3</f>
        <v>U16</v>
      </c>
      <c r="J3" s="105" t="s">
        <v>107</v>
      </c>
      <c r="K3" t="s">
        <v>109</v>
      </c>
      <c r="L3" t="s">
        <v>145</v>
      </c>
    </row>
    <row r="4" spans="1:12" x14ac:dyDescent="0.3">
      <c r="B4" s="102">
        <f>'Nach Mannschaften sortiert'!D4</f>
        <v>46213</v>
      </c>
      <c r="C4" s="36">
        <f>'Nach Mannschaften sortiert'!E4</f>
        <v>0.79166666666666663</v>
      </c>
      <c r="D4" s="36">
        <f t="shared" si="0"/>
        <v>0.86458333333333326</v>
      </c>
      <c r="E4" s="36" t="str">
        <f>UPPER('Nach Mannschaften sortiert'!F4)</f>
        <v>NEUDÖRFL</v>
      </c>
      <c r="G4" s="115" t="str">
        <f>'Nach Mannschaften sortiert'!H4</f>
        <v>Auswärts</v>
      </c>
      <c r="H4" t="str">
        <f>'Nach Mannschaften sortiert'!G4</f>
        <v>Neudörfl</v>
      </c>
      <c r="I4" t="str">
        <f>'Nach Mannschaften sortiert'!C4</f>
        <v>KM</v>
      </c>
      <c r="J4" s="105" t="s">
        <v>107</v>
      </c>
      <c r="K4" t="s">
        <v>109</v>
      </c>
      <c r="L4" t="s">
        <v>145</v>
      </c>
    </row>
    <row r="5" spans="1:12" x14ac:dyDescent="0.3">
      <c r="B5" s="102">
        <f>'Nach Mannschaften sortiert'!D5</f>
        <v>46220</v>
      </c>
      <c r="C5" s="36">
        <f>'Nach Mannschaften sortiert'!E5</f>
        <v>0.79166666666666663</v>
      </c>
      <c r="D5" s="36">
        <f t="shared" si="0"/>
        <v>0.86458333333333326</v>
      </c>
      <c r="E5" s="36" t="str">
        <f>UPPER('Nach Mannschaften sortiert'!F5)</f>
        <v>ROHBACH</v>
      </c>
      <c r="G5" s="115" t="str">
        <f>'Nach Mannschaften sortiert'!H5</f>
        <v>Auswärts</v>
      </c>
      <c r="H5" t="str">
        <f>'Nach Mannschaften sortiert'!G5</f>
        <v>Rohrbach</v>
      </c>
      <c r="I5" t="str">
        <f>'Nach Mannschaften sortiert'!C5</f>
        <v>KM</v>
      </c>
      <c r="J5" s="105" t="s">
        <v>107</v>
      </c>
      <c r="K5" t="s">
        <v>109</v>
      </c>
      <c r="L5" t="s">
        <v>145</v>
      </c>
    </row>
    <row r="6" spans="1:12" x14ac:dyDescent="0.3">
      <c r="B6" s="102">
        <f>'Nach Mannschaften sortiert'!D6</f>
        <v>46235</v>
      </c>
      <c r="C6" s="36">
        <f>'Nach Mannschaften sortiert'!E6</f>
        <v>0.72916666666666663</v>
      </c>
      <c r="D6" s="36">
        <f t="shared" si="0"/>
        <v>0.80208333333333326</v>
      </c>
      <c r="E6" s="36" t="str">
        <f>UPPER('Nach Mannschaften sortiert'!F6)</f>
        <v>KITTSEE</v>
      </c>
      <c r="G6" s="115" t="str">
        <f>'Nach Mannschaften sortiert'!H6</f>
        <v>Auswärts</v>
      </c>
      <c r="H6" t="str">
        <f>'Nach Mannschaften sortiert'!G6</f>
        <v>Kittsee</v>
      </c>
      <c r="I6" t="str">
        <f>'Nach Mannschaften sortiert'!C6</f>
        <v>KM</v>
      </c>
      <c r="J6" s="105" t="s">
        <v>107</v>
      </c>
      <c r="K6" t="s">
        <v>109</v>
      </c>
      <c r="L6" t="s">
        <v>145</v>
      </c>
    </row>
    <row r="7" spans="1:12" x14ac:dyDescent="0.3">
      <c r="B7" s="102">
        <f>'Nach Mannschaften sortiert'!D7</f>
        <v>46241</v>
      </c>
      <c r="C7" s="36">
        <f>'Nach Mannschaften sortiert'!E7</f>
        <v>0.79166666666666663</v>
      </c>
      <c r="D7" s="36">
        <f t="shared" si="0"/>
        <v>0.86458333333333326</v>
      </c>
      <c r="E7" s="36" t="str">
        <f>UPPER('Nach Mannschaften sortiert'!F7)</f>
        <v>NEUFELD</v>
      </c>
      <c r="G7" s="115" t="str">
        <f>'Nach Mannschaften sortiert'!H7</f>
        <v>Heim</v>
      </c>
      <c r="H7" t="str">
        <f>'Nach Mannschaften sortiert'!G7</f>
        <v>Bad Fischau</v>
      </c>
      <c r="I7" t="str">
        <f>'Nach Mannschaften sortiert'!C7</f>
        <v>KM</v>
      </c>
      <c r="J7" s="105" t="s">
        <v>107</v>
      </c>
      <c r="K7" t="s">
        <v>109</v>
      </c>
      <c r="L7" t="s">
        <v>145</v>
      </c>
    </row>
    <row r="8" spans="1:12" x14ac:dyDescent="0.3">
      <c r="B8" s="102">
        <f>'Nach Mannschaften sortiert'!D8</f>
        <v>46243</v>
      </c>
      <c r="C8" s="36">
        <f>'Nach Mannschaften sortiert'!E8</f>
        <v>0.45833333333333331</v>
      </c>
      <c r="D8" s="36">
        <f t="shared" si="0"/>
        <v>0.53125</v>
      </c>
      <c r="E8" s="36" t="str">
        <f>UPPER('Nach Mannschaften sortiert'!F8)</f>
        <v>WIENER NEUDORF</v>
      </c>
      <c r="G8" s="115" t="str">
        <f>'Nach Mannschaften sortiert'!H8</f>
        <v>Auswärts</v>
      </c>
      <c r="H8" t="str">
        <f>'Nach Mannschaften sortiert'!G8</f>
        <v>Wiener Neudorf</v>
      </c>
      <c r="I8" t="str">
        <f>'Nach Mannschaften sortiert'!C8</f>
        <v>U16</v>
      </c>
      <c r="J8" s="105" t="s">
        <v>107</v>
      </c>
      <c r="K8" t="s">
        <v>109</v>
      </c>
      <c r="L8" t="s">
        <v>145</v>
      </c>
    </row>
    <row r="9" spans="1:12" x14ac:dyDescent="0.3">
      <c r="B9" s="102">
        <f>'Nach Mannschaften sortiert'!D9</f>
        <v>46249</v>
      </c>
      <c r="C9" s="36">
        <f>'Nach Mannschaften sortiert'!E9</f>
        <v>0.72916666666666663</v>
      </c>
      <c r="D9" s="36">
        <f t="shared" si="0"/>
        <v>0.80208333333333326</v>
      </c>
      <c r="E9" s="36" t="str">
        <f>UPPER('Nach Mannschaften sortiert'!F9)</f>
        <v>KITTSEE</v>
      </c>
      <c r="G9" s="115" t="str">
        <f>'Nach Mannschaften sortiert'!H9</f>
        <v>Auswärts</v>
      </c>
      <c r="H9" t="str">
        <f>'Nach Mannschaften sortiert'!G9</f>
        <v>Kittsee</v>
      </c>
      <c r="I9" t="str">
        <f>'Nach Mannschaften sortiert'!C9</f>
        <v>KM</v>
      </c>
      <c r="J9" s="105" t="s">
        <v>107</v>
      </c>
      <c r="K9" t="s">
        <v>109</v>
      </c>
      <c r="L9" t="s">
        <v>145</v>
      </c>
    </row>
    <row r="10" spans="1:12" x14ac:dyDescent="0.3">
      <c r="B10" s="102">
        <f>'Nach Mannschaften sortiert'!D10</f>
        <v>46256</v>
      </c>
      <c r="C10" s="36">
        <f>'Nach Mannschaften sortiert'!E10</f>
        <v>0.70833333333333337</v>
      </c>
      <c r="D10" s="36">
        <f t="shared" si="0"/>
        <v>0.78125</v>
      </c>
      <c r="E10" s="36" t="str">
        <f>UPPER('Nach Mannschaften sortiert'!F10)</f>
        <v>DEUTSCH JAHRNDORF</v>
      </c>
      <c r="G10" s="115" t="str">
        <f>'Nach Mannschaften sortiert'!H10</f>
        <v>Auswärts</v>
      </c>
      <c r="H10" t="str">
        <f>'Nach Mannschaften sortiert'!G10</f>
        <v>Deutsch Jahrndorf</v>
      </c>
      <c r="I10" t="str">
        <f>'Nach Mannschaften sortiert'!C10</f>
        <v>KM</v>
      </c>
      <c r="J10" s="105" t="s">
        <v>107</v>
      </c>
      <c r="K10" t="s">
        <v>109</v>
      </c>
      <c r="L10" t="s">
        <v>145</v>
      </c>
    </row>
    <row r="11" spans="1:12" x14ac:dyDescent="0.3">
      <c r="B11" s="102">
        <f>'Nach Mannschaften sortiert'!D11</f>
        <v>46263</v>
      </c>
      <c r="C11" s="36">
        <f>'Nach Mannschaften sortiert'!E11</f>
        <v>0.70833333333333337</v>
      </c>
      <c r="D11" s="36">
        <f t="shared" si="0"/>
        <v>0.78125</v>
      </c>
      <c r="E11" s="36" t="str">
        <f>UPPER('Nach Mannschaften sortiert'!F11)</f>
        <v>NEUFELD</v>
      </c>
      <c r="G11" s="115" t="str">
        <f>'Nach Mannschaften sortiert'!H11</f>
        <v>Heim</v>
      </c>
      <c r="H11" t="str">
        <f>'Nach Mannschaften sortiert'!G11</f>
        <v>Tadten</v>
      </c>
      <c r="I11" t="str">
        <f>'Nach Mannschaften sortiert'!C11</f>
        <v>KM</v>
      </c>
      <c r="J11" s="105" t="s">
        <v>107</v>
      </c>
      <c r="K11" t="s">
        <v>109</v>
      </c>
      <c r="L11" t="s">
        <v>145</v>
      </c>
    </row>
    <row r="12" spans="1:12" x14ac:dyDescent="0.3">
      <c r="B12" s="102">
        <f>'Nach Mannschaften sortiert'!D12</f>
        <v>46270</v>
      </c>
      <c r="C12" s="36">
        <f>'Nach Mannschaften sortiert'!E12</f>
        <v>0.6875</v>
      </c>
      <c r="D12" s="36">
        <f t="shared" si="0"/>
        <v>0.76041666666666663</v>
      </c>
      <c r="E12" s="36" t="str">
        <f>UPPER('Nach Mannschaften sortiert'!F12)</f>
        <v>MÖNCHHOF</v>
      </c>
      <c r="G12" s="115" t="str">
        <f>'Nach Mannschaften sortiert'!H12</f>
        <v>Auswärts</v>
      </c>
      <c r="H12" t="str">
        <f>'Nach Mannschaften sortiert'!G12</f>
        <v>Mönchhof</v>
      </c>
      <c r="I12" t="str">
        <f>'Nach Mannschaften sortiert'!C12</f>
        <v>KM</v>
      </c>
      <c r="J12" s="105" t="s">
        <v>107</v>
      </c>
      <c r="K12" t="s">
        <v>109</v>
      </c>
      <c r="L12" t="s">
        <v>145</v>
      </c>
    </row>
    <row r="13" spans="1:12" x14ac:dyDescent="0.3">
      <c r="B13" s="102">
        <f>'Nach Mannschaften sortiert'!D13</f>
        <v>46277</v>
      </c>
      <c r="C13" s="36">
        <f>'Nach Mannschaften sortiert'!E13</f>
        <v>0.6875</v>
      </c>
      <c r="D13" s="36">
        <f t="shared" si="0"/>
        <v>0.76041666666666663</v>
      </c>
      <c r="E13" s="36" t="str">
        <f>UPPER('Nach Mannschaften sortiert'!F13)</f>
        <v>NEUFELD</v>
      </c>
      <c r="G13" s="115" t="str">
        <f>'Nach Mannschaften sortiert'!H13</f>
        <v>Heim</v>
      </c>
      <c r="H13" t="str">
        <f>'Nach Mannschaften sortiert'!G13</f>
        <v>Winden</v>
      </c>
      <c r="I13" t="str">
        <f>'Nach Mannschaften sortiert'!C13</f>
        <v>KM</v>
      </c>
      <c r="J13" s="105" t="s">
        <v>107</v>
      </c>
      <c r="K13" t="s">
        <v>109</v>
      </c>
      <c r="L13" t="s">
        <v>145</v>
      </c>
    </row>
    <row r="14" spans="1:12" x14ac:dyDescent="0.3">
      <c r="B14" s="102">
        <f>'Nach Mannschaften sortiert'!D14</f>
        <v>46284</v>
      </c>
      <c r="C14" s="36">
        <f>'Nach Mannschaften sortiert'!E14</f>
        <v>0.66666666666666663</v>
      </c>
      <c r="D14" s="36">
        <f t="shared" si="0"/>
        <v>0.73958333333333326</v>
      </c>
      <c r="E14" s="36" t="str">
        <f>UPPER('Nach Mannschaften sortiert'!F14)</f>
        <v>GATTENDORF</v>
      </c>
      <c r="G14" s="115" t="str">
        <f>'Nach Mannschaften sortiert'!H14</f>
        <v>Auswärts</v>
      </c>
      <c r="H14" t="str">
        <f>'Nach Mannschaften sortiert'!G14</f>
        <v>Gattendorf</v>
      </c>
      <c r="I14" t="str">
        <f>'Nach Mannschaften sortiert'!C14</f>
        <v>KM</v>
      </c>
      <c r="J14" s="105" t="s">
        <v>107</v>
      </c>
      <c r="K14" t="s">
        <v>109</v>
      </c>
      <c r="L14" t="s">
        <v>145</v>
      </c>
    </row>
    <row r="15" spans="1:12" x14ac:dyDescent="0.3">
      <c r="B15" s="102">
        <f>'Nach Mannschaften sortiert'!D15</f>
        <v>46291</v>
      </c>
      <c r="C15" s="36">
        <f>'Nach Mannschaften sortiert'!E15</f>
        <v>0.66666666666666663</v>
      </c>
      <c r="D15" s="36">
        <f t="shared" si="0"/>
        <v>0.73958333333333326</v>
      </c>
      <c r="E15" s="36" t="str">
        <f>UPPER('Nach Mannschaften sortiert'!F15)</f>
        <v>NEUFELD</v>
      </c>
      <c r="G15" s="115" t="str">
        <f>'Nach Mannschaften sortiert'!H15</f>
        <v>Heim</v>
      </c>
      <c r="H15" t="str">
        <f>'Nach Mannschaften sortiert'!G15</f>
        <v>Wallern</v>
      </c>
      <c r="I15" t="str">
        <f>'Nach Mannschaften sortiert'!C15</f>
        <v>KM</v>
      </c>
      <c r="J15" s="105" t="s">
        <v>107</v>
      </c>
      <c r="K15" t="s">
        <v>109</v>
      </c>
      <c r="L15" t="s">
        <v>145</v>
      </c>
    </row>
    <row r="16" spans="1:12" x14ac:dyDescent="0.3">
      <c r="B16" s="102">
        <f>'Nach Mannschaften sortiert'!D16</f>
        <v>46297</v>
      </c>
      <c r="C16" s="36">
        <f>'Nach Mannschaften sortiert'!E16</f>
        <v>0.79166666666666663</v>
      </c>
      <c r="D16" s="36">
        <f t="shared" si="0"/>
        <v>0.86458333333333326</v>
      </c>
      <c r="E16" s="36" t="str">
        <f>UPPER('Nach Mannschaften sortiert'!F16)</f>
        <v>SIEGENDORF</v>
      </c>
      <c r="G16" s="115" t="str">
        <f>'Nach Mannschaften sortiert'!H16</f>
        <v>Auswärts</v>
      </c>
      <c r="H16" t="str">
        <f>'Nach Mannschaften sortiert'!G16</f>
        <v>Siegendorf</v>
      </c>
      <c r="I16" t="str">
        <f>'Nach Mannschaften sortiert'!C16</f>
        <v>KM</v>
      </c>
      <c r="J16" s="105" t="s">
        <v>107</v>
      </c>
      <c r="K16" t="s">
        <v>109</v>
      </c>
      <c r="L16" t="s">
        <v>145</v>
      </c>
    </row>
    <row r="17" spans="2:12" x14ac:dyDescent="0.3">
      <c r="B17" s="102">
        <f>'Nach Mannschaften sortiert'!D17</f>
        <v>46305</v>
      </c>
      <c r="C17" s="36">
        <f>'Nach Mannschaften sortiert'!E17</f>
        <v>0.64583333333333337</v>
      </c>
      <c r="D17" s="36">
        <f t="shared" si="0"/>
        <v>0.71875</v>
      </c>
      <c r="E17" s="36" t="str">
        <f>UPPER('Nach Mannschaften sortiert'!F17)</f>
        <v>NEUFELD</v>
      </c>
      <c r="G17" s="115" t="str">
        <f>'Nach Mannschaften sortiert'!H17</f>
        <v>Heim</v>
      </c>
      <c r="H17" t="str">
        <f>'Nach Mannschaften sortiert'!G17</f>
        <v>Wimpassing</v>
      </c>
      <c r="I17" t="str">
        <f>'Nach Mannschaften sortiert'!C17</f>
        <v>KM</v>
      </c>
      <c r="J17" s="105" t="s">
        <v>107</v>
      </c>
      <c r="K17" t="s">
        <v>109</v>
      </c>
      <c r="L17" t="s">
        <v>145</v>
      </c>
    </row>
    <row r="18" spans="2:12" x14ac:dyDescent="0.3">
      <c r="B18" s="102">
        <f>'Nach Mannschaften sortiert'!D18</f>
        <v>46312</v>
      </c>
      <c r="C18" s="36">
        <f>'Nach Mannschaften sortiert'!E18</f>
        <v>0.64583333333333337</v>
      </c>
      <c r="D18" s="36">
        <f t="shared" si="0"/>
        <v>0.71875</v>
      </c>
      <c r="E18" s="36" t="str">
        <f>UPPER('Nach Mannschaften sortiert'!F18)</f>
        <v>HORNSTEIN</v>
      </c>
      <c r="G18" s="115" t="str">
        <f>'Nach Mannschaften sortiert'!H18</f>
        <v>Auswärts</v>
      </c>
      <c r="H18" t="str">
        <f>'Nach Mannschaften sortiert'!G18</f>
        <v>Hornstein</v>
      </c>
      <c r="I18" t="str">
        <f>'Nach Mannschaften sortiert'!C18</f>
        <v>KM</v>
      </c>
      <c r="J18" s="105" t="s">
        <v>107</v>
      </c>
      <c r="K18" t="s">
        <v>109</v>
      </c>
      <c r="L18" t="s">
        <v>145</v>
      </c>
    </row>
    <row r="19" spans="2:12" x14ac:dyDescent="0.3">
      <c r="B19" s="102">
        <f>'Nach Mannschaften sortiert'!D19</f>
        <v>46319</v>
      </c>
      <c r="C19" s="36">
        <f>'Nach Mannschaften sortiert'!E19</f>
        <v>0.625</v>
      </c>
      <c r="D19" s="36">
        <f t="shared" si="0"/>
        <v>0.69791666666666663</v>
      </c>
      <c r="E19" s="36" t="str">
        <f>UPPER('Nach Mannschaften sortiert'!F19)</f>
        <v>NEUFELD</v>
      </c>
      <c r="G19" s="115" t="str">
        <f>'Nach Mannschaften sortiert'!H19</f>
        <v>Heim</v>
      </c>
      <c r="H19" t="str">
        <f>'Nach Mannschaften sortiert'!G19</f>
        <v>Gols</v>
      </c>
      <c r="I19" t="str">
        <f>'Nach Mannschaften sortiert'!C19</f>
        <v>KM</v>
      </c>
      <c r="J19" s="105" t="s">
        <v>107</v>
      </c>
      <c r="K19" t="s">
        <v>109</v>
      </c>
      <c r="L19" t="s">
        <v>145</v>
      </c>
    </row>
    <row r="20" spans="2:12" x14ac:dyDescent="0.3">
      <c r="B20" s="102">
        <f>'Nach Mannschaften sortiert'!D20</f>
        <v>46326</v>
      </c>
      <c r="C20" s="36">
        <f>'Nach Mannschaften sortiert'!E20</f>
        <v>0.58333333333333337</v>
      </c>
      <c r="D20" s="36">
        <f t="shared" si="0"/>
        <v>0.65625</v>
      </c>
      <c r="E20" s="36" t="str">
        <f>UPPER('Nach Mannschaften sortiert'!F20)</f>
        <v>ILLMITZ</v>
      </c>
      <c r="G20" s="115" t="str">
        <f>'Nach Mannschaften sortiert'!H20</f>
        <v>Auswärts</v>
      </c>
      <c r="H20" t="str">
        <f>'Nach Mannschaften sortiert'!G20</f>
        <v>Illmitz</v>
      </c>
      <c r="I20" t="str">
        <f>'Nach Mannschaften sortiert'!C20</f>
        <v>KM</v>
      </c>
      <c r="J20" s="105" t="s">
        <v>107</v>
      </c>
      <c r="K20" t="s">
        <v>109</v>
      </c>
      <c r="L20" t="s">
        <v>145</v>
      </c>
    </row>
    <row r="21" spans="2:12" x14ac:dyDescent="0.3">
      <c r="B21" s="102">
        <f>'Nach Mannschaften sortiert'!D21</f>
        <v>46333</v>
      </c>
      <c r="C21" s="36">
        <f>'Nach Mannschaften sortiert'!E21</f>
        <v>0.58333333333333337</v>
      </c>
      <c r="D21" s="36">
        <f t="shared" si="0"/>
        <v>0.65625</v>
      </c>
      <c r="E21" s="36" t="str">
        <f>UPPER('Nach Mannschaften sortiert'!F21)</f>
        <v>NEUFELD</v>
      </c>
      <c r="G21" s="115" t="str">
        <f>'Nach Mannschaften sortiert'!H21</f>
        <v>Heim</v>
      </c>
      <c r="H21" t="str">
        <f>'Nach Mannschaften sortiert'!G21</f>
        <v>Andau</v>
      </c>
      <c r="I21" t="str">
        <f>'Nach Mannschaften sortiert'!C21</f>
        <v>KM</v>
      </c>
      <c r="J21" s="105" t="s">
        <v>107</v>
      </c>
      <c r="K21" t="s">
        <v>109</v>
      </c>
      <c r="L21" t="s">
        <v>145</v>
      </c>
    </row>
    <row r="22" spans="2:12" x14ac:dyDescent="0.3">
      <c r="B22" s="102">
        <f>'Nach Mannschaften sortiert'!D22</f>
        <v>46249</v>
      </c>
      <c r="C22" s="36">
        <f>'Nach Mannschaften sortiert'!E22</f>
        <v>0.64583333333333337</v>
      </c>
      <c r="D22" s="36">
        <f t="shared" si="0"/>
        <v>0.71875</v>
      </c>
      <c r="E22" s="36" t="str">
        <f>UPPER('Nach Mannschaften sortiert'!F22)</f>
        <v>KITTSEE</v>
      </c>
      <c r="G22" s="115" t="str">
        <f>'Nach Mannschaften sortiert'!H22</f>
        <v>Auswärts</v>
      </c>
      <c r="H22" t="str">
        <f>'Nach Mannschaften sortiert'!G22</f>
        <v>Kittsee</v>
      </c>
      <c r="I22" t="str">
        <f>'Nach Mannschaften sortiert'!C22</f>
        <v>U23</v>
      </c>
      <c r="J22" s="105" t="s">
        <v>107</v>
      </c>
      <c r="K22" t="s">
        <v>109</v>
      </c>
      <c r="L22" t="s">
        <v>145</v>
      </c>
    </row>
    <row r="23" spans="2:12" x14ac:dyDescent="0.3">
      <c r="B23" s="102">
        <f>'Nach Mannschaften sortiert'!D23</f>
        <v>46256</v>
      </c>
      <c r="C23" s="36">
        <f>'Nach Mannschaften sortiert'!E23</f>
        <v>0.625</v>
      </c>
      <c r="D23" s="36">
        <f t="shared" si="0"/>
        <v>0.69791666666666663</v>
      </c>
      <c r="E23" s="36" t="str">
        <f>UPPER('Nach Mannschaften sortiert'!F23)</f>
        <v>DEUTSCH JAHRNDORF</v>
      </c>
      <c r="G23" s="115" t="str">
        <f>'Nach Mannschaften sortiert'!H23</f>
        <v>Auswärts</v>
      </c>
      <c r="H23" t="str">
        <f>'Nach Mannschaften sortiert'!G23</f>
        <v>Deutsch Jahrndorf</v>
      </c>
      <c r="I23" t="str">
        <f>'Nach Mannschaften sortiert'!C23</f>
        <v>U23</v>
      </c>
      <c r="J23" s="105" t="s">
        <v>107</v>
      </c>
      <c r="K23" t="s">
        <v>109</v>
      </c>
      <c r="L23" t="s">
        <v>145</v>
      </c>
    </row>
    <row r="24" spans="2:12" x14ac:dyDescent="0.3">
      <c r="B24" s="102">
        <f>'Nach Mannschaften sortiert'!D24</f>
        <v>46263</v>
      </c>
      <c r="C24" s="36">
        <f>'Nach Mannschaften sortiert'!E24</f>
        <v>0.625</v>
      </c>
      <c r="D24" s="36">
        <f t="shared" si="0"/>
        <v>0.69791666666666663</v>
      </c>
      <c r="E24" s="36" t="str">
        <f>UPPER('Nach Mannschaften sortiert'!F24)</f>
        <v>NEUFELD</v>
      </c>
      <c r="G24" s="115" t="str">
        <f>'Nach Mannschaften sortiert'!H24</f>
        <v>Heim</v>
      </c>
      <c r="H24" t="str">
        <f>'Nach Mannschaften sortiert'!G24</f>
        <v>Tadten</v>
      </c>
      <c r="I24" t="str">
        <f>'Nach Mannschaften sortiert'!C24</f>
        <v>U23</v>
      </c>
      <c r="J24" s="105" t="s">
        <v>107</v>
      </c>
      <c r="K24" t="s">
        <v>109</v>
      </c>
      <c r="L24" t="s">
        <v>145</v>
      </c>
    </row>
    <row r="25" spans="2:12" x14ac:dyDescent="0.3">
      <c r="B25" s="102">
        <f>'Nach Mannschaften sortiert'!D25</f>
        <v>46270</v>
      </c>
      <c r="C25" s="36">
        <f>'Nach Mannschaften sortiert'!E25</f>
        <v>0.60416666666666663</v>
      </c>
      <c r="D25" s="36">
        <f t="shared" si="0"/>
        <v>0.67708333333333326</v>
      </c>
      <c r="E25" s="36" t="str">
        <f>UPPER('Nach Mannschaften sortiert'!F25)</f>
        <v>MÖNCHHOF</v>
      </c>
      <c r="G25" s="115" t="str">
        <f>'Nach Mannschaften sortiert'!H25</f>
        <v>Auswärts</v>
      </c>
      <c r="H25" t="str">
        <f>'Nach Mannschaften sortiert'!G25</f>
        <v>Mönchhof</v>
      </c>
      <c r="I25" t="str">
        <f>'Nach Mannschaften sortiert'!C25</f>
        <v>U23</v>
      </c>
      <c r="J25" s="105" t="s">
        <v>107</v>
      </c>
      <c r="K25" t="s">
        <v>109</v>
      </c>
      <c r="L25" t="s">
        <v>145</v>
      </c>
    </row>
    <row r="26" spans="2:12" x14ac:dyDescent="0.3">
      <c r="B26" s="102">
        <f>'Nach Mannschaften sortiert'!D26</f>
        <v>46277</v>
      </c>
      <c r="C26" s="36">
        <f>'Nach Mannschaften sortiert'!E26</f>
        <v>0.60416666666666663</v>
      </c>
      <c r="D26" s="36">
        <f t="shared" si="0"/>
        <v>0.67708333333333326</v>
      </c>
      <c r="E26" s="36" t="str">
        <f>UPPER('Nach Mannschaften sortiert'!F26)</f>
        <v>NEUFELD</v>
      </c>
      <c r="G26" s="115" t="str">
        <f>'Nach Mannschaften sortiert'!H26</f>
        <v>Heim</v>
      </c>
      <c r="H26" t="str">
        <f>'Nach Mannschaften sortiert'!G26</f>
        <v>Winden</v>
      </c>
      <c r="I26" t="str">
        <f>'Nach Mannschaften sortiert'!C26</f>
        <v>U23</v>
      </c>
      <c r="J26" s="105" t="s">
        <v>107</v>
      </c>
      <c r="K26" t="s">
        <v>109</v>
      </c>
      <c r="L26" t="s">
        <v>145</v>
      </c>
    </row>
    <row r="27" spans="2:12" x14ac:dyDescent="0.3">
      <c r="B27" s="102">
        <f>'Nach Mannschaften sortiert'!D27</f>
        <v>46284</v>
      </c>
      <c r="C27" s="36">
        <f>'Nach Mannschaften sortiert'!E27</f>
        <v>0.58333333333333337</v>
      </c>
      <c r="D27" s="36">
        <f t="shared" si="0"/>
        <v>0.65625</v>
      </c>
      <c r="E27" s="36" t="str">
        <f>UPPER('Nach Mannschaften sortiert'!F27)</f>
        <v>GATTENDORF</v>
      </c>
      <c r="G27" s="115" t="str">
        <f>'Nach Mannschaften sortiert'!H27</f>
        <v>Auswärts</v>
      </c>
      <c r="H27" t="str">
        <f>'Nach Mannschaften sortiert'!G27</f>
        <v>Gattendorf</v>
      </c>
      <c r="I27" t="str">
        <f>'Nach Mannschaften sortiert'!C27</f>
        <v>U23</v>
      </c>
      <c r="J27" s="105" t="s">
        <v>107</v>
      </c>
      <c r="K27" t="s">
        <v>109</v>
      </c>
      <c r="L27" t="s">
        <v>145</v>
      </c>
    </row>
    <row r="28" spans="2:12" x14ac:dyDescent="0.3">
      <c r="B28" s="102">
        <f>'Nach Mannschaften sortiert'!D28</f>
        <v>46291</v>
      </c>
      <c r="C28" s="36">
        <f>'Nach Mannschaften sortiert'!E28</f>
        <v>0.58333333333333337</v>
      </c>
      <c r="D28" s="36">
        <f t="shared" si="0"/>
        <v>0.65625</v>
      </c>
      <c r="E28" s="36" t="str">
        <f>UPPER('Nach Mannschaften sortiert'!F28)</f>
        <v>NEUFELD</v>
      </c>
      <c r="G28" s="115" t="str">
        <f>'Nach Mannschaften sortiert'!H28</f>
        <v>Heim</v>
      </c>
      <c r="H28" t="str">
        <f>'Nach Mannschaften sortiert'!G28</f>
        <v>Wallern</v>
      </c>
      <c r="I28" t="str">
        <f>'Nach Mannschaften sortiert'!C28</f>
        <v>U23</v>
      </c>
      <c r="J28" s="105" t="s">
        <v>107</v>
      </c>
      <c r="K28" t="s">
        <v>109</v>
      </c>
      <c r="L28" t="s">
        <v>145</v>
      </c>
    </row>
    <row r="29" spans="2:12" x14ac:dyDescent="0.3">
      <c r="B29" s="102">
        <f>'Nach Mannschaften sortiert'!D29</f>
        <v>46298</v>
      </c>
      <c r="C29" s="36">
        <f>'Nach Mannschaften sortiert'!E29</f>
        <v>0.70833333333333337</v>
      </c>
      <c r="D29" s="36">
        <f t="shared" si="0"/>
        <v>0.78125</v>
      </c>
      <c r="E29" s="36" t="str">
        <f>UPPER('Nach Mannschaften sortiert'!F29)</f>
        <v>SIEGENDORF</v>
      </c>
      <c r="G29" s="115" t="str">
        <f>'Nach Mannschaften sortiert'!H29</f>
        <v>Auswärts</v>
      </c>
      <c r="H29" t="str">
        <f>'Nach Mannschaften sortiert'!G29</f>
        <v>Siegendorf</v>
      </c>
      <c r="I29" t="str">
        <f>'Nach Mannschaften sortiert'!C29</f>
        <v>U23</v>
      </c>
      <c r="J29" s="105" t="s">
        <v>107</v>
      </c>
      <c r="K29" t="s">
        <v>109</v>
      </c>
      <c r="L29" t="s">
        <v>145</v>
      </c>
    </row>
    <row r="30" spans="2:12" x14ac:dyDescent="0.3">
      <c r="B30" s="102">
        <f>'Nach Mannschaften sortiert'!D30</f>
        <v>46305</v>
      </c>
      <c r="C30" s="36">
        <f>'Nach Mannschaften sortiert'!E30</f>
        <v>0.5625</v>
      </c>
      <c r="D30" s="36">
        <f t="shared" si="0"/>
        <v>0.63541666666666663</v>
      </c>
      <c r="E30" s="36" t="str">
        <f>UPPER('Nach Mannschaften sortiert'!F30)</f>
        <v>NEUFELD</v>
      </c>
      <c r="G30" s="115" t="str">
        <f>'Nach Mannschaften sortiert'!H30</f>
        <v>Heim</v>
      </c>
      <c r="H30" t="str">
        <f>'Nach Mannschaften sortiert'!G30</f>
        <v>Wimpassing</v>
      </c>
      <c r="I30" t="str">
        <f>'Nach Mannschaften sortiert'!C30</f>
        <v>U23</v>
      </c>
      <c r="J30" s="105" t="s">
        <v>107</v>
      </c>
      <c r="K30" t="s">
        <v>109</v>
      </c>
      <c r="L30" t="s">
        <v>145</v>
      </c>
    </row>
    <row r="31" spans="2:12" x14ac:dyDescent="0.3">
      <c r="B31" s="102">
        <f>'Nach Mannschaften sortiert'!D31</f>
        <v>46312</v>
      </c>
      <c r="C31" s="36">
        <f>'Nach Mannschaften sortiert'!E31</f>
        <v>0.5625</v>
      </c>
      <c r="D31" s="36">
        <f t="shared" si="0"/>
        <v>0.63541666666666663</v>
      </c>
      <c r="E31" s="36" t="str">
        <f>UPPER('Nach Mannschaften sortiert'!F31)</f>
        <v>HORNSTEIN</v>
      </c>
      <c r="G31" s="115" t="str">
        <f>'Nach Mannschaften sortiert'!H31</f>
        <v>Auswärts</v>
      </c>
      <c r="H31" t="str">
        <f>'Nach Mannschaften sortiert'!G31</f>
        <v>Hornstein</v>
      </c>
      <c r="I31" t="str">
        <f>'Nach Mannschaften sortiert'!C31</f>
        <v>U23</v>
      </c>
      <c r="J31" s="105" t="s">
        <v>107</v>
      </c>
      <c r="K31" t="s">
        <v>109</v>
      </c>
      <c r="L31" t="s">
        <v>145</v>
      </c>
    </row>
    <row r="32" spans="2:12" x14ac:dyDescent="0.3">
      <c r="B32" s="102">
        <f>'Nach Mannschaften sortiert'!D32</f>
        <v>46319</v>
      </c>
      <c r="C32" s="36">
        <f>'Nach Mannschaften sortiert'!E32</f>
        <v>0.54166666666666663</v>
      </c>
      <c r="D32" s="36">
        <f t="shared" si="0"/>
        <v>0.61458333333333326</v>
      </c>
      <c r="E32" s="36" t="str">
        <f>UPPER('Nach Mannschaften sortiert'!F32)</f>
        <v>NEUFELD</v>
      </c>
      <c r="G32" s="115" t="str">
        <f>'Nach Mannschaften sortiert'!H32</f>
        <v>Heim</v>
      </c>
      <c r="H32" t="str">
        <f>'Nach Mannschaften sortiert'!G32</f>
        <v>Gols</v>
      </c>
      <c r="I32" t="str">
        <f>'Nach Mannschaften sortiert'!C32</f>
        <v>U23</v>
      </c>
      <c r="J32" s="105" t="s">
        <v>107</v>
      </c>
      <c r="K32" t="s">
        <v>109</v>
      </c>
      <c r="L32" t="s">
        <v>145</v>
      </c>
    </row>
    <row r="33" spans="2:12" x14ac:dyDescent="0.3">
      <c r="B33" s="102">
        <f>'Nach Mannschaften sortiert'!D33</f>
        <v>46326</v>
      </c>
      <c r="C33" s="36">
        <f>'Nach Mannschaften sortiert'!E33</f>
        <v>0.5</v>
      </c>
      <c r="D33" s="36">
        <f t="shared" si="0"/>
        <v>0.57291666666666663</v>
      </c>
      <c r="E33" s="36" t="str">
        <f>UPPER('Nach Mannschaften sortiert'!F33)</f>
        <v>ILLMITZ</v>
      </c>
      <c r="G33" s="115" t="str">
        <f>'Nach Mannschaften sortiert'!H33</f>
        <v>Auswärts</v>
      </c>
      <c r="H33" t="str">
        <f>'Nach Mannschaften sortiert'!G33</f>
        <v>Illmitz</v>
      </c>
      <c r="I33" t="str">
        <f>'Nach Mannschaften sortiert'!C33</f>
        <v>U23</v>
      </c>
      <c r="J33" s="105" t="s">
        <v>107</v>
      </c>
      <c r="K33" t="s">
        <v>109</v>
      </c>
      <c r="L33" t="s">
        <v>145</v>
      </c>
    </row>
    <row r="34" spans="2:12" x14ac:dyDescent="0.3">
      <c r="B34" s="102">
        <f>'Nach Mannschaften sortiert'!D34</f>
        <v>46333</v>
      </c>
      <c r="C34" s="36">
        <f>'Nach Mannschaften sortiert'!E34</f>
        <v>0.5</v>
      </c>
      <c r="D34" s="36">
        <f t="shared" si="0"/>
        <v>0.57291666666666663</v>
      </c>
      <c r="E34" s="36" t="str">
        <f>UPPER('Nach Mannschaften sortiert'!F34)</f>
        <v>NEUFELD</v>
      </c>
      <c r="G34" s="115" t="str">
        <f>'Nach Mannschaften sortiert'!H34</f>
        <v>Heim</v>
      </c>
      <c r="H34" t="str">
        <f>'Nach Mannschaften sortiert'!G34</f>
        <v>Andau</v>
      </c>
      <c r="I34" t="str">
        <f>'Nach Mannschaften sortiert'!C34</f>
        <v>U23</v>
      </c>
      <c r="J34" s="105" t="s">
        <v>107</v>
      </c>
      <c r="K34" t="s">
        <v>109</v>
      </c>
      <c r="L34" t="s">
        <v>145</v>
      </c>
    </row>
    <row r="35" spans="2:12" x14ac:dyDescent="0.3">
      <c r="B35" s="102">
        <f>'Nach Mannschaften sortiert'!D35</f>
        <v>46023</v>
      </c>
      <c r="C35" s="36">
        <f>'Nach Mannschaften sortiert'!E35</f>
        <v>0</v>
      </c>
      <c r="D35" s="36">
        <f t="shared" si="0"/>
        <v>7.2916666666666671E-2</v>
      </c>
      <c r="E35" s="36" t="str">
        <f>UPPER('Nach Mannschaften sortiert'!F35)</f>
        <v/>
      </c>
      <c r="G35" s="115">
        <f>'Nach Mannschaften sortiert'!H35</f>
        <v>0</v>
      </c>
      <c r="H35">
        <f>'Nach Mannschaften sortiert'!G35</f>
        <v>0</v>
      </c>
      <c r="I35" t="str">
        <f>'Nach Mannschaften sortiert'!C35</f>
        <v>U16</v>
      </c>
      <c r="J35" s="105" t="s">
        <v>107</v>
      </c>
      <c r="K35" t="s">
        <v>109</v>
      </c>
      <c r="L35" t="s">
        <v>145</v>
      </c>
    </row>
    <row r="36" spans="2:12" x14ac:dyDescent="0.3">
      <c r="B36" s="102">
        <f>'Nach Mannschaften sortiert'!D36</f>
        <v>46024</v>
      </c>
      <c r="C36" s="36">
        <f>'Nach Mannschaften sortiert'!E36</f>
        <v>0</v>
      </c>
      <c r="D36" s="36">
        <f t="shared" si="0"/>
        <v>7.2916666666666671E-2</v>
      </c>
      <c r="E36" s="36" t="str">
        <f>UPPER('Nach Mannschaften sortiert'!F36)</f>
        <v/>
      </c>
      <c r="G36" s="115">
        <f>'Nach Mannschaften sortiert'!H36</f>
        <v>0</v>
      </c>
      <c r="H36">
        <f>'Nach Mannschaften sortiert'!G36</f>
        <v>0</v>
      </c>
      <c r="I36" t="str">
        <f>'Nach Mannschaften sortiert'!C36</f>
        <v>U16</v>
      </c>
      <c r="J36" s="105" t="s">
        <v>107</v>
      </c>
      <c r="K36" t="s">
        <v>109</v>
      </c>
      <c r="L36" t="s">
        <v>145</v>
      </c>
    </row>
    <row r="37" spans="2:12" x14ac:dyDescent="0.3">
      <c r="B37" s="102">
        <f>'Nach Mannschaften sortiert'!D37</f>
        <v>46025</v>
      </c>
      <c r="C37" s="36">
        <f>'Nach Mannschaften sortiert'!E37</f>
        <v>0</v>
      </c>
      <c r="D37" s="36">
        <f t="shared" si="0"/>
        <v>7.2916666666666671E-2</v>
      </c>
      <c r="E37" s="36" t="str">
        <f>UPPER('Nach Mannschaften sortiert'!F37)</f>
        <v/>
      </c>
      <c r="G37" s="115">
        <f>'Nach Mannschaften sortiert'!H37</f>
        <v>0</v>
      </c>
      <c r="H37">
        <f>'Nach Mannschaften sortiert'!G37</f>
        <v>0</v>
      </c>
      <c r="I37" t="str">
        <f>'Nach Mannschaften sortiert'!C37</f>
        <v>U16</v>
      </c>
      <c r="J37" s="105" t="s">
        <v>107</v>
      </c>
      <c r="K37" t="s">
        <v>109</v>
      </c>
      <c r="L37" t="s">
        <v>145</v>
      </c>
    </row>
    <row r="38" spans="2:12" x14ac:dyDescent="0.3">
      <c r="B38" s="102">
        <f>'Nach Mannschaften sortiert'!D38</f>
        <v>46026</v>
      </c>
      <c r="C38" s="36">
        <f>'Nach Mannschaften sortiert'!E38</f>
        <v>0</v>
      </c>
      <c r="D38" s="36">
        <f t="shared" si="0"/>
        <v>7.2916666666666671E-2</v>
      </c>
      <c r="E38" s="36" t="str">
        <f>UPPER('Nach Mannschaften sortiert'!F38)</f>
        <v/>
      </c>
      <c r="G38" s="115">
        <f>'Nach Mannschaften sortiert'!H38</f>
        <v>0</v>
      </c>
      <c r="H38">
        <f>'Nach Mannschaften sortiert'!G38</f>
        <v>0</v>
      </c>
      <c r="I38" t="str">
        <f>'Nach Mannschaften sortiert'!C38</f>
        <v>U16</v>
      </c>
      <c r="J38" s="105" t="s">
        <v>107</v>
      </c>
      <c r="K38" t="s">
        <v>109</v>
      </c>
      <c r="L38" t="s">
        <v>145</v>
      </c>
    </row>
    <row r="39" spans="2:12" x14ac:dyDescent="0.3">
      <c r="B39" s="102">
        <f>'Nach Mannschaften sortiert'!D39</f>
        <v>46027</v>
      </c>
      <c r="C39" s="36">
        <f>'Nach Mannschaften sortiert'!E39</f>
        <v>0</v>
      </c>
      <c r="D39" s="36">
        <f t="shared" si="0"/>
        <v>7.2916666666666671E-2</v>
      </c>
      <c r="E39" s="36" t="str">
        <f>UPPER('Nach Mannschaften sortiert'!F39)</f>
        <v/>
      </c>
      <c r="G39" s="115">
        <f>'Nach Mannschaften sortiert'!H39</f>
        <v>0</v>
      </c>
      <c r="H39">
        <f>'Nach Mannschaften sortiert'!G39</f>
        <v>0</v>
      </c>
      <c r="I39" t="str">
        <f>'Nach Mannschaften sortiert'!C39</f>
        <v>U16</v>
      </c>
      <c r="J39" s="105" t="s">
        <v>107</v>
      </c>
      <c r="K39" t="s">
        <v>109</v>
      </c>
      <c r="L39" t="s">
        <v>145</v>
      </c>
    </row>
    <row r="40" spans="2:12" x14ac:dyDescent="0.3">
      <c r="B40" s="102">
        <f>'Nach Mannschaften sortiert'!D40</f>
        <v>46028</v>
      </c>
      <c r="C40" s="36">
        <f>'Nach Mannschaften sortiert'!E40</f>
        <v>0</v>
      </c>
      <c r="D40" s="36">
        <f t="shared" si="0"/>
        <v>7.2916666666666671E-2</v>
      </c>
      <c r="E40" s="36" t="str">
        <f>UPPER('Nach Mannschaften sortiert'!F40)</f>
        <v/>
      </c>
      <c r="G40" s="115">
        <f>'Nach Mannschaften sortiert'!H40</f>
        <v>0</v>
      </c>
      <c r="H40">
        <f>'Nach Mannschaften sortiert'!G40</f>
        <v>0</v>
      </c>
      <c r="I40" t="str">
        <f>'Nach Mannschaften sortiert'!C40</f>
        <v>U16</v>
      </c>
      <c r="J40" s="105" t="s">
        <v>107</v>
      </c>
      <c r="K40" t="s">
        <v>109</v>
      </c>
      <c r="L40" t="s">
        <v>145</v>
      </c>
    </row>
    <row r="41" spans="2:12" x14ac:dyDescent="0.3">
      <c r="B41" s="102">
        <f>'Nach Mannschaften sortiert'!D41</f>
        <v>46029</v>
      </c>
      <c r="C41" s="36">
        <f>'Nach Mannschaften sortiert'!E41</f>
        <v>0</v>
      </c>
      <c r="D41" s="36">
        <f t="shared" si="0"/>
        <v>7.2916666666666671E-2</v>
      </c>
      <c r="E41" s="36" t="str">
        <f>UPPER('Nach Mannschaften sortiert'!F41)</f>
        <v/>
      </c>
      <c r="G41" s="115">
        <f>'Nach Mannschaften sortiert'!H41</f>
        <v>0</v>
      </c>
      <c r="H41">
        <f>'Nach Mannschaften sortiert'!G41</f>
        <v>0</v>
      </c>
      <c r="I41" t="str">
        <f>'Nach Mannschaften sortiert'!C41</f>
        <v>U16</v>
      </c>
      <c r="J41" s="105" t="s">
        <v>107</v>
      </c>
      <c r="K41" t="s">
        <v>109</v>
      </c>
      <c r="L41" t="s">
        <v>145</v>
      </c>
    </row>
    <row r="42" spans="2:12" x14ac:dyDescent="0.3">
      <c r="B42" s="102">
        <f>'Nach Mannschaften sortiert'!D42</f>
        <v>46030</v>
      </c>
      <c r="C42" s="36">
        <f>'Nach Mannschaften sortiert'!E42</f>
        <v>0</v>
      </c>
      <c r="D42" s="36">
        <f t="shared" si="0"/>
        <v>7.2916666666666671E-2</v>
      </c>
      <c r="E42" s="36" t="str">
        <f>UPPER('Nach Mannschaften sortiert'!F42)</f>
        <v/>
      </c>
      <c r="G42" s="115">
        <f>'Nach Mannschaften sortiert'!H42</f>
        <v>0</v>
      </c>
      <c r="H42">
        <f>'Nach Mannschaften sortiert'!G42</f>
        <v>0</v>
      </c>
      <c r="I42" t="str">
        <f>'Nach Mannschaften sortiert'!C42</f>
        <v>U16</v>
      </c>
      <c r="J42" s="105" t="s">
        <v>107</v>
      </c>
      <c r="K42" t="s">
        <v>109</v>
      </c>
      <c r="L42" t="s">
        <v>145</v>
      </c>
    </row>
    <row r="43" spans="2:12" x14ac:dyDescent="0.3">
      <c r="B43" s="102">
        <f>'Nach Mannschaften sortiert'!D43</f>
        <v>46031</v>
      </c>
      <c r="C43" s="36">
        <f>'Nach Mannschaften sortiert'!E43</f>
        <v>0</v>
      </c>
      <c r="D43" s="36">
        <f t="shared" si="0"/>
        <v>7.2916666666666671E-2</v>
      </c>
      <c r="E43" s="36" t="str">
        <f>UPPER('Nach Mannschaften sortiert'!F43)</f>
        <v/>
      </c>
      <c r="G43" s="115">
        <f>'Nach Mannschaften sortiert'!H43</f>
        <v>0</v>
      </c>
      <c r="H43">
        <f>'Nach Mannschaften sortiert'!G43</f>
        <v>0</v>
      </c>
      <c r="I43" t="str">
        <f>'Nach Mannschaften sortiert'!C43</f>
        <v>U16</v>
      </c>
      <c r="J43" s="105" t="s">
        <v>107</v>
      </c>
      <c r="K43" t="s">
        <v>109</v>
      </c>
      <c r="L43" t="s">
        <v>145</v>
      </c>
    </row>
    <row r="44" spans="2:12" x14ac:dyDescent="0.3">
      <c r="B44" s="102">
        <f>'Nach Mannschaften sortiert'!D44</f>
        <v>46032</v>
      </c>
      <c r="C44" s="36">
        <f>'Nach Mannschaften sortiert'!E44</f>
        <v>0</v>
      </c>
      <c r="D44" s="36">
        <f t="shared" si="0"/>
        <v>7.2916666666666671E-2</v>
      </c>
      <c r="E44" s="36" t="str">
        <f>UPPER('Nach Mannschaften sortiert'!F44)</f>
        <v/>
      </c>
      <c r="G44" s="115">
        <f>'Nach Mannschaften sortiert'!H44</f>
        <v>0</v>
      </c>
      <c r="H44">
        <f>'Nach Mannschaften sortiert'!G44</f>
        <v>0</v>
      </c>
      <c r="I44" t="str">
        <f>'Nach Mannschaften sortiert'!C44</f>
        <v>U16</v>
      </c>
      <c r="J44" s="105" t="s">
        <v>107</v>
      </c>
      <c r="K44" t="s">
        <v>109</v>
      </c>
      <c r="L44" t="s">
        <v>145</v>
      </c>
    </row>
    <row r="45" spans="2:12" x14ac:dyDescent="0.3">
      <c r="B45" s="102">
        <f>'Nach Mannschaften sortiert'!D45</f>
        <v>46033</v>
      </c>
      <c r="C45" s="36">
        <f>'Nach Mannschaften sortiert'!E45</f>
        <v>0</v>
      </c>
      <c r="D45" s="36">
        <f t="shared" si="0"/>
        <v>6.25E-2</v>
      </c>
      <c r="E45" s="36" t="str">
        <f>UPPER('Nach Mannschaften sortiert'!F45)</f>
        <v/>
      </c>
      <c r="G45" s="115">
        <f>'Nach Mannschaften sortiert'!H45</f>
        <v>0</v>
      </c>
      <c r="H45">
        <f>'Nach Mannschaften sortiert'!G45</f>
        <v>0</v>
      </c>
      <c r="I45" t="str">
        <f>'Nach Mannschaften sortiert'!C45</f>
        <v>U14</v>
      </c>
      <c r="J45" s="105" t="s">
        <v>107</v>
      </c>
      <c r="K45" t="s">
        <v>109</v>
      </c>
      <c r="L45" t="s">
        <v>145</v>
      </c>
    </row>
    <row r="46" spans="2:12" x14ac:dyDescent="0.3">
      <c r="B46" s="102">
        <f>'Nach Mannschaften sortiert'!D46</f>
        <v>46034</v>
      </c>
      <c r="C46" s="36">
        <f>'Nach Mannschaften sortiert'!E46</f>
        <v>0</v>
      </c>
      <c r="D46" s="36">
        <f t="shared" si="0"/>
        <v>6.25E-2</v>
      </c>
      <c r="E46" s="36" t="str">
        <f>UPPER('Nach Mannschaften sortiert'!F46)</f>
        <v/>
      </c>
      <c r="G46" s="115">
        <f>'Nach Mannschaften sortiert'!H46</f>
        <v>0</v>
      </c>
      <c r="H46">
        <f>'Nach Mannschaften sortiert'!G46</f>
        <v>0</v>
      </c>
      <c r="I46" t="str">
        <f>'Nach Mannschaften sortiert'!C46</f>
        <v>U14</v>
      </c>
      <c r="J46" s="105" t="s">
        <v>107</v>
      </c>
      <c r="K46" t="s">
        <v>109</v>
      </c>
      <c r="L46" t="s">
        <v>145</v>
      </c>
    </row>
    <row r="47" spans="2:12" x14ac:dyDescent="0.3">
      <c r="B47" s="102">
        <f>'Nach Mannschaften sortiert'!D47</f>
        <v>46035</v>
      </c>
      <c r="C47" s="36">
        <f>'Nach Mannschaften sortiert'!E47</f>
        <v>0</v>
      </c>
      <c r="D47" s="36">
        <f t="shared" si="0"/>
        <v>6.25E-2</v>
      </c>
      <c r="E47" s="36" t="str">
        <f>UPPER('Nach Mannschaften sortiert'!F47)</f>
        <v/>
      </c>
      <c r="G47" s="115">
        <f>'Nach Mannschaften sortiert'!H47</f>
        <v>0</v>
      </c>
      <c r="H47">
        <f>'Nach Mannschaften sortiert'!G47</f>
        <v>0</v>
      </c>
      <c r="I47" t="str">
        <f>'Nach Mannschaften sortiert'!C47</f>
        <v>U14</v>
      </c>
      <c r="J47" s="105" t="s">
        <v>107</v>
      </c>
      <c r="K47" t="s">
        <v>109</v>
      </c>
      <c r="L47" t="s">
        <v>145</v>
      </c>
    </row>
    <row r="48" spans="2:12" x14ac:dyDescent="0.3">
      <c r="B48" s="102">
        <f>'Nach Mannschaften sortiert'!D48</f>
        <v>46036</v>
      </c>
      <c r="C48" s="36">
        <f>'Nach Mannschaften sortiert'!E48</f>
        <v>0</v>
      </c>
      <c r="D48" s="36">
        <f t="shared" si="0"/>
        <v>6.25E-2</v>
      </c>
      <c r="E48" s="36" t="str">
        <f>UPPER('Nach Mannschaften sortiert'!F48)</f>
        <v/>
      </c>
      <c r="G48" s="115">
        <f>'Nach Mannschaften sortiert'!H48</f>
        <v>0</v>
      </c>
      <c r="H48">
        <f>'Nach Mannschaften sortiert'!G48</f>
        <v>0</v>
      </c>
      <c r="I48" t="str">
        <f>'Nach Mannschaften sortiert'!C48</f>
        <v>U14</v>
      </c>
      <c r="J48" s="105" t="s">
        <v>107</v>
      </c>
      <c r="K48" t="s">
        <v>109</v>
      </c>
      <c r="L48" t="s">
        <v>145</v>
      </c>
    </row>
    <row r="49" spans="2:12" x14ac:dyDescent="0.3">
      <c r="B49" s="102">
        <f>'Nach Mannschaften sortiert'!D49</f>
        <v>46037</v>
      </c>
      <c r="C49" s="36">
        <f>'Nach Mannschaften sortiert'!E49</f>
        <v>0</v>
      </c>
      <c r="D49" s="36">
        <f t="shared" si="0"/>
        <v>6.25E-2</v>
      </c>
      <c r="E49" s="36" t="str">
        <f>UPPER('Nach Mannschaften sortiert'!F49)</f>
        <v/>
      </c>
      <c r="G49" s="115">
        <f>'Nach Mannschaften sortiert'!H49</f>
        <v>0</v>
      </c>
      <c r="H49">
        <f>'Nach Mannschaften sortiert'!G49</f>
        <v>0</v>
      </c>
      <c r="I49" t="str">
        <f>'Nach Mannschaften sortiert'!C49</f>
        <v>U14</v>
      </c>
      <c r="J49" s="105" t="s">
        <v>107</v>
      </c>
      <c r="K49" t="s">
        <v>109</v>
      </c>
      <c r="L49" t="s">
        <v>145</v>
      </c>
    </row>
    <row r="50" spans="2:12" x14ac:dyDescent="0.3">
      <c r="B50" s="102">
        <f>'Nach Mannschaften sortiert'!D50</f>
        <v>46038</v>
      </c>
      <c r="C50" s="36">
        <f>'Nach Mannschaften sortiert'!E50</f>
        <v>0</v>
      </c>
      <c r="D50" s="36">
        <f t="shared" si="0"/>
        <v>6.25E-2</v>
      </c>
      <c r="E50" s="36" t="str">
        <f>UPPER('Nach Mannschaften sortiert'!F50)</f>
        <v/>
      </c>
      <c r="G50" s="115">
        <f>'Nach Mannschaften sortiert'!H50</f>
        <v>0</v>
      </c>
      <c r="H50">
        <f>'Nach Mannschaften sortiert'!G50</f>
        <v>0</v>
      </c>
      <c r="I50" t="str">
        <f>'Nach Mannschaften sortiert'!C50</f>
        <v>U14</v>
      </c>
      <c r="J50" s="105" t="s">
        <v>107</v>
      </c>
      <c r="K50" t="s">
        <v>109</v>
      </c>
      <c r="L50" t="s">
        <v>145</v>
      </c>
    </row>
    <row r="51" spans="2:12" x14ac:dyDescent="0.3">
      <c r="B51" s="102">
        <f>'Nach Mannschaften sortiert'!D51</f>
        <v>46039</v>
      </c>
      <c r="C51" s="36">
        <f>'Nach Mannschaften sortiert'!E51</f>
        <v>0</v>
      </c>
      <c r="D51" s="36">
        <f t="shared" si="0"/>
        <v>6.25E-2</v>
      </c>
      <c r="E51" s="36" t="str">
        <f>UPPER('Nach Mannschaften sortiert'!F51)</f>
        <v/>
      </c>
      <c r="G51" s="115">
        <f>'Nach Mannschaften sortiert'!H51</f>
        <v>0</v>
      </c>
      <c r="H51">
        <f>'Nach Mannschaften sortiert'!G51</f>
        <v>0</v>
      </c>
      <c r="I51" t="str">
        <f>'Nach Mannschaften sortiert'!C51</f>
        <v>U14</v>
      </c>
      <c r="J51" s="105" t="s">
        <v>107</v>
      </c>
      <c r="K51" t="s">
        <v>109</v>
      </c>
      <c r="L51" t="s">
        <v>145</v>
      </c>
    </row>
    <row r="52" spans="2:12" x14ac:dyDescent="0.3">
      <c r="B52" s="102">
        <f>'Nach Mannschaften sortiert'!D52</f>
        <v>46040</v>
      </c>
      <c r="C52" s="36">
        <f>'Nach Mannschaften sortiert'!E52</f>
        <v>0</v>
      </c>
      <c r="D52" s="36">
        <f t="shared" si="0"/>
        <v>6.25E-2</v>
      </c>
      <c r="E52" s="36" t="str">
        <f>UPPER('Nach Mannschaften sortiert'!F52)</f>
        <v/>
      </c>
      <c r="G52" s="115">
        <f>'Nach Mannschaften sortiert'!H52</f>
        <v>0</v>
      </c>
      <c r="H52">
        <f>'Nach Mannschaften sortiert'!G52</f>
        <v>0</v>
      </c>
      <c r="I52" t="str">
        <f>'Nach Mannschaften sortiert'!C52</f>
        <v>U14</v>
      </c>
      <c r="J52" s="105" t="s">
        <v>107</v>
      </c>
      <c r="K52" t="s">
        <v>109</v>
      </c>
      <c r="L52" t="s">
        <v>145</v>
      </c>
    </row>
    <row r="53" spans="2:12" x14ac:dyDescent="0.3">
      <c r="B53" s="102">
        <f>'Nach Mannschaften sortiert'!D53</f>
        <v>46041</v>
      </c>
      <c r="C53" s="36">
        <f>'Nach Mannschaften sortiert'!E53</f>
        <v>0</v>
      </c>
      <c r="D53" s="36">
        <f t="shared" si="0"/>
        <v>6.25E-2</v>
      </c>
      <c r="E53" s="36" t="str">
        <f>UPPER('Nach Mannschaften sortiert'!F53)</f>
        <v/>
      </c>
      <c r="G53" s="115">
        <f>'Nach Mannschaften sortiert'!H53</f>
        <v>0</v>
      </c>
      <c r="H53">
        <f>'Nach Mannschaften sortiert'!G53</f>
        <v>0</v>
      </c>
      <c r="I53" t="str">
        <f>'Nach Mannschaften sortiert'!C53</f>
        <v>U14</v>
      </c>
      <c r="J53" s="105" t="s">
        <v>107</v>
      </c>
      <c r="K53" t="s">
        <v>109</v>
      </c>
      <c r="L53" t="s">
        <v>145</v>
      </c>
    </row>
    <row r="54" spans="2:12" x14ac:dyDescent="0.3">
      <c r="B54" s="102">
        <f>'Nach Mannschaften sortiert'!D54</f>
        <v>46042</v>
      </c>
      <c r="C54" s="36">
        <f>'Nach Mannschaften sortiert'!E54</f>
        <v>0</v>
      </c>
      <c r="D54" s="36">
        <f t="shared" si="0"/>
        <v>6.25E-2</v>
      </c>
      <c r="E54" s="36" t="str">
        <f>UPPER('Nach Mannschaften sortiert'!F54)</f>
        <v/>
      </c>
      <c r="G54" s="115">
        <f>'Nach Mannschaften sortiert'!H54</f>
        <v>0</v>
      </c>
      <c r="H54">
        <f>'Nach Mannschaften sortiert'!G54</f>
        <v>0</v>
      </c>
      <c r="I54" t="str">
        <f>'Nach Mannschaften sortiert'!C54</f>
        <v>U14</v>
      </c>
      <c r="J54" s="105" t="s">
        <v>107</v>
      </c>
      <c r="K54" t="s">
        <v>109</v>
      </c>
      <c r="L54" t="s">
        <v>145</v>
      </c>
    </row>
    <row r="55" spans="2:12" x14ac:dyDescent="0.3">
      <c r="B55" s="102">
        <f>'Nach Mannschaften sortiert'!D55</f>
        <v>46043</v>
      </c>
      <c r="C55" s="36">
        <f>'Nach Mannschaften sortiert'!E55</f>
        <v>0</v>
      </c>
      <c r="D55" s="36">
        <f t="shared" si="0"/>
        <v>0.125</v>
      </c>
      <c r="E55" s="36" t="str">
        <f>UPPER('Nach Mannschaften sortiert'!F55)</f>
        <v/>
      </c>
      <c r="G55" s="115">
        <f>'Nach Mannschaften sortiert'!H55</f>
        <v>0</v>
      </c>
      <c r="H55">
        <f>'Nach Mannschaften sortiert'!G55</f>
        <v>0</v>
      </c>
      <c r="I55" t="str">
        <f>'Nach Mannschaften sortiert'!C55</f>
        <v>U12_1</v>
      </c>
      <c r="J55" s="105" t="s">
        <v>107</v>
      </c>
      <c r="K55" t="s">
        <v>109</v>
      </c>
      <c r="L55" t="s">
        <v>145</v>
      </c>
    </row>
    <row r="56" spans="2:12" x14ac:dyDescent="0.3">
      <c r="B56" s="102">
        <f>'Nach Mannschaften sortiert'!D56</f>
        <v>46044</v>
      </c>
      <c r="C56" s="36">
        <f>'Nach Mannschaften sortiert'!E56</f>
        <v>0</v>
      </c>
      <c r="D56" s="36">
        <f t="shared" si="0"/>
        <v>0.125</v>
      </c>
      <c r="E56" s="36" t="str">
        <f>UPPER('Nach Mannschaften sortiert'!F56)</f>
        <v/>
      </c>
      <c r="G56" s="115">
        <f>'Nach Mannschaften sortiert'!H56</f>
        <v>0</v>
      </c>
      <c r="H56">
        <f>'Nach Mannschaften sortiert'!G56</f>
        <v>0</v>
      </c>
      <c r="I56" t="str">
        <f>'Nach Mannschaften sortiert'!C56</f>
        <v>U12_1</v>
      </c>
      <c r="J56" s="105" t="s">
        <v>107</v>
      </c>
      <c r="K56" t="s">
        <v>109</v>
      </c>
      <c r="L56" t="s">
        <v>145</v>
      </c>
    </row>
    <row r="57" spans="2:12" x14ac:dyDescent="0.3">
      <c r="B57" s="102">
        <f>'Nach Mannschaften sortiert'!D57</f>
        <v>46045</v>
      </c>
      <c r="C57" s="36">
        <f>'Nach Mannschaften sortiert'!E57</f>
        <v>0</v>
      </c>
      <c r="D57" s="36">
        <f t="shared" si="0"/>
        <v>0.125</v>
      </c>
      <c r="E57" s="36" t="str">
        <f>UPPER('Nach Mannschaften sortiert'!F57)</f>
        <v/>
      </c>
      <c r="G57" s="115">
        <f>'Nach Mannschaften sortiert'!H57</f>
        <v>0</v>
      </c>
      <c r="H57">
        <f>'Nach Mannschaften sortiert'!G57</f>
        <v>0</v>
      </c>
      <c r="I57" t="str">
        <f>'Nach Mannschaften sortiert'!C57</f>
        <v>U12_1</v>
      </c>
      <c r="J57" s="105" t="s">
        <v>107</v>
      </c>
      <c r="K57" t="s">
        <v>109</v>
      </c>
      <c r="L57" t="s">
        <v>145</v>
      </c>
    </row>
    <row r="58" spans="2:12" x14ac:dyDescent="0.3">
      <c r="B58" s="102">
        <f>'Nach Mannschaften sortiert'!D58</f>
        <v>46046</v>
      </c>
      <c r="C58" s="36">
        <f>'Nach Mannschaften sortiert'!E58</f>
        <v>0</v>
      </c>
      <c r="D58" s="36">
        <f t="shared" si="0"/>
        <v>0.125</v>
      </c>
      <c r="E58" s="36" t="str">
        <f>UPPER('Nach Mannschaften sortiert'!F58)</f>
        <v/>
      </c>
      <c r="G58" s="115">
        <f>'Nach Mannschaften sortiert'!H58</f>
        <v>0</v>
      </c>
      <c r="H58">
        <f>'Nach Mannschaften sortiert'!G58</f>
        <v>0</v>
      </c>
      <c r="I58" t="str">
        <f>'Nach Mannschaften sortiert'!C58</f>
        <v>U12_1</v>
      </c>
      <c r="J58" s="105" t="s">
        <v>107</v>
      </c>
      <c r="K58" t="s">
        <v>109</v>
      </c>
      <c r="L58" t="s">
        <v>145</v>
      </c>
    </row>
    <row r="59" spans="2:12" x14ac:dyDescent="0.3">
      <c r="B59" s="102">
        <f>'Nach Mannschaften sortiert'!D59</f>
        <v>46047</v>
      </c>
      <c r="C59" s="36">
        <f>'Nach Mannschaften sortiert'!E59</f>
        <v>0</v>
      </c>
      <c r="D59" s="36">
        <f t="shared" si="0"/>
        <v>0.125</v>
      </c>
      <c r="E59" s="36" t="str">
        <f>UPPER('Nach Mannschaften sortiert'!F59)</f>
        <v/>
      </c>
      <c r="G59" s="115">
        <f>'Nach Mannschaften sortiert'!H59</f>
        <v>0</v>
      </c>
      <c r="H59">
        <f>'Nach Mannschaften sortiert'!G59</f>
        <v>0</v>
      </c>
      <c r="I59" t="str">
        <f>'Nach Mannschaften sortiert'!C59</f>
        <v>U12_1</v>
      </c>
      <c r="J59" s="105" t="s">
        <v>107</v>
      </c>
      <c r="K59" t="s">
        <v>109</v>
      </c>
      <c r="L59" t="s">
        <v>145</v>
      </c>
    </row>
    <row r="60" spans="2:12" x14ac:dyDescent="0.3">
      <c r="B60" s="102">
        <f>'Nach Mannschaften sortiert'!D60</f>
        <v>46048</v>
      </c>
      <c r="C60" s="36">
        <f>'Nach Mannschaften sortiert'!E60</f>
        <v>0</v>
      </c>
      <c r="D60" s="36">
        <f t="shared" si="0"/>
        <v>0.125</v>
      </c>
      <c r="E60" s="36" t="str">
        <f>UPPER('Nach Mannschaften sortiert'!F60)</f>
        <v/>
      </c>
      <c r="G60" s="115">
        <f>'Nach Mannschaften sortiert'!H60</f>
        <v>0</v>
      </c>
      <c r="H60">
        <f>'Nach Mannschaften sortiert'!G60</f>
        <v>0</v>
      </c>
      <c r="I60" t="str">
        <f>'Nach Mannschaften sortiert'!C60</f>
        <v>U12_1</v>
      </c>
      <c r="J60" s="105" t="s">
        <v>107</v>
      </c>
      <c r="K60" t="s">
        <v>109</v>
      </c>
      <c r="L60" t="s">
        <v>145</v>
      </c>
    </row>
    <row r="61" spans="2:12" x14ac:dyDescent="0.3">
      <c r="B61" s="102">
        <f>'Nach Mannschaften sortiert'!D61</f>
        <v>46049</v>
      </c>
      <c r="C61" s="36">
        <f>'Nach Mannschaften sortiert'!E61</f>
        <v>0</v>
      </c>
      <c r="D61" s="36">
        <f t="shared" si="0"/>
        <v>0.125</v>
      </c>
      <c r="E61" s="36" t="str">
        <f>UPPER('Nach Mannschaften sortiert'!F61)</f>
        <v/>
      </c>
      <c r="G61" s="115">
        <f>'Nach Mannschaften sortiert'!H61</f>
        <v>0</v>
      </c>
      <c r="H61">
        <f>'Nach Mannschaften sortiert'!G61</f>
        <v>0</v>
      </c>
      <c r="I61" t="str">
        <f>'Nach Mannschaften sortiert'!C61</f>
        <v>U12_1</v>
      </c>
      <c r="J61" s="105" t="s">
        <v>107</v>
      </c>
      <c r="K61" t="s">
        <v>109</v>
      </c>
      <c r="L61" t="s">
        <v>145</v>
      </c>
    </row>
    <row r="62" spans="2:12" x14ac:dyDescent="0.3">
      <c r="B62" s="102">
        <f>'Nach Mannschaften sortiert'!D62</f>
        <v>46050</v>
      </c>
      <c r="C62" s="36">
        <f>'Nach Mannschaften sortiert'!E62</f>
        <v>0</v>
      </c>
      <c r="D62" s="36">
        <f t="shared" si="0"/>
        <v>0.125</v>
      </c>
      <c r="E62" s="36" t="str">
        <f>UPPER('Nach Mannschaften sortiert'!F62)</f>
        <v/>
      </c>
      <c r="G62" s="115">
        <f>'Nach Mannschaften sortiert'!H62</f>
        <v>0</v>
      </c>
      <c r="H62">
        <f>'Nach Mannschaften sortiert'!G62</f>
        <v>0</v>
      </c>
      <c r="I62" t="str">
        <f>'Nach Mannschaften sortiert'!C62</f>
        <v>U12_1</v>
      </c>
      <c r="J62" s="105" t="s">
        <v>107</v>
      </c>
      <c r="K62" t="s">
        <v>109</v>
      </c>
      <c r="L62" t="s">
        <v>145</v>
      </c>
    </row>
    <row r="63" spans="2:12" x14ac:dyDescent="0.3">
      <c r="B63" s="102">
        <f>'Nach Mannschaften sortiert'!D63</f>
        <v>46051</v>
      </c>
      <c r="C63" s="36">
        <f>'Nach Mannschaften sortiert'!E63</f>
        <v>0</v>
      </c>
      <c r="D63" s="36">
        <f t="shared" si="0"/>
        <v>0.125</v>
      </c>
      <c r="E63" s="36" t="str">
        <f>UPPER('Nach Mannschaften sortiert'!F63)</f>
        <v/>
      </c>
      <c r="G63" s="115">
        <f>'Nach Mannschaften sortiert'!H63</f>
        <v>0</v>
      </c>
      <c r="H63">
        <f>'Nach Mannschaften sortiert'!G63</f>
        <v>0</v>
      </c>
      <c r="I63" t="str">
        <f>'Nach Mannschaften sortiert'!C63</f>
        <v>U12_1</v>
      </c>
      <c r="J63" s="105" t="s">
        <v>107</v>
      </c>
      <c r="K63" t="s">
        <v>109</v>
      </c>
      <c r="L63" t="s">
        <v>145</v>
      </c>
    </row>
    <row r="64" spans="2:12" x14ac:dyDescent="0.3">
      <c r="B64" s="102">
        <f>'Nach Mannschaften sortiert'!D64</f>
        <v>46052</v>
      </c>
      <c r="C64" s="36">
        <f>'Nach Mannschaften sortiert'!E64</f>
        <v>0</v>
      </c>
      <c r="D64" s="36">
        <f t="shared" si="0"/>
        <v>0.125</v>
      </c>
      <c r="E64" s="36" t="str">
        <f>UPPER('Nach Mannschaften sortiert'!F64)</f>
        <v/>
      </c>
      <c r="G64" s="115">
        <f>'Nach Mannschaften sortiert'!H64</f>
        <v>0</v>
      </c>
      <c r="H64">
        <f>'Nach Mannschaften sortiert'!G64</f>
        <v>0</v>
      </c>
      <c r="I64" t="str">
        <f>'Nach Mannschaften sortiert'!C64</f>
        <v>U12_1</v>
      </c>
      <c r="J64" s="105" t="s">
        <v>107</v>
      </c>
      <c r="K64" t="s">
        <v>109</v>
      </c>
      <c r="L64" t="s">
        <v>145</v>
      </c>
    </row>
    <row r="65" spans="2:12" x14ac:dyDescent="0.3">
      <c r="B65" s="102">
        <f>'Nach Mannschaften sortiert'!D65</f>
        <v>46053</v>
      </c>
      <c r="C65" s="36">
        <f>'Nach Mannschaften sortiert'!E65</f>
        <v>0</v>
      </c>
      <c r="D65" s="36">
        <f t="shared" si="0"/>
        <v>0.125</v>
      </c>
      <c r="E65" s="36" t="str">
        <f>UPPER('Nach Mannschaften sortiert'!F65)</f>
        <v/>
      </c>
      <c r="G65" s="115">
        <f>'Nach Mannschaften sortiert'!H65</f>
        <v>0</v>
      </c>
      <c r="H65">
        <f>'Nach Mannschaften sortiert'!G65</f>
        <v>0</v>
      </c>
      <c r="I65" t="str">
        <f>'Nach Mannschaften sortiert'!C65</f>
        <v>U12_2</v>
      </c>
      <c r="J65" s="105" t="s">
        <v>107</v>
      </c>
      <c r="K65" t="s">
        <v>109</v>
      </c>
      <c r="L65" t="s">
        <v>145</v>
      </c>
    </row>
    <row r="66" spans="2:12" x14ac:dyDescent="0.3">
      <c r="B66" s="102">
        <f>'Nach Mannschaften sortiert'!D66</f>
        <v>46054</v>
      </c>
      <c r="C66" s="36">
        <f>'Nach Mannschaften sortiert'!E66</f>
        <v>0</v>
      </c>
      <c r="D66" s="36">
        <f t="shared" si="0"/>
        <v>0.125</v>
      </c>
      <c r="E66" s="36" t="str">
        <f>UPPER('Nach Mannschaften sortiert'!F66)</f>
        <v/>
      </c>
      <c r="G66" s="115">
        <f>'Nach Mannschaften sortiert'!H66</f>
        <v>0</v>
      </c>
      <c r="H66">
        <f>'Nach Mannschaften sortiert'!G66</f>
        <v>0</v>
      </c>
      <c r="I66" t="str">
        <f>'Nach Mannschaften sortiert'!C66</f>
        <v>U12_2</v>
      </c>
      <c r="J66" s="105" t="s">
        <v>107</v>
      </c>
      <c r="K66" t="s">
        <v>109</v>
      </c>
      <c r="L66" t="s">
        <v>145</v>
      </c>
    </row>
    <row r="67" spans="2:12" x14ac:dyDescent="0.3">
      <c r="B67" s="102">
        <f>'Nach Mannschaften sortiert'!D67</f>
        <v>46055</v>
      </c>
      <c r="C67" s="36">
        <f>'Nach Mannschaften sortiert'!E67</f>
        <v>0</v>
      </c>
      <c r="D67" s="36">
        <f t="shared" ref="D67:D103" si="1">IF(I67 = "KM",C67+"1:45",IF(I67="U23",C67+"1:45",IF(I67 = "U16",C67+"1:45",IF(I67 = "U15",C67+"1:30",IF(I67 = "U14",C67+"1:30",IF(I67 = "U13",C67+"1:35",IF(I67 = "U12",C67+"1:10",IF(I67 = "U11",C67+"1:10",IF(I67 = "U10",C67+"1:03",C67+"3:00")))))))))</f>
        <v>0.125</v>
      </c>
      <c r="E67" s="36" t="str">
        <f>UPPER('Nach Mannschaften sortiert'!F67)</f>
        <v/>
      </c>
      <c r="G67" s="115">
        <f>'Nach Mannschaften sortiert'!H67</f>
        <v>0</v>
      </c>
      <c r="H67">
        <f>'Nach Mannschaften sortiert'!G67</f>
        <v>0</v>
      </c>
      <c r="I67" t="str">
        <f>'Nach Mannschaften sortiert'!C67</f>
        <v>U12_2</v>
      </c>
      <c r="J67" s="105" t="s">
        <v>107</v>
      </c>
      <c r="K67" t="s">
        <v>109</v>
      </c>
      <c r="L67" t="s">
        <v>145</v>
      </c>
    </row>
    <row r="68" spans="2:12" x14ac:dyDescent="0.3">
      <c r="B68" s="102">
        <f>'Nach Mannschaften sortiert'!D68</f>
        <v>46056</v>
      </c>
      <c r="C68" s="36">
        <f>'Nach Mannschaften sortiert'!E68</f>
        <v>0</v>
      </c>
      <c r="D68" s="36">
        <f t="shared" si="1"/>
        <v>0.125</v>
      </c>
      <c r="E68" s="36" t="str">
        <f>UPPER('Nach Mannschaften sortiert'!F68)</f>
        <v/>
      </c>
      <c r="G68" s="115">
        <f>'Nach Mannschaften sortiert'!H68</f>
        <v>0</v>
      </c>
      <c r="H68">
        <f>'Nach Mannschaften sortiert'!G68</f>
        <v>0</v>
      </c>
      <c r="I68" t="str">
        <f>'Nach Mannschaften sortiert'!C68</f>
        <v>U12_2</v>
      </c>
      <c r="J68" s="105" t="s">
        <v>107</v>
      </c>
      <c r="K68" t="s">
        <v>109</v>
      </c>
      <c r="L68" t="s">
        <v>145</v>
      </c>
    </row>
    <row r="69" spans="2:12" x14ac:dyDescent="0.3">
      <c r="B69" s="102">
        <f>'Nach Mannschaften sortiert'!D69</f>
        <v>46057</v>
      </c>
      <c r="C69" s="36">
        <f>'Nach Mannschaften sortiert'!E69</f>
        <v>0</v>
      </c>
      <c r="D69" s="36">
        <f t="shared" si="1"/>
        <v>0.125</v>
      </c>
      <c r="E69" s="36" t="str">
        <f>UPPER('Nach Mannschaften sortiert'!F69)</f>
        <v/>
      </c>
      <c r="G69" s="115">
        <f>'Nach Mannschaften sortiert'!H69</f>
        <v>0</v>
      </c>
      <c r="H69">
        <f>'Nach Mannschaften sortiert'!G69</f>
        <v>0</v>
      </c>
      <c r="I69" t="str">
        <f>'Nach Mannschaften sortiert'!C69</f>
        <v>U12_2</v>
      </c>
      <c r="J69" s="105" t="s">
        <v>107</v>
      </c>
      <c r="K69" t="s">
        <v>109</v>
      </c>
      <c r="L69" t="s">
        <v>145</v>
      </c>
    </row>
    <row r="70" spans="2:12" x14ac:dyDescent="0.3">
      <c r="B70" s="102">
        <f>'Nach Mannschaften sortiert'!D70</f>
        <v>46058</v>
      </c>
      <c r="C70" s="36">
        <f>'Nach Mannschaften sortiert'!E70</f>
        <v>0</v>
      </c>
      <c r="D70" s="36">
        <f t="shared" si="1"/>
        <v>0.125</v>
      </c>
      <c r="E70" s="36" t="str">
        <f>UPPER('Nach Mannschaften sortiert'!F70)</f>
        <v/>
      </c>
      <c r="G70" s="115">
        <f>'Nach Mannschaften sortiert'!H70</f>
        <v>0</v>
      </c>
      <c r="H70">
        <f>'Nach Mannschaften sortiert'!G70</f>
        <v>0</v>
      </c>
      <c r="I70" t="str">
        <f>'Nach Mannschaften sortiert'!C70</f>
        <v>U12_2</v>
      </c>
      <c r="J70" s="105" t="s">
        <v>107</v>
      </c>
      <c r="K70" t="s">
        <v>109</v>
      </c>
      <c r="L70" t="s">
        <v>145</v>
      </c>
    </row>
    <row r="71" spans="2:12" x14ac:dyDescent="0.3">
      <c r="B71" s="102">
        <f>'Nach Mannschaften sortiert'!D71</f>
        <v>46059</v>
      </c>
      <c r="C71" s="36">
        <f>'Nach Mannschaften sortiert'!E71</f>
        <v>0</v>
      </c>
      <c r="D71" s="36">
        <f t="shared" si="1"/>
        <v>0.125</v>
      </c>
      <c r="E71" s="36" t="str">
        <f>UPPER('Nach Mannschaften sortiert'!F71)</f>
        <v/>
      </c>
      <c r="G71" s="115">
        <f>'Nach Mannschaften sortiert'!H71</f>
        <v>0</v>
      </c>
      <c r="H71">
        <f>'Nach Mannschaften sortiert'!G71</f>
        <v>0</v>
      </c>
      <c r="I71" t="str">
        <f>'Nach Mannschaften sortiert'!C71</f>
        <v>U12_2</v>
      </c>
      <c r="J71" s="105" t="s">
        <v>107</v>
      </c>
      <c r="K71" t="s">
        <v>109</v>
      </c>
      <c r="L71" t="s">
        <v>145</v>
      </c>
    </row>
    <row r="72" spans="2:12" x14ac:dyDescent="0.3">
      <c r="B72" s="102">
        <f>'Nach Mannschaften sortiert'!D72</f>
        <v>46060</v>
      </c>
      <c r="C72" s="36">
        <f>'Nach Mannschaften sortiert'!E72</f>
        <v>0</v>
      </c>
      <c r="D72" s="36">
        <f t="shared" si="1"/>
        <v>0.125</v>
      </c>
      <c r="E72" s="36" t="str">
        <f>UPPER('Nach Mannschaften sortiert'!F72)</f>
        <v/>
      </c>
      <c r="G72" s="115">
        <f>'Nach Mannschaften sortiert'!H72</f>
        <v>0</v>
      </c>
      <c r="H72">
        <f>'Nach Mannschaften sortiert'!G72</f>
        <v>0</v>
      </c>
      <c r="I72" t="str">
        <f>'Nach Mannschaften sortiert'!C72</f>
        <v>U12_2</v>
      </c>
      <c r="J72" s="105" t="s">
        <v>107</v>
      </c>
      <c r="K72" t="s">
        <v>109</v>
      </c>
      <c r="L72" t="s">
        <v>145</v>
      </c>
    </row>
    <row r="73" spans="2:12" x14ac:dyDescent="0.3">
      <c r="B73" s="102">
        <f>'Nach Mannschaften sortiert'!D73</f>
        <v>46061</v>
      </c>
      <c r="C73" s="36">
        <f>'Nach Mannschaften sortiert'!E73</f>
        <v>0</v>
      </c>
      <c r="D73" s="36">
        <f t="shared" si="1"/>
        <v>0.125</v>
      </c>
      <c r="E73" s="36" t="str">
        <f>UPPER('Nach Mannschaften sortiert'!F73)</f>
        <v/>
      </c>
      <c r="G73" s="115">
        <f>'Nach Mannschaften sortiert'!H73</f>
        <v>0</v>
      </c>
      <c r="H73">
        <f>'Nach Mannschaften sortiert'!G73</f>
        <v>0</v>
      </c>
      <c r="I73" t="str">
        <f>'Nach Mannschaften sortiert'!C73</f>
        <v>U12_2</v>
      </c>
      <c r="J73" s="105" t="s">
        <v>107</v>
      </c>
      <c r="K73" t="s">
        <v>109</v>
      </c>
      <c r="L73" t="s">
        <v>145</v>
      </c>
    </row>
    <row r="74" spans="2:12" x14ac:dyDescent="0.3">
      <c r="B74" s="102">
        <f>'Nach Mannschaften sortiert'!D74</f>
        <v>46062</v>
      </c>
      <c r="C74" s="36">
        <f>'Nach Mannschaften sortiert'!E74</f>
        <v>0</v>
      </c>
      <c r="D74" s="36">
        <f t="shared" si="1"/>
        <v>0.125</v>
      </c>
      <c r="E74" s="36" t="str">
        <f>UPPER('Nach Mannschaften sortiert'!F74)</f>
        <v/>
      </c>
      <c r="G74" s="115">
        <f>'Nach Mannschaften sortiert'!H74</f>
        <v>0</v>
      </c>
      <c r="H74">
        <f>'Nach Mannschaften sortiert'!G74</f>
        <v>0</v>
      </c>
      <c r="I74" t="str">
        <f>'Nach Mannschaften sortiert'!C74</f>
        <v>U12_2</v>
      </c>
      <c r="J74" s="105" t="s">
        <v>107</v>
      </c>
      <c r="K74" t="s">
        <v>109</v>
      </c>
      <c r="L74" t="s">
        <v>145</v>
      </c>
    </row>
    <row r="75" spans="2:12" x14ac:dyDescent="0.3">
      <c r="B75" s="102">
        <f>'Nach Mannschaften sortiert'!D75</f>
        <v>46063</v>
      </c>
      <c r="C75" s="36">
        <f>'Nach Mannschaften sortiert'!E75</f>
        <v>0</v>
      </c>
      <c r="D75" s="36">
        <f t="shared" si="1"/>
        <v>4.8611111111111112E-2</v>
      </c>
      <c r="E75" s="36" t="str">
        <f>UPPER('Nach Mannschaften sortiert'!F75)</f>
        <v/>
      </c>
      <c r="G75" s="115">
        <f>'Nach Mannschaften sortiert'!H75</f>
        <v>0</v>
      </c>
      <c r="H75">
        <f>'Nach Mannschaften sortiert'!G75</f>
        <v>0</v>
      </c>
      <c r="I75" t="str">
        <f>'Nach Mannschaften sortiert'!C75</f>
        <v>U11</v>
      </c>
      <c r="J75" s="105" t="s">
        <v>107</v>
      </c>
      <c r="K75" t="s">
        <v>109</v>
      </c>
      <c r="L75" t="s">
        <v>145</v>
      </c>
    </row>
    <row r="76" spans="2:12" x14ac:dyDescent="0.3">
      <c r="B76" s="102">
        <f>'Nach Mannschaften sortiert'!D76</f>
        <v>46064</v>
      </c>
      <c r="C76" s="36">
        <f>'Nach Mannschaften sortiert'!E76</f>
        <v>0</v>
      </c>
      <c r="D76" s="36">
        <f t="shared" si="1"/>
        <v>4.8611111111111112E-2</v>
      </c>
      <c r="E76" s="36" t="str">
        <f>UPPER('Nach Mannschaften sortiert'!F76)</f>
        <v/>
      </c>
      <c r="G76" s="115">
        <f>'Nach Mannschaften sortiert'!H76</f>
        <v>0</v>
      </c>
      <c r="H76">
        <f>'Nach Mannschaften sortiert'!G76</f>
        <v>0</v>
      </c>
      <c r="I76" t="str">
        <f>'Nach Mannschaften sortiert'!C76</f>
        <v>U11</v>
      </c>
      <c r="J76" s="105" t="s">
        <v>107</v>
      </c>
      <c r="K76" t="s">
        <v>109</v>
      </c>
      <c r="L76" t="s">
        <v>145</v>
      </c>
    </row>
    <row r="77" spans="2:12" x14ac:dyDescent="0.3">
      <c r="B77" s="102">
        <f>'Nach Mannschaften sortiert'!D77</f>
        <v>46065</v>
      </c>
      <c r="C77" s="36">
        <f>'Nach Mannschaften sortiert'!E77</f>
        <v>0</v>
      </c>
      <c r="D77" s="36">
        <f t="shared" si="1"/>
        <v>4.8611111111111112E-2</v>
      </c>
      <c r="E77" s="36" t="str">
        <f>UPPER('Nach Mannschaften sortiert'!F77)</f>
        <v/>
      </c>
      <c r="G77" s="115">
        <f>'Nach Mannschaften sortiert'!H77</f>
        <v>0</v>
      </c>
      <c r="H77">
        <f>'Nach Mannschaften sortiert'!G77</f>
        <v>0</v>
      </c>
      <c r="I77" t="str">
        <f>'Nach Mannschaften sortiert'!C77</f>
        <v>U11</v>
      </c>
      <c r="J77" s="105" t="s">
        <v>107</v>
      </c>
      <c r="K77" t="s">
        <v>109</v>
      </c>
      <c r="L77" t="s">
        <v>145</v>
      </c>
    </row>
    <row r="78" spans="2:12" x14ac:dyDescent="0.3">
      <c r="B78" s="102">
        <f>'Nach Mannschaften sortiert'!D78</f>
        <v>46066</v>
      </c>
      <c r="C78" s="36">
        <f>'Nach Mannschaften sortiert'!E78</f>
        <v>0</v>
      </c>
      <c r="D78" s="36">
        <f t="shared" si="1"/>
        <v>4.8611111111111112E-2</v>
      </c>
      <c r="E78" s="36" t="str">
        <f>UPPER('Nach Mannschaften sortiert'!F78)</f>
        <v/>
      </c>
      <c r="G78" s="115">
        <f>'Nach Mannschaften sortiert'!H78</f>
        <v>0</v>
      </c>
      <c r="H78">
        <f>'Nach Mannschaften sortiert'!G78</f>
        <v>0</v>
      </c>
      <c r="I78" t="str">
        <f>'Nach Mannschaften sortiert'!C78</f>
        <v>U11</v>
      </c>
      <c r="J78" s="105" t="s">
        <v>107</v>
      </c>
      <c r="K78" t="s">
        <v>109</v>
      </c>
      <c r="L78" t="s">
        <v>145</v>
      </c>
    </row>
    <row r="79" spans="2:12" x14ac:dyDescent="0.3">
      <c r="B79" s="102">
        <f>'Nach Mannschaften sortiert'!D79</f>
        <v>46067</v>
      </c>
      <c r="C79" s="36">
        <f>'Nach Mannschaften sortiert'!E79</f>
        <v>0</v>
      </c>
      <c r="D79" s="36">
        <f t="shared" si="1"/>
        <v>4.8611111111111112E-2</v>
      </c>
      <c r="E79" s="36" t="str">
        <f>UPPER('Nach Mannschaften sortiert'!F79)</f>
        <v/>
      </c>
      <c r="G79" s="115">
        <f>'Nach Mannschaften sortiert'!H79</f>
        <v>0</v>
      </c>
      <c r="H79">
        <f>'Nach Mannschaften sortiert'!G79</f>
        <v>0</v>
      </c>
      <c r="I79" t="str">
        <f>'Nach Mannschaften sortiert'!C79</f>
        <v>U11</v>
      </c>
      <c r="J79" s="105" t="s">
        <v>107</v>
      </c>
      <c r="K79" t="s">
        <v>109</v>
      </c>
      <c r="L79" t="s">
        <v>145</v>
      </c>
    </row>
    <row r="80" spans="2:12" x14ac:dyDescent="0.3">
      <c r="B80" s="102">
        <f>'Nach Mannschaften sortiert'!D80</f>
        <v>46068</v>
      </c>
      <c r="C80" s="36">
        <f>'Nach Mannschaften sortiert'!E80</f>
        <v>0</v>
      </c>
      <c r="D80" s="36">
        <f t="shared" si="1"/>
        <v>4.8611111111111112E-2</v>
      </c>
      <c r="E80" s="36" t="str">
        <f>UPPER('Nach Mannschaften sortiert'!F80)</f>
        <v/>
      </c>
      <c r="G80" s="115">
        <f>'Nach Mannschaften sortiert'!H80</f>
        <v>0</v>
      </c>
      <c r="H80">
        <f>'Nach Mannschaften sortiert'!G80</f>
        <v>0</v>
      </c>
      <c r="I80" t="str">
        <f>'Nach Mannschaften sortiert'!C80</f>
        <v>U11</v>
      </c>
      <c r="J80" s="105" t="s">
        <v>107</v>
      </c>
      <c r="K80" t="s">
        <v>109</v>
      </c>
      <c r="L80" t="s">
        <v>145</v>
      </c>
    </row>
    <row r="81" spans="2:12" x14ac:dyDescent="0.3">
      <c r="B81" s="102">
        <f>'Nach Mannschaften sortiert'!D81</f>
        <v>46069</v>
      </c>
      <c r="C81" s="36">
        <f>'Nach Mannschaften sortiert'!E81</f>
        <v>0</v>
      </c>
      <c r="D81" s="36">
        <f t="shared" si="1"/>
        <v>4.8611111111111112E-2</v>
      </c>
      <c r="E81" s="36" t="str">
        <f>UPPER('Nach Mannschaften sortiert'!F81)</f>
        <v/>
      </c>
      <c r="G81" s="115">
        <f>'Nach Mannschaften sortiert'!H81</f>
        <v>0</v>
      </c>
      <c r="H81">
        <f>'Nach Mannschaften sortiert'!G81</f>
        <v>0</v>
      </c>
      <c r="I81" t="str">
        <f>'Nach Mannschaften sortiert'!C81</f>
        <v>U11</v>
      </c>
      <c r="J81" s="105" t="s">
        <v>107</v>
      </c>
      <c r="K81" t="s">
        <v>109</v>
      </c>
      <c r="L81" t="s">
        <v>145</v>
      </c>
    </row>
    <row r="82" spans="2:12" x14ac:dyDescent="0.3">
      <c r="B82" s="102">
        <f>'Nach Mannschaften sortiert'!D82</f>
        <v>46070</v>
      </c>
      <c r="C82" s="36">
        <f>'Nach Mannschaften sortiert'!E82</f>
        <v>0</v>
      </c>
      <c r="D82" s="36">
        <f t="shared" si="1"/>
        <v>4.8611111111111112E-2</v>
      </c>
      <c r="E82" s="36" t="str">
        <f>UPPER('Nach Mannschaften sortiert'!F82)</f>
        <v/>
      </c>
      <c r="G82" s="115">
        <f>'Nach Mannschaften sortiert'!H82</f>
        <v>0</v>
      </c>
      <c r="H82">
        <f>'Nach Mannschaften sortiert'!G82</f>
        <v>0</v>
      </c>
      <c r="I82" t="str">
        <f>'Nach Mannschaften sortiert'!C82</f>
        <v>U11</v>
      </c>
      <c r="J82" s="105" t="s">
        <v>107</v>
      </c>
      <c r="K82" t="s">
        <v>109</v>
      </c>
      <c r="L82" t="s">
        <v>145</v>
      </c>
    </row>
    <row r="83" spans="2:12" x14ac:dyDescent="0.3">
      <c r="B83" s="102">
        <f>'Nach Mannschaften sortiert'!D83</f>
        <v>46071</v>
      </c>
      <c r="C83" s="36">
        <f>'Nach Mannschaften sortiert'!E83</f>
        <v>0</v>
      </c>
      <c r="D83" s="36">
        <f t="shared" si="1"/>
        <v>4.8611111111111112E-2</v>
      </c>
      <c r="E83" s="36" t="str">
        <f>UPPER('Nach Mannschaften sortiert'!F83)</f>
        <v/>
      </c>
      <c r="G83" s="115">
        <f>'Nach Mannschaften sortiert'!H83</f>
        <v>0</v>
      </c>
      <c r="H83">
        <f>'Nach Mannschaften sortiert'!G83</f>
        <v>0</v>
      </c>
      <c r="I83" t="str">
        <f>'Nach Mannschaften sortiert'!C83</f>
        <v>U11</v>
      </c>
      <c r="J83" s="105" t="s">
        <v>107</v>
      </c>
      <c r="K83" t="s">
        <v>109</v>
      </c>
      <c r="L83" t="s">
        <v>145</v>
      </c>
    </row>
    <row r="84" spans="2:12" x14ac:dyDescent="0.3">
      <c r="B84" s="102">
        <f>'Nach Mannschaften sortiert'!D84</f>
        <v>46072</v>
      </c>
      <c r="C84" s="36">
        <f>'Nach Mannschaften sortiert'!E84</f>
        <v>0</v>
      </c>
      <c r="D84" s="36">
        <f t="shared" si="1"/>
        <v>4.8611111111111112E-2</v>
      </c>
      <c r="E84" s="36" t="str">
        <f>UPPER('Nach Mannschaften sortiert'!F84)</f>
        <v/>
      </c>
      <c r="G84" s="115">
        <f>'Nach Mannschaften sortiert'!H84</f>
        <v>0</v>
      </c>
      <c r="H84">
        <f>'Nach Mannschaften sortiert'!G84</f>
        <v>0</v>
      </c>
      <c r="I84" t="str">
        <f>'Nach Mannschaften sortiert'!C84</f>
        <v>U11</v>
      </c>
      <c r="J84" s="105" t="s">
        <v>107</v>
      </c>
      <c r="K84" t="s">
        <v>109</v>
      </c>
      <c r="L84" t="s">
        <v>145</v>
      </c>
    </row>
    <row r="85" spans="2:12" x14ac:dyDescent="0.3">
      <c r="B85" s="102">
        <f>'Nach Mannschaften sortiert'!D85</f>
        <v>46073</v>
      </c>
      <c r="C85" s="36">
        <f>'Nach Mannschaften sortiert'!E85</f>
        <v>0</v>
      </c>
      <c r="D85" s="36">
        <f t="shared" si="1"/>
        <v>4.3750000000000004E-2</v>
      </c>
      <c r="E85" s="36" t="str">
        <f>UPPER('Nach Mannschaften sortiert'!F85)</f>
        <v/>
      </c>
      <c r="G85" s="115">
        <f>'Nach Mannschaften sortiert'!H85</f>
        <v>0</v>
      </c>
      <c r="H85">
        <f>'Nach Mannschaften sortiert'!G85</f>
        <v>0</v>
      </c>
      <c r="I85" t="str">
        <f>'Nach Mannschaften sortiert'!C85</f>
        <v>U10</v>
      </c>
      <c r="J85" s="105" t="s">
        <v>107</v>
      </c>
      <c r="K85" t="s">
        <v>109</v>
      </c>
      <c r="L85" t="s">
        <v>145</v>
      </c>
    </row>
    <row r="86" spans="2:12" x14ac:dyDescent="0.3">
      <c r="B86" s="102">
        <f>'Nach Mannschaften sortiert'!D86</f>
        <v>46074</v>
      </c>
      <c r="C86" s="36">
        <f>'Nach Mannschaften sortiert'!E86</f>
        <v>0</v>
      </c>
      <c r="D86" s="36">
        <f t="shared" si="1"/>
        <v>4.3750000000000004E-2</v>
      </c>
      <c r="E86" s="36" t="str">
        <f>UPPER('Nach Mannschaften sortiert'!F86)</f>
        <v/>
      </c>
      <c r="G86" s="115">
        <f>'Nach Mannschaften sortiert'!H86</f>
        <v>0</v>
      </c>
      <c r="H86">
        <f>'Nach Mannschaften sortiert'!G86</f>
        <v>0</v>
      </c>
      <c r="I86" t="str">
        <f>'Nach Mannschaften sortiert'!C86</f>
        <v>U10</v>
      </c>
      <c r="J86" s="105" t="s">
        <v>107</v>
      </c>
      <c r="K86" t="s">
        <v>109</v>
      </c>
      <c r="L86" t="s">
        <v>145</v>
      </c>
    </row>
    <row r="87" spans="2:12" x14ac:dyDescent="0.3">
      <c r="B87" s="102">
        <f>'Nach Mannschaften sortiert'!D87</f>
        <v>46075</v>
      </c>
      <c r="C87" s="36">
        <f>'Nach Mannschaften sortiert'!E87</f>
        <v>0</v>
      </c>
      <c r="D87" s="36">
        <f t="shared" si="1"/>
        <v>4.3750000000000004E-2</v>
      </c>
      <c r="E87" s="36" t="str">
        <f>UPPER('Nach Mannschaften sortiert'!F87)</f>
        <v/>
      </c>
      <c r="G87" s="115">
        <f>'Nach Mannschaften sortiert'!H87</f>
        <v>0</v>
      </c>
      <c r="H87">
        <f>'Nach Mannschaften sortiert'!G87</f>
        <v>0</v>
      </c>
      <c r="I87" t="str">
        <f>'Nach Mannschaften sortiert'!C87</f>
        <v>U10</v>
      </c>
      <c r="J87" s="105" t="s">
        <v>107</v>
      </c>
      <c r="K87" t="s">
        <v>109</v>
      </c>
      <c r="L87" t="s">
        <v>145</v>
      </c>
    </row>
    <row r="88" spans="2:12" x14ac:dyDescent="0.3">
      <c r="B88" s="102">
        <f>'Nach Mannschaften sortiert'!D88</f>
        <v>46076</v>
      </c>
      <c r="C88" s="36">
        <f>'Nach Mannschaften sortiert'!E88</f>
        <v>0</v>
      </c>
      <c r="D88" s="36">
        <f t="shared" si="1"/>
        <v>4.3750000000000004E-2</v>
      </c>
      <c r="E88" s="36" t="str">
        <f>UPPER('Nach Mannschaften sortiert'!F88)</f>
        <v/>
      </c>
      <c r="G88" s="115">
        <f>'Nach Mannschaften sortiert'!H88</f>
        <v>0</v>
      </c>
      <c r="H88">
        <f>'Nach Mannschaften sortiert'!G88</f>
        <v>0</v>
      </c>
      <c r="I88" t="str">
        <f>'Nach Mannschaften sortiert'!C88</f>
        <v>U10</v>
      </c>
      <c r="J88" s="105" t="s">
        <v>107</v>
      </c>
      <c r="K88" t="s">
        <v>109</v>
      </c>
      <c r="L88" t="s">
        <v>145</v>
      </c>
    </row>
    <row r="89" spans="2:12" x14ac:dyDescent="0.3">
      <c r="B89" s="102">
        <f>'Nach Mannschaften sortiert'!D89</f>
        <v>46077</v>
      </c>
      <c r="C89" s="36">
        <f>'Nach Mannschaften sortiert'!E89</f>
        <v>0</v>
      </c>
      <c r="D89" s="36">
        <f t="shared" si="1"/>
        <v>4.3750000000000004E-2</v>
      </c>
      <c r="E89" s="36" t="str">
        <f>UPPER('Nach Mannschaften sortiert'!F89)</f>
        <v/>
      </c>
      <c r="G89" s="115">
        <f>'Nach Mannschaften sortiert'!H89</f>
        <v>0</v>
      </c>
      <c r="H89">
        <f>'Nach Mannschaften sortiert'!G89</f>
        <v>0</v>
      </c>
      <c r="I89" t="str">
        <f>'Nach Mannschaften sortiert'!C89</f>
        <v>U10</v>
      </c>
      <c r="J89" s="105" t="s">
        <v>107</v>
      </c>
      <c r="K89" t="s">
        <v>109</v>
      </c>
      <c r="L89" t="s">
        <v>145</v>
      </c>
    </row>
    <row r="90" spans="2:12" x14ac:dyDescent="0.3">
      <c r="B90" s="102">
        <f>'Nach Mannschaften sortiert'!D90</f>
        <v>46078</v>
      </c>
      <c r="C90" s="36">
        <f>'Nach Mannschaften sortiert'!E90</f>
        <v>0</v>
      </c>
      <c r="D90" s="36">
        <f t="shared" si="1"/>
        <v>0.125</v>
      </c>
      <c r="E90" s="36" t="str">
        <f>UPPER('Nach Mannschaften sortiert'!F90)</f>
        <v/>
      </c>
      <c r="G90" s="115">
        <f>'Nach Mannschaften sortiert'!H90</f>
        <v>0</v>
      </c>
      <c r="H90">
        <f>'Nach Mannschaften sortiert'!G90</f>
        <v>0</v>
      </c>
      <c r="I90" t="str">
        <f>'Nach Mannschaften sortiert'!C90</f>
        <v>U9</v>
      </c>
      <c r="J90" s="105" t="s">
        <v>107</v>
      </c>
      <c r="K90" t="s">
        <v>109</v>
      </c>
      <c r="L90" t="s">
        <v>145</v>
      </c>
    </row>
    <row r="91" spans="2:12" x14ac:dyDescent="0.3">
      <c r="B91" s="102">
        <f>'Nach Mannschaften sortiert'!D91</f>
        <v>46079</v>
      </c>
      <c r="C91" s="36">
        <f>'Nach Mannschaften sortiert'!E91</f>
        <v>0</v>
      </c>
      <c r="D91" s="36">
        <f t="shared" si="1"/>
        <v>0.125</v>
      </c>
      <c r="E91" s="36" t="str">
        <f>UPPER('Nach Mannschaften sortiert'!F91)</f>
        <v/>
      </c>
      <c r="G91" s="115">
        <f>'Nach Mannschaften sortiert'!H91</f>
        <v>0</v>
      </c>
      <c r="H91">
        <f>'Nach Mannschaften sortiert'!G91</f>
        <v>0</v>
      </c>
      <c r="I91" t="str">
        <f>'Nach Mannschaften sortiert'!C91</f>
        <v>U9</v>
      </c>
      <c r="J91" s="105" t="s">
        <v>107</v>
      </c>
      <c r="K91" t="s">
        <v>109</v>
      </c>
      <c r="L91" t="s">
        <v>145</v>
      </c>
    </row>
    <row r="92" spans="2:12" x14ac:dyDescent="0.3">
      <c r="B92" s="102">
        <f>'Nach Mannschaften sortiert'!D92</f>
        <v>46080</v>
      </c>
      <c r="C92" s="36">
        <f>'Nach Mannschaften sortiert'!E92</f>
        <v>0</v>
      </c>
      <c r="D92" s="36">
        <f t="shared" si="1"/>
        <v>0.125</v>
      </c>
      <c r="E92" s="36" t="str">
        <f>UPPER('Nach Mannschaften sortiert'!F92)</f>
        <v/>
      </c>
      <c r="G92" s="115">
        <f>'Nach Mannschaften sortiert'!H92</f>
        <v>0</v>
      </c>
      <c r="H92">
        <f>'Nach Mannschaften sortiert'!G92</f>
        <v>0</v>
      </c>
      <c r="I92" t="str">
        <f>'Nach Mannschaften sortiert'!C92</f>
        <v>U9</v>
      </c>
      <c r="J92" s="105" t="s">
        <v>107</v>
      </c>
      <c r="K92" t="s">
        <v>109</v>
      </c>
      <c r="L92" t="s">
        <v>145</v>
      </c>
    </row>
    <row r="93" spans="2:12" x14ac:dyDescent="0.3">
      <c r="B93" s="102">
        <f>'Nach Mannschaften sortiert'!D93</f>
        <v>46081</v>
      </c>
      <c r="C93" s="36">
        <f>'Nach Mannschaften sortiert'!E93</f>
        <v>0</v>
      </c>
      <c r="D93" s="36">
        <f t="shared" si="1"/>
        <v>0.125</v>
      </c>
      <c r="E93" s="36" t="str">
        <f>UPPER('Nach Mannschaften sortiert'!F93)</f>
        <v/>
      </c>
      <c r="G93" s="115">
        <f>'Nach Mannschaften sortiert'!H93</f>
        <v>0</v>
      </c>
      <c r="H93">
        <f>'Nach Mannschaften sortiert'!G93</f>
        <v>0</v>
      </c>
      <c r="I93" t="str">
        <f>'Nach Mannschaften sortiert'!C93</f>
        <v>U9</v>
      </c>
      <c r="J93" s="105" t="s">
        <v>107</v>
      </c>
      <c r="K93" t="s">
        <v>109</v>
      </c>
      <c r="L93" t="s">
        <v>145</v>
      </c>
    </row>
    <row r="94" spans="2:12" x14ac:dyDescent="0.3">
      <c r="B94" s="102">
        <f>'Nach Mannschaften sortiert'!D94</f>
        <v>46082</v>
      </c>
      <c r="C94" s="36">
        <f>'Nach Mannschaften sortiert'!E94</f>
        <v>0</v>
      </c>
      <c r="D94" s="36">
        <f t="shared" si="1"/>
        <v>0.125</v>
      </c>
      <c r="E94" s="36" t="str">
        <f>UPPER('Nach Mannschaften sortiert'!F94)</f>
        <v/>
      </c>
      <c r="G94" s="115">
        <f>'Nach Mannschaften sortiert'!H94</f>
        <v>0</v>
      </c>
      <c r="H94">
        <f>'Nach Mannschaften sortiert'!G94</f>
        <v>0</v>
      </c>
      <c r="I94" t="str">
        <f>'Nach Mannschaften sortiert'!C94</f>
        <v>U9</v>
      </c>
      <c r="J94" s="105" t="s">
        <v>107</v>
      </c>
      <c r="K94" t="s">
        <v>109</v>
      </c>
      <c r="L94" t="s">
        <v>145</v>
      </c>
    </row>
    <row r="95" spans="2:12" x14ac:dyDescent="0.3">
      <c r="B95" s="102">
        <f>'Nach Mannschaften sortiert'!D95</f>
        <v>46083</v>
      </c>
      <c r="C95" s="36">
        <f>'Nach Mannschaften sortiert'!E95</f>
        <v>0</v>
      </c>
      <c r="D95" s="36">
        <f t="shared" si="1"/>
        <v>0.125</v>
      </c>
      <c r="E95" s="36" t="str">
        <f>UPPER('Nach Mannschaften sortiert'!F95)</f>
        <v/>
      </c>
      <c r="G95" s="115">
        <f>'Nach Mannschaften sortiert'!H95</f>
        <v>0</v>
      </c>
      <c r="H95">
        <f>'Nach Mannschaften sortiert'!G95</f>
        <v>0</v>
      </c>
      <c r="I95" t="str">
        <f>'Nach Mannschaften sortiert'!C95</f>
        <v>U9</v>
      </c>
      <c r="J95" s="105" t="s">
        <v>107</v>
      </c>
      <c r="K95" t="s">
        <v>109</v>
      </c>
      <c r="L95" t="s">
        <v>145</v>
      </c>
    </row>
    <row r="96" spans="2:12" x14ac:dyDescent="0.3">
      <c r="B96" s="102">
        <f>'Nach Mannschaften sortiert'!D96</f>
        <v>46084</v>
      </c>
      <c r="C96" s="36">
        <f>'Nach Mannschaften sortiert'!E96</f>
        <v>0</v>
      </c>
      <c r="D96" s="36">
        <f t="shared" si="1"/>
        <v>0.125</v>
      </c>
      <c r="E96" s="36" t="str">
        <f>UPPER('Nach Mannschaften sortiert'!F96)</f>
        <v/>
      </c>
      <c r="G96" s="115">
        <f>'Nach Mannschaften sortiert'!H96</f>
        <v>0</v>
      </c>
      <c r="H96">
        <f>'Nach Mannschaften sortiert'!G96</f>
        <v>0</v>
      </c>
      <c r="I96" t="str">
        <f>'Nach Mannschaften sortiert'!C96</f>
        <v>U9</v>
      </c>
      <c r="J96" s="105" t="s">
        <v>107</v>
      </c>
      <c r="K96" t="s">
        <v>109</v>
      </c>
      <c r="L96" t="s">
        <v>145</v>
      </c>
    </row>
    <row r="97" spans="2:12" x14ac:dyDescent="0.3">
      <c r="B97" s="102">
        <f>'Nach Mannschaften sortiert'!D97</f>
        <v>46085</v>
      </c>
      <c r="C97" s="36">
        <f>'Nach Mannschaften sortiert'!E97</f>
        <v>0</v>
      </c>
      <c r="D97" s="36">
        <f t="shared" si="1"/>
        <v>0.125</v>
      </c>
      <c r="E97" s="36" t="str">
        <f>UPPER('Nach Mannschaften sortiert'!F97)</f>
        <v/>
      </c>
      <c r="G97" s="115">
        <f>'Nach Mannschaften sortiert'!H97</f>
        <v>0</v>
      </c>
      <c r="H97">
        <f>'Nach Mannschaften sortiert'!G97</f>
        <v>0</v>
      </c>
      <c r="I97" t="str">
        <f>'Nach Mannschaften sortiert'!C97</f>
        <v>U9</v>
      </c>
      <c r="J97" s="105" t="s">
        <v>107</v>
      </c>
      <c r="K97" t="s">
        <v>109</v>
      </c>
      <c r="L97" t="s">
        <v>145</v>
      </c>
    </row>
    <row r="98" spans="2:12" x14ac:dyDescent="0.3">
      <c r="B98" s="102">
        <f>'Nach Mannschaften sortiert'!D98</f>
        <v>46086</v>
      </c>
      <c r="C98" s="36">
        <f>'Nach Mannschaften sortiert'!E98</f>
        <v>0</v>
      </c>
      <c r="D98" s="36">
        <f t="shared" si="1"/>
        <v>0.125</v>
      </c>
      <c r="E98" s="36" t="str">
        <f>UPPER('Nach Mannschaften sortiert'!F98)</f>
        <v/>
      </c>
      <c r="G98" s="115">
        <f>'Nach Mannschaften sortiert'!H98</f>
        <v>0</v>
      </c>
      <c r="H98">
        <f>'Nach Mannschaften sortiert'!G98</f>
        <v>0</v>
      </c>
      <c r="I98" t="str">
        <f>'Nach Mannschaften sortiert'!C98</f>
        <v>U9</v>
      </c>
      <c r="J98" s="105" t="s">
        <v>107</v>
      </c>
      <c r="K98" t="s">
        <v>109</v>
      </c>
      <c r="L98" t="s">
        <v>145</v>
      </c>
    </row>
    <row r="99" spans="2:12" x14ac:dyDescent="0.3">
      <c r="B99" s="102">
        <f>'Nach Mannschaften sortiert'!D99</f>
        <v>46087</v>
      </c>
      <c r="C99" s="36">
        <f>'Nach Mannschaften sortiert'!E99</f>
        <v>0</v>
      </c>
      <c r="D99" s="36">
        <f t="shared" si="1"/>
        <v>0.125</v>
      </c>
      <c r="E99" s="36" t="str">
        <f>UPPER('Nach Mannschaften sortiert'!F99)</f>
        <v/>
      </c>
      <c r="G99" s="115">
        <f>'Nach Mannschaften sortiert'!H99</f>
        <v>0</v>
      </c>
      <c r="H99">
        <f>'Nach Mannschaften sortiert'!G99</f>
        <v>0</v>
      </c>
      <c r="I99" t="str">
        <f>'Nach Mannschaften sortiert'!C99</f>
        <v>U9</v>
      </c>
      <c r="J99" s="105" t="s">
        <v>107</v>
      </c>
      <c r="K99" t="s">
        <v>109</v>
      </c>
      <c r="L99" t="s">
        <v>145</v>
      </c>
    </row>
    <row r="100" spans="2:12" x14ac:dyDescent="0.3">
      <c r="B100" s="102">
        <f>'Nach Mannschaften sortiert'!D100</f>
        <v>46088</v>
      </c>
      <c r="C100" s="36">
        <f>'Nach Mannschaften sortiert'!E100</f>
        <v>0</v>
      </c>
      <c r="D100" s="36">
        <f t="shared" si="1"/>
        <v>0.125</v>
      </c>
      <c r="E100" s="36" t="str">
        <f>UPPER('Nach Mannschaften sortiert'!F100)</f>
        <v/>
      </c>
      <c r="G100" s="115">
        <f>'Nach Mannschaften sortiert'!H100</f>
        <v>0</v>
      </c>
      <c r="H100">
        <f>'Nach Mannschaften sortiert'!G100</f>
        <v>0</v>
      </c>
      <c r="I100" t="str">
        <f>'Nach Mannschaften sortiert'!C100</f>
        <v>U8</v>
      </c>
      <c r="J100" s="105" t="s">
        <v>107</v>
      </c>
      <c r="K100" t="s">
        <v>109</v>
      </c>
      <c r="L100" t="s">
        <v>145</v>
      </c>
    </row>
    <row r="101" spans="2:12" x14ac:dyDescent="0.3">
      <c r="B101" s="102">
        <f>'Nach Mannschaften sortiert'!D101</f>
        <v>46089</v>
      </c>
      <c r="C101" s="36">
        <f>'Nach Mannschaften sortiert'!E101</f>
        <v>0</v>
      </c>
      <c r="D101" s="36">
        <f t="shared" si="1"/>
        <v>0.125</v>
      </c>
      <c r="E101" s="36" t="str">
        <f>UPPER('Nach Mannschaften sortiert'!F101)</f>
        <v/>
      </c>
      <c r="G101" s="115">
        <f>'Nach Mannschaften sortiert'!H101</f>
        <v>0</v>
      </c>
      <c r="H101">
        <f>'Nach Mannschaften sortiert'!G101</f>
        <v>0</v>
      </c>
      <c r="I101" t="str">
        <f>'Nach Mannschaften sortiert'!C101</f>
        <v>U8</v>
      </c>
      <c r="J101" s="105" t="s">
        <v>107</v>
      </c>
      <c r="K101" t="s">
        <v>109</v>
      </c>
      <c r="L101" t="s">
        <v>145</v>
      </c>
    </row>
    <row r="102" spans="2:12" x14ac:dyDescent="0.3">
      <c r="B102" s="102">
        <f>'Nach Mannschaften sortiert'!D102</f>
        <v>46090</v>
      </c>
      <c r="C102" s="36">
        <f>'Nach Mannschaften sortiert'!E102</f>
        <v>0</v>
      </c>
      <c r="D102" s="36">
        <f t="shared" si="1"/>
        <v>0.125</v>
      </c>
      <c r="E102" s="36" t="str">
        <f>UPPER('Nach Mannschaften sortiert'!F102)</f>
        <v/>
      </c>
      <c r="G102" s="115">
        <f>'Nach Mannschaften sortiert'!H102</f>
        <v>0</v>
      </c>
      <c r="H102">
        <f>'Nach Mannschaften sortiert'!G102</f>
        <v>0</v>
      </c>
      <c r="I102" t="str">
        <f>'Nach Mannschaften sortiert'!C102</f>
        <v>U8</v>
      </c>
      <c r="J102" s="105" t="s">
        <v>107</v>
      </c>
      <c r="K102" t="s">
        <v>109</v>
      </c>
      <c r="L102" t="s">
        <v>145</v>
      </c>
    </row>
    <row r="103" spans="2:12" x14ac:dyDescent="0.3">
      <c r="B103" s="102">
        <f>'Nach Mannschaften sortiert'!D103</f>
        <v>46091</v>
      </c>
      <c r="C103" s="36">
        <f>'Nach Mannschaften sortiert'!E103</f>
        <v>0</v>
      </c>
      <c r="D103" s="36">
        <f t="shared" si="1"/>
        <v>0.125</v>
      </c>
      <c r="E103" s="36" t="str">
        <f>UPPER('Nach Mannschaften sortiert'!F103)</f>
        <v/>
      </c>
      <c r="G103" s="115">
        <f>'Nach Mannschaften sortiert'!H103</f>
        <v>0</v>
      </c>
      <c r="H103">
        <f>'Nach Mannschaften sortiert'!G103</f>
        <v>0</v>
      </c>
      <c r="I103" t="str">
        <f>'Nach Mannschaften sortiert'!C103</f>
        <v>U8</v>
      </c>
      <c r="J103" s="105" t="s">
        <v>107</v>
      </c>
      <c r="K103" t="s">
        <v>109</v>
      </c>
      <c r="L103" t="s">
        <v>145</v>
      </c>
    </row>
    <row r="104" spans="2:12" x14ac:dyDescent="0.3">
      <c r="B104" s="102">
        <f>'Nach Mannschaften sortiert'!D104</f>
        <v>46092</v>
      </c>
      <c r="C104" s="36">
        <f>'Nach Mannschaften sortiert'!E104</f>
        <v>0</v>
      </c>
      <c r="D104" s="36">
        <f>IF(I104 = "KM",C104+"1:45",IF(I104="U23",C104+"1:45",IF(I104 = "U16",C104+"1:45",IF(I104 = "U15",C104+"1:30",IF(I104 = "U14",C104+"1:30",IF(I104 = "U13",C104+"1:35",IF(I104 = "U12",C104+"1:10",IF(I104 = "U11",C104+"1:10",IF(I104 = "U10",C104+"1:03",C104+"3:00")))))))))</f>
        <v>0.125</v>
      </c>
      <c r="E104" s="36" t="str">
        <f>UPPER('Nach Mannschaften sortiert'!F104)</f>
        <v/>
      </c>
      <c r="G104" s="115">
        <f>'Nach Mannschaften sortiert'!H104</f>
        <v>0</v>
      </c>
      <c r="H104">
        <f>'Nach Mannschaften sortiert'!G104</f>
        <v>0</v>
      </c>
      <c r="I104" t="str">
        <f>'Nach Mannschaften sortiert'!C104</f>
        <v>U8</v>
      </c>
      <c r="J104" s="105" t="s">
        <v>107</v>
      </c>
      <c r="K104" t="s">
        <v>109</v>
      </c>
      <c r="L104" t="s">
        <v>145</v>
      </c>
    </row>
    <row r="105" spans="2:12" x14ac:dyDescent="0.3">
      <c r="B105" s="102">
        <f>'Nach Mannschaften sortiert'!D105</f>
        <v>46093</v>
      </c>
      <c r="C105" s="36">
        <f>'Nach Mannschaften sortiert'!E105</f>
        <v>0</v>
      </c>
      <c r="D105" s="36">
        <f t="shared" ref="D105:D121" si="2">IF(I105 = "KM",C105+"1:45",IF(I105="U23",C105+"1:45",IF(I105 = "U16",C105+"1:45",IF(I105 = "U15",C105+"1:30",IF(I105 = "U14",C105+"1:30",IF(I105 = "U13",C105+"1:35",IF(I105 = "U12",C105+"1:10",IF(I105 = "U11",C105+"1:10",IF(I105 = "U10",C105+"1:03",C105+"3:00")))))))))</f>
        <v>0.125</v>
      </c>
      <c r="E105" s="36" t="str">
        <f>UPPER('Nach Mannschaften sortiert'!F105)</f>
        <v/>
      </c>
      <c r="G105" s="115">
        <f>'Nach Mannschaften sortiert'!H105</f>
        <v>0</v>
      </c>
      <c r="H105">
        <f>'Nach Mannschaften sortiert'!G105</f>
        <v>0</v>
      </c>
      <c r="I105" t="str">
        <f>'Nach Mannschaften sortiert'!C105</f>
        <v>U7</v>
      </c>
      <c r="J105" s="105" t="s">
        <v>107</v>
      </c>
      <c r="K105" t="s">
        <v>109</v>
      </c>
      <c r="L105" t="s">
        <v>145</v>
      </c>
    </row>
    <row r="106" spans="2:12" x14ac:dyDescent="0.3">
      <c r="B106" s="102">
        <f>'Nach Mannschaften sortiert'!D106</f>
        <v>46094</v>
      </c>
      <c r="C106" s="36">
        <f>'Nach Mannschaften sortiert'!E106</f>
        <v>0</v>
      </c>
      <c r="D106" s="36">
        <f t="shared" si="2"/>
        <v>0.125</v>
      </c>
      <c r="E106" s="36" t="str">
        <f>UPPER('Nach Mannschaften sortiert'!F106)</f>
        <v/>
      </c>
      <c r="G106" s="115">
        <f>'Nach Mannschaften sortiert'!H106</f>
        <v>0</v>
      </c>
      <c r="H106">
        <f>'Nach Mannschaften sortiert'!G106</f>
        <v>0</v>
      </c>
      <c r="I106" t="str">
        <f>'Nach Mannschaften sortiert'!C106</f>
        <v>U7</v>
      </c>
      <c r="J106" s="105" t="s">
        <v>107</v>
      </c>
      <c r="K106" t="s">
        <v>109</v>
      </c>
      <c r="L106" t="s">
        <v>145</v>
      </c>
    </row>
    <row r="107" spans="2:12" x14ac:dyDescent="0.3">
      <c r="B107" s="102">
        <f>'Nach Mannschaften sortiert'!D107</f>
        <v>46095</v>
      </c>
      <c r="C107" s="36">
        <f>'Nach Mannschaften sortiert'!E107</f>
        <v>0</v>
      </c>
      <c r="D107" s="36">
        <f t="shared" si="2"/>
        <v>0.125</v>
      </c>
      <c r="E107" s="36" t="str">
        <f>UPPER('Nach Mannschaften sortiert'!F107)</f>
        <v/>
      </c>
      <c r="G107" s="115">
        <f>'Nach Mannschaften sortiert'!H107</f>
        <v>0</v>
      </c>
      <c r="H107">
        <f>'Nach Mannschaften sortiert'!G107</f>
        <v>0</v>
      </c>
      <c r="I107" t="str">
        <f>'Nach Mannschaften sortiert'!C107</f>
        <v>U7</v>
      </c>
      <c r="J107" s="105" t="s">
        <v>107</v>
      </c>
      <c r="K107" t="s">
        <v>109</v>
      </c>
      <c r="L107" t="s">
        <v>145</v>
      </c>
    </row>
    <row r="108" spans="2:12" x14ac:dyDescent="0.3">
      <c r="B108" s="102">
        <f>'Nach Mannschaften sortiert'!D108</f>
        <v>46096</v>
      </c>
      <c r="C108" s="36">
        <f>'Nach Mannschaften sortiert'!E108</f>
        <v>0</v>
      </c>
      <c r="D108" s="36">
        <f t="shared" si="2"/>
        <v>0.125</v>
      </c>
      <c r="E108" s="36" t="str">
        <f>UPPER('Nach Mannschaften sortiert'!F108)</f>
        <v/>
      </c>
      <c r="G108" s="115">
        <f>'Nach Mannschaften sortiert'!H108</f>
        <v>0</v>
      </c>
      <c r="H108">
        <f>'Nach Mannschaften sortiert'!G108</f>
        <v>0</v>
      </c>
      <c r="I108" t="str">
        <f>'Nach Mannschaften sortiert'!C108</f>
        <v>U7</v>
      </c>
      <c r="J108" s="105" t="s">
        <v>107</v>
      </c>
      <c r="K108" t="s">
        <v>109</v>
      </c>
      <c r="L108" t="s">
        <v>145</v>
      </c>
    </row>
    <row r="109" spans="2:12" x14ac:dyDescent="0.3">
      <c r="B109" s="102">
        <f>'Nach Mannschaften sortiert'!D109</f>
        <v>46097</v>
      </c>
      <c r="C109" s="36">
        <f>'Nach Mannschaften sortiert'!E109</f>
        <v>0</v>
      </c>
      <c r="D109" s="36">
        <f t="shared" si="2"/>
        <v>0.125</v>
      </c>
      <c r="E109" s="36" t="str">
        <f>UPPER('Nach Mannschaften sortiert'!F109)</f>
        <v/>
      </c>
      <c r="G109" s="115">
        <f>'Nach Mannschaften sortiert'!H109</f>
        <v>0</v>
      </c>
      <c r="H109">
        <f>'Nach Mannschaften sortiert'!G109</f>
        <v>0</v>
      </c>
      <c r="I109" t="str">
        <f>'Nach Mannschaften sortiert'!C109</f>
        <v>U7</v>
      </c>
      <c r="J109" s="105" t="s">
        <v>107</v>
      </c>
      <c r="K109" t="s">
        <v>109</v>
      </c>
      <c r="L109" t="s">
        <v>145</v>
      </c>
    </row>
    <row r="110" spans="2:12" x14ac:dyDescent="0.3">
      <c r="B110" s="102">
        <f>'Nach Mannschaften sortiert'!D110</f>
        <v>46230</v>
      </c>
      <c r="C110" s="36">
        <f>'Nach Mannschaften sortiert'!E110</f>
        <v>0.375</v>
      </c>
      <c r="D110" s="36">
        <f t="shared" si="2"/>
        <v>0.5</v>
      </c>
      <c r="E110" s="36" t="str">
        <f>UPPER('Nach Mannschaften sortiert'!F110)</f>
        <v>NEUFELD</v>
      </c>
      <c r="G110" s="115" t="str">
        <f>'Nach Mannschaften sortiert'!H110</f>
        <v>Heim</v>
      </c>
      <c r="H110" t="str">
        <f>'Nach Mannschaften sortiert'!G110</f>
        <v>REAL MADRID CAMP</v>
      </c>
      <c r="I110" t="str">
        <f>'Nach Mannschaften sortiert'!C110</f>
        <v>Camp</v>
      </c>
      <c r="J110" s="105" t="s">
        <v>107</v>
      </c>
      <c r="K110" t="s">
        <v>109</v>
      </c>
      <c r="L110" t="s">
        <v>145</v>
      </c>
    </row>
    <row r="111" spans="2:12" x14ac:dyDescent="0.3">
      <c r="B111" s="102">
        <f>'Nach Mannschaften sortiert'!D111</f>
        <v>46231</v>
      </c>
      <c r="C111" s="36">
        <f>'Nach Mannschaften sortiert'!E111</f>
        <v>0.375</v>
      </c>
      <c r="D111" s="36">
        <f t="shared" si="2"/>
        <v>0.5</v>
      </c>
      <c r="E111" s="36" t="str">
        <f>UPPER('Nach Mannschaften sortiert'!F111)</f>
        <v>NEUFELD</v>
      </c>
      <c r="G111" s="115" t="str">
        <f>'Nach Mannschaften sortiert'!H111</f>
        <v>Heim</v>
      </c>
      <c r="H111" t="str">
        <f>'Nach Mannschaften sortiert'!G111</f>
        <v>REAL MADRID CAMP</v>
      </c>
      <c r="I111" t="str">
        <f>'Nach Mannschaften sortiert'!C111</f>
        <v>Camp</v>
      </c>
      <c r="J111" s="105" t="s">
        <v>107</v>
      </c>
      <c r="K111" t="s">
        <v>109</v>
      </c>
      <c r="L111" t="s">
        <v>145</v>
      </c>
    </row>
    <row r="112" spans="2:12" x14ac:dyDescent="0.3">
      <c r="B112" s="102">
        <f>'Nach Mannschaften sortiert'!D112</f>
        <v>46232</v>
      </c>
      <c r="C112" s="36">
        <f>'Nach Mannschaften sortiert'!E112</f>
        <v>0.375</v>
      </c>
      <c r="D112" s="36">
        <f t="shared" si="2"/>
        <v>0.5</v>
      </c>
      <c r="E112" s="36" t="str">
        <f>UPPER('Nach Mannschaften sortiert'!F112)</f>
        <v>NEUFELD</v>
      </c>
      <c r="G112" s="115" t="str">
        <f>'Nach Mannschaften sortiert'!H112</f>
        <v>Heim</v>
      </c>
      <c r="H112" t="str">
        <f>'Nach Mannschaften sortiert'!G112</f>
        <v>REAL MADRID CAMP</v>
      </c>
      <c r="I112" t="str">
        <f>'Nach Mannschaften sortiert'!C112</f>
        <v>Camp</v>
      </c>
      <c r="J112" s="105" t="s">
        <v>107</v>
      </c>
      <c r="K112" t="s">
        <v>109</v>
      </c>
      <c r="L112" t="s">
        <v>145</v>
      </c>
    </row>
    <row r="113" spans="2:12" x14ac:dyDescent="0.3">
      <c r="B113" s="102">
        <f>'Nach Mannschaften sortiert'!D113</f>
        <v>46233</v>
      </c>
      <c r="C113" s="36">
        <f>'Nach Mannschaften sortiert'!E113</f>
        <v>0.375</v>
      </c>
      <c r="D113" s="36">
        <f t="shared" si="2"/>
        <v>0.5</v>
      </c>
      <c r="E113" s="36" t="str">
        <f>UPPER('Nach Mannschaften sortiert'!F113)</f>
        <v>NEUFELD</v>
      </c>
      <c r="G113" s="115" t="str">
        <f>'Nach Mannschaften sortiert'!H113</f>
        <v>Heim</v>
      </c>
      <c r="H113" t="str">
        <f>'Nach Mannschaften sortiert'!G113</f>
        <v>REAL MADRID CAMP</v>
      </c>
      <c r="I113" t="str">
        <f>'Nach Mannschaften sortiert'!C113</f>
        <v>Camp</v>
      </c>
      <c r="J113" s="105" t="s">
        <v>107</v>
      </c>
      <c r="K113" t="s">
        <v>109</v>
      </c>
      <c r="L113" t="s">
        <v>145</v>
      </c>
    </row>
    <row r="114" spans="2:12" x14ac:dyDescent="0.3">
      <c r="B114" s="102">
        <f>'Nach Mannschaften sortiert'!D114</f>
        <v>46234</v>
      </c>
      <c r="C114" s="36">
        <f>'Nach Mannschaften sortiert'!E114</f>
        <v>0.375</v>
      </c>
      <c r="D114" s="36">
        <f t="shared" si="2"/>
        <v>0.5</v>
      </c>
      <c r="E114" s="36" t="str">
        <f>UPPER('Nach Mannschaften sortiert'!F114)</f>
        <v>NEUFELD</v>
      </c>
      <c r="G114" s="115" t="str">
        <f>'Nach Mannschaften sortiert'!H114</f>
        <v>Heim</v>
      </c>
      <c r="H114" t="str">
        <f>'Nach Mannschaften sortiert'!G114</f>
        <v>REAL MADRID CAMP</v>
      </c>
      <c r="I114" t="str">
        <f>'Nach Mannschaften sortiert'!C114</f>
        <v>Camp</v>
      </c>
      <c r="J114" s="105" t="s">
        <v>107</v>
      </c>
      <c r="K114" t="s">
        <v>109</v>
      </c>
      <c r="L114" t="s">
        <v>145</v>
      </c>
    </row>
    <row r="115" spans="2:12" x14ac:dyDescent="0.3">
      <c r="B115" s="102">
        <f>'Nach Mannschaften sortiert'!D115</f>
        <v>46237</v>
      </c>
      <c r="C115" s="36">
        <f>'Nach Mannschaften sortiert'!E115</f>
        <v>0.375</v>
      </c>
      <c r="D115" s="36">
        <f t="shared" si="2"/>
        <v>0.5</v>
      </c>
      <c r="E115" s="36" t="str">
        <f>UPPER('Nach Mannschaften sortiert'!F115)</f>
        <v>NEUFELD</v>
      </c>
      <c r="G115" s="115" t="str">
        <f>'Nach Mannschaften sortiert'!H115</f>
        <v>Heim</v>
      </c>
      <c r="H115" t="str">
        <f>'Nach Mannschaften sortiert'!G115</f>
        <v>MÄDCHENCAMP</v>
      </c>
      <c r="I115" t="str">
        <f>'Nach Mannschaften sortiert'!C115</f>
        <v>Camp</v>
      </c>
      <c r="J115" s="105" t="s">
        <v>107</v>
      </c>
      <c r="K115" t="s">
        <v>109</v>
      </c>
      <c r="L115" t="s">
        <v>145</v>
      </c>
    </row>
    <row r="116" spans="2:12" x14ac:dyDescent="0.3">
      <c r="B116" s="102">
        <f>'Nach Mannschaften sortiert'!D116</f>
        <v>46238</v>
      </c>
      <c r="C116" s="36">
        <f>'Nach Mannschaften sortiert'!E116</f>
        <v>0.375</v>
      </c>
      <c r="D116" s="36">
        <f t="shared" si="2"/>
        <v>0.5</v>
      </c>
      <c r="E116" s="36" t="str">
        <f>UPPER('Nach Mannschaften sortiert'!F116)</f>
        <v>NEUFELD</v>
      </c>
      <c r="G116" s="115" t="str">
        <f>'Nach Mannschaften sortiert'!H116</f>
        <v>Heim</v>
      </c>
      <c r="H116" t="str">
        <f>'Nach Mannschaften sortiert'!G116</f>
        <v>MÄDCHENCAMP</v>
      </c>
      <c r="I116" t="str">
        <f>'Nach Mannschaften sortiert'!C116</f>
        <v>Camp</v>
      </c>
      <c r="J116" s="105" t="s">
        <v>107</v>
      </c>
      <c r="K116" t="s">
        <v>109</v>
      </c>
      <c r="L116" t="s">
        <v>145</v>
      </c>
    </row>
    <row r="117" spans="2:12" x14ac:dyDescent="0.3">
      <c r="B117" s="102">
        <f>'Nach Mannschaften sortiert'!D117</f>
        <v>46239</v>
      </c>
      <c r="C117" s="36">
        <f>'Nach Mannschaften sortiert'!E117</f>
        <v>0.375</v>
      </c>
      <c r="D117" s="36">
        <f t="shared" si="2"/>
        <v>0.5</v>
      </c>
      <c r="E117" s="36" t="str">
        <f>UPPER('Nach Mannschaften sortiert'!F117)</f>
        <v>NEUFELD</v>
      </c>
      <c r="G117" s="115" t="str">
        <f>'Nach Mannschaften sortiert'!H117</f>
        <v>Heim</v>
      </c>
      <c r="H117" t="str">
        <f>'Nach Mannschaften sortiert'!G117</f>
        <v>MÄDCHENCAMP</v>
      </c>
      <c r="I117" t="str">
        <f>'Nach Mannschaften sortiert'!C117</f>
        <v>Camp</v>
      </c>
      <c r="J117" s="105" t="s">
        <v>107</v>
      </c>
      <c r="K117" t="s">
        <v>109</v>
      </c>
      <c r="L117" t="s">
        <v>145</v>
      </c>
    </row>
    <row r="118" spans="2:12" x14ac:dyDescent="0.3">
      <c r="B118" s="102">
        <f>'Nach Mannschaften sortiert'!D118</f>
        <v>46321</v>
      </c>
      <c r="C118" s="36">
        <f>'Nach Mannschaften sortiert'!E118</f>
        <v>0.375</v>
      </c>
      <c r="D118" s="36">
        <f t="shared" si="2"/>
        <v>0.5</v>
      </c>
      <c r="E118" s="36" t="str">
        <f>UPPER('Nach Mannschaften sortiert'!F118)</f>
        <v>NEUFELD</v>
      </c>
      <c r="G118" s="115" t="str">
        <f>'Nach Mannschaften sortiert'!H118</f>
        <v>Heim</v>
      </c>
      <c r="H118" t="str">
        <f>'Nach Mannschaften sortiert'!G118</f>
        <v>Teco 7 Camp</v>
      </c>
      <c r="I118" t="str">
        <f>'Nach Mannschaften sortiert'!C118</f>
        <v>Camp</v>
      </c>
      <c r="J118" s="105" t="s">
        <v>107</v>
      </c>
      <c r="K118" t="s">
        <v>109</v>
      </c>
      <c r="L118" t="s">
        <v>145</v>
      </c>
    </row>
    <row r="119" spans="2:12" x14ac:dyDescent="0.3">
      <c r="B119" s="102">
        <f>'Nach Mannschaften sortiert'!D119</f>
        <v>46322</v>
      </c>
      <c r="C119" s="36">
        <f>'Nach Mannschaften sortiert'!E119</f>
        <v>0.375</v>
      </c>
      <c r="D119" s="36">
        <f t="shared" si="2"/>
        <v>0.5</v>
      </c>
      <c r="E119" s="36" t="str">
        <f>UPPER('Nach Mannschaften sortiert'!F119)</f>
        <v>NEUFELD</v>
      </c>
      <c r="G119" s="115" t="str">
        <f>'Nach Mannschaften sortiert'!H119</f>
        <v>Heim</v>
      </c>
      <c r="H119" t="str">
        <f>'Nach Mannschaften sortiert'!G119</f>
        <v>Teco 7 Camp</v>
      </c>
      <c r="I119" t="str">
        <f>'Nach Mannschaften sortiert'!C119</f>
        <v>Camp</v>
      </c>
      <c r="J119" s="105" t="s">
        <v>107</v>
      </c>
      <c r="K119" t="s">
        <v>109</v>
      </c>
      <c r="L119" t="s">
        <v>145</v>
      </c>
    </row>
    <row r="120" spans="2:12" x14ac:dyDescent="0.3">
      <c r="B120" s="102">
        <f>'Nach Mannschaften sortiert'!D120</f>
        <v>46323</v>
      </c>
      <c r="C120" s="36">
        <f>'Nach Mannschaften sortiert'!E120</f>
        <v>0.375</v>
      </c>
      <c r="D120" s="36">
        <f t="shared" si="2"/>
        <v>0.5</v>
      </c>
      <c r="E120" s="36" t="str">
        <f>UPPER('Nach Mannschaften sortiert'!F120)</f>
        <v>NEUFELD</v>
      </c>
      <c r="G120" s="115" t="str">
        <f>'Nach Mannschaften sortiert'!H120</f>
        <v>Heim</v>
      </c>
      <c r="H120" t="str">
        <f>'Nach Mannschaften sortiert'!G120</f>
        <v>Teco 7 Camp</v>
      </c>
      <c r="I120" t="str">
        <f>'Nach Mannschaften sortiert'!C120</f>
        <v>Camp</v>
      </c>
      <c r="J120" s="105" t="s">
        <v>107</v>
      </c>
      <c r="K120" t="s">
        <v>109</v>
      </c>
      <c r="L120" t="s">
        <v>145</v>
      </c>
    </row>
    <row r="121" spans="2:12" x14ac:dyDescent="0.3">
      <c r="B121" s="102">
        <f>'Nach Mannschaften sortiert'!D121</f>
        <v>46256</v>
      </c>
      <c r="C121" s="36">
        <f>'Nach Mannschaften sortiert'!E121</f>
        <v>0.375</v>
      </c>
      <c r="D121" s="36">
        <f t="shared" si="2"/>
        <v>0.5</v>
      </c>
      <c r="E121" s="36" t="str">
        <f>UPPER('Nach Mannschaften sortiert'!F121)</f>
        <v>NEUFELD</v>
      </c>
      <c r="G121" s="115" t="str">
        <f>'Nach Mannschaften sortiert'!H121</f>
        <v>Heim</v>
      </c>
      <c r="H121" t="str">
        <f>'Nach Mannschaften sortiert'!G121</f>
        <v>viele Gegner</v>
      </c>
      <c r="I121" t="str">
        <f>'Nach Mannschaften sortiert'!C121</f>
        <v>GGG</v>
      </c>
      <c r="J121" s="105" t="s">
        <v>107</v>
      </c>
      <c r="K121" t="s">
        <v>109</v>
      </c>
      <c r="L121" t="s">
        <v>145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38BD94-8334-4C49-885A-AEABEA7C434E}">
  <dimension ref="A1:C21"/>
  <sheetViews>
    <sheetView workbookViewId="0">
      <selection sqref="A1:C16"/>
    </sheetView>
  </sheetViews>
  <sheetFormatPr baseColWidth="10" defaultRowHeight="14.4" x14ac:dyDescent="0.3"/>
  <cols>
    <col min="1" max="1" width="28.109375" bestFit="1" customWidth="1"/>
    <col min="2" max="2" width="16.77734375" hidden="1" customWidth="1"/>
    <col min="3" max="3" width="48.33203125" bestFit="1" customWidth="1"/>
  </cols>
  <sheetData>
    <row r="1" spans="1:3" ht="19.95" customHeight="1" x14ac:dyDescent="0.3">
      <c r="A1" s="107" t="s">
        <v>127</v>
      </c>
      <c r="B1" s="107"/>
      <c r="C1" s="107" t="s">
        <v>143</v>
      </c>
    </row>
    <row r="2" spans="1:3" ht="19.95" customHeight="1" x14ac:dyDescent="0.3">
      <c r="A2" s="107" t="s">
        <v>128</v>
      </c>
      <c r="B2" s="107" t="s">
        <v>110</v>
      </c>
      <c r="C2" s="107" t="str">
        <f>"https://dtb-asv.github.io/asv-neufeld/"&amp;B2</f>
        <v>https://dtb-asv.github.io/asv-neufeld/alle_spiele.ics</v>
      </c>
    </row>
    <row r="3" spans="1:3" ht="19.95" customHeight="1" x14ac:dyDescent="0.3">
      <c r="A3" s="107" t="s">
        <v>129</v>
      </c>
      <c r="B3" s="107" t="s">
        <v>111</v>
      </c>
      <c r="C3" s="107" t="str">
        <f t="shared" ref="C3:C18" si="0">"https://dtb-asv.github.io/asv-neufeld/"&amp;B3</f>
        <v>https://dtb-asv.github.io/asv-neufeld/heimspiele.ics</v>
      </c>
    </row>
    <row r="4" spans="1:3" ht="19.95" customHeight="1" x14ac:dyDescent="0.3">
      <c r="A4" s="107" t="s">
        <v>130</v>
      </c>
      <c r="B4" s="107" t="s">
        <v>112</v>
      </c>
      <c r="C4" s="107" t="str">
        <f t="shared" si="0"/>
        <v>https://dtb-asv.github.io/asv-neufeld/auswaertsspiele.ics</v>
      </c>
    </row>
    <row r="5" spans="1:3" ht="19.95" customHeight="1" x14ac:dyDescent="0.3">
      <c r="A5" s="107" t="s">
        <v>131</v>
      </c>
      <c r="B5" s="107" t="s">
        <v>113</v>
      </c>
      <c r="C5" s="107" t="str">
        <f t="shared" si="0"/>
        <v>https://dtb-asv.github.io/asv-neufeld/KM.ics</v>
      </c>
    </row>
    <row r="6" spans="1:3" ht="19.95" customHeight="1" x14ac:dyDescent="0.3">
      <c r="A6" s="107" t="s">
        <v>132</v>
      </c>
      <c r="B6" s="107" t="s">
        <v>114</v>
      </c>
      <c r="C6" s="107" t="str">
        <f t="shared" si="0"/>
        <v>https://dtb-asv.github.io/asv-neufeld/U23.ics</v>
      </c>
    </row>
    <row r="7" spans="1:3" ht="19.95" customHeight="1" x14ac:dyDescent="0.3">
      <c r="A7" s="107" t="s">
        <v>133</v>
      </c>
      <c r="B7" s="107" t="s">
        <v>115</v>
      </c>
      <c r="C7" s="107" t="str">
        <f t="shared" si="0"/>
        <v>https://dtb-asv.github.io/asv-neufeld/U16.ics</v>
      </c>
    </row>
    <row r="8" spans="1:3" ht="19.95" customHeight="1" x14ac:dyDescent="0.3">
      <c r="A8" s="107" t="s">
        <v>138</v>
      </c>
      <c r="B8" s="107" t="s">
        <v>116</v>
      </c>
      <c r="C8" s="107" t="str">
        <f t="shared" si="0"/>
        <v>https://dtb-asv.github.io/asv-neufeld/U15.ics</v>
      </c>
    </row>
    <row r="9" spans="1:3" ht="19.95" customHeight="1" x14ac:dyDescent="0.3">
      <c r="A9" s="107" t="s">
        <v>139</v>
      </c>
      <c r="B9" s="107" t="s">
        <v>117</v>
      </c>
      <c r="C9" s="107" t="str">
        <f t="shared" si="0"/>
        <v>https://dtb-asv.github.io/asv-neufeld/U14.ics</v>
      </c>
    </row>
    <row r="10" spans="1:3" ht="19.95" customHeight="1" x14ac:dyDescent="0.3">
      <c r="A10" s="107" t="s">
        <v>140</v>
      </c>
      <c r="B10" s="107" t="s">
        <v>118</v>
      </c>
      <c r="C10" s="107" t="str">
        <f t="shared" si="0"/>
        <v>https://dtb-asv.github.io/asv-neufeld/U13.ics</v>
      </c>
    </row>
    <row r="11" spans="1:3" ht="19.95" customHeight="1" x14ac:dyDescent="0.3">
      <c r="A11" s="107" t="s">
        <v>141</v>
      </c>
      <c r="B11" s="107" t="s">
        <v>125</v>
      </c>
      <c r="C11" s="107" t="str">
        <f t="shared" si="0"/>
        <v>https://dtb-asv.github.io/asv-neufeld/U12.ics</v>
      </c>
    </row>
    <row r="12" spans="1:3" ht="19.95" customHeight="1" x14ac:dyDescent="0.3">
      <c r="A12" s="107" t="s">
        <v>142</v>
      </c>
      <c r="B12" s="107" t="s">
        <v>119</v>
      </c>
      <c r="C12" s="107" t="str">
        <f t="shared" si="0"/>
        <v>https://dtb-asv.github.io/asv-neufeld/U11.ics</v>
      </c>
    </row>
    <row r="13" spans="1:3" ht="19.95" customHeight="1" x14ac:dyDescent="0.3">
      <c r="A13" s="107" t="s">
        <v>137</v>
      </c>
      <c r="B13" s="107" t="s">
        <v>126</v>
      </c>
      <c r="C13" s="107" t="str">
        <f t="shared" si="0"/>
        <v>https://dtb-asv.github.io/asv-neufeld/U10.ics</v>
      </c>
    </row>
    <row r="14" spans="1:3" ht="19.95" customHeight="1" x14ac:dyDescent="0.3">
      <c r="A14" s="107" t="s">
        <v>136</v>
      </c>
      <c r="B14" s="107" t="s">
        <v>120</v>
      </c>
      <c r="C14" s="107" t="str">
        <f t="shared" si="0"/>
        <v>https://dtb-asv.github.io/asv-neufeld/U9.ics</v>
      </c>
    </row>
    <row r="15" spans="1:3" ht="19.95" customHeight="1" x14ac:dyDescent="0.3">
      <c r="A15" s="107" t="s">
        <v>135</v>
      </c>
      <c r="B15" s="107" t="s">
        <v>121</v>
      </c>
      <c r="C15" s="107" t="str">
        <f t="shared" si="0"/>
        <v>https://dtb-asv.github.io/asv-neufeld/ U8.ics</v>
      </c>
    </row>
    <row r="16" spans="1:3" ht="19.95" customHeight="1" x14ac:dyDescent="0.3">
      <c r="A16" s="107" t="s">
        <v>134</v>
      </c>
      <c r="B16" s="107" t="s">
        <v>122</v>
      </c>
      <c r="C16" s="107" t="str">
        <f t="shared" si="0"/>
        <v>https://dtb-asv.github.io/asv-neufeld/ U7.ics</v>
      </c>
    </row>
    <row r="17" spans="2:3" x14ac:dyDescent="0.3">
      <c r="B17" t="s">
        <v>123</v>
      </c>
      <c r="C17" t="str">
        <f t="shared" si="0"/>
        <v>https://dtb-asv.github.io/asv-neufeld/ Camp.ics</v>
      </c>
    </row>
    <row r="18" spans="2:3" x14ac:dyDescent="0.3">
      <c r="B18" t="s">
        <v>124</v>
      </c>
      <c r="C18" t="str">
        <f t="shared" si="0"/>
        <v>https://dtb-asv.github.io/asv-neufeld/ GGG.ics</v>
      </c>
    </row>
    <row r="21" spans="2:3" x14ac:dyDescent="0.3">
      <c r="B21" s="106"/>
    </row>
  </sheetData>
  <phoneticPr fontId="2" type="noConversion"/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5835B5-0239-4B2A-9BF3-5569F1A88475}">
  <dimension ref="A1:J19"/>
  <sheetViews>
    <sheetView workbookViewId="0">
      <selection activeCell="G21" sqref="G21"/>
    </sheetView>
  </sheetViews>
  <sheetFormatPr baseColWidth="10" defaultRowHeight="14.4" x14ac:dyDescent="0.3"/>
  <cols>
    <col min="1" max="1" width="21.109375" customWidth="1"/>
    <col min="2" max="2" width="20.88671875" customWidth="1"/>
    <col min="3" max="4" width="13" bestFit="1" customWidth="1"/>
    <col min="5" max="5" width="13.44140625" bestFit="1" customWidth="1"/>
    <col min="6" max="6" width="14.109375" bestFit="1" customWidth="1"/>
    <col min="7" max="7" width="14.33203125" bestFit="1" customWidth="1"/>
    <col min="8" max="8" width="13" bestFit="1" customWidth="1"/>
    <col min="9" max="9" width="19.5546875" customWidth="1"/>
  </cols>
  <sheetData>
    <row r="1" spans="1:10" ht="18.600000000000001" thickBot="1" x14ac:dyDescent="0.4">
      <c r="A1" s="122" t="s">
        <v>37</v>
      </c>
      <c r="B1" s="123"/>
      <c r="C1" s="123"/>
      <c r="D1" s="123"/>
      <c r="E1" s="123"/>
      <c r="F1" s="123"/>
      <c r="G1" s="123"/>
      <c r="H1" s="123"/>
    </row>
    <row r="2" spans="1:10" ht="31.8" thickTop="1" x14ac:dyDescent="0.3">
      <c r="A2" s="39" t="s">
        <v>45</v>
      </c>
      <c r="B2" s="39" t="s">
        <v>39</v>
      </c>
      <c r="C2" s="39" t="s">
        <v>38</v>
      </c>
      <c r="D2" s="39" t="s">
        <v>40</v>
      </c>
      <c r="E2" s="39" t="s">
        <v>41</v>
      </c>
      <c r="F2" s="39" t="s">
        <v>42</v>
      </c>
      <c r="G2" s="39" t="s">
        <v>43</v>
      </c>
      <c r="H2" s="39" t="s">
        <v>44</v>
      </c>
      <c r="I2" s="119" t="s">
        <v>66</v>
      </c>
      <c r="J2" s="47"/>
    </row>
    <row r="3" spans="1:10" ht="31.2" x14ac:dyDescent="0.35">
      <c r="A3" s="42" t="s">
        <v>46</v>
      </c>
      <c r="B3" s="43" t="s">
        <v>49</v>
      </c>
      <c r="C3" s="82"/>
      <c r="D3" s="82"/>
      <c r="E3" s="83" t="s">
        <v>90</v>
      </c>
      <c r="F3" s="82"/>
      <c r="G3" s="82"/>
      <c r="H3" s="84"/>
      <c r="I3" s="120"/>
      <c r="J3" s="47"/>
    </row>
    <row r="4" spans="1:10" ht="31.2" x14ac:dyDescent="0.35">
      <c r="A4" s="42" t="s">
        <v>72</v>
      </c>
      <c r="B4" s="43" t="s">
        <v>87</v>
      </c>
      <c r="C4" s="82"/>
      <c r="D4" s="85" t="s">
        <v>89</v>
      </c>
      <c r="E4" s="82"/>
      <c r="F4" s="85" t="s">
        <v>89</v>
      </c>
      <c r="G4" s="82"/>
      <c r="H4" s="84"/>
      <c r="I4" s="120"/>
      <c r="J4" s="47"/>
    </row>
    <row r="5" spans="1:10" ht="31.2" x14ac:dyDescent="0.35">
      <c r="A5" s="42" t="s">
        <v>21</v>
      </c>
      <c r="B5" s="43" t="s">
        <v>50</v>
      </c>
      <c r="C5" s="83" t="s">
        <v>55</v>
      </c>
      <c r="D5" s="82"/>
      <c r="E5" s="82"/>
      <c r="F5" s="83" t="s">
        <v>69</v>
      </c>
      <c r="G5" s="82"/>
      <c r="H5" s="84"/>
      <c r="I5" s="120"/>
      <c r="J5" s="47"/>
    </row>
    <row r="6" spans="1:10" ht="31.2" x14ac:dyDescent="0.35">
      <c r="A6" s="42" t="s">
        <v>28</v>
      </c>
      <c r="B6" s="43" t="s">
        <v>88</v>
      </c>
      <c r="C6" s="86"/>
      <c r="D6" s="87" t="s">
        <v>56</v>
      </c>
      <c r="E6" s="86"/>
      <c r="F6" s="87" t="s">
        <v>56</v>
      </c>
      <c r="G6" s="86"/>
      <c r="H6" s="84"/>
      <c r="I6" s="120"/>
      <c r="J6" s="47"/>
    </row>
    <row r="7" spans="1:10" ht="31.2" x14ac:dyDescent="0.35">
      <c r="A7" s="42" t="s">
        <v>47</v>
      </c>
      <c r="B7" s="43" t="s">
        <v>51</v>
      </c>
      <c r="C7" s="87" t="s">
        <v>56</v>
      </c>
      <c r="D7" s="82"/>
      <c r="E7" s="87" t="s">
        <v>56</v>
      </c>
      <c r="F7" s="82"/>
      <c r="G7" s="87" t="s">
        <v>56</v>
      </c>
      <c r="H7" s="84"/>
      <c r="I7" s="120"/>
      <c r="J7" s="47"/>
    </row>
    <row r="8" spans="1:10" ht="31.2" x14ac:dyDescent="0.35">
      <c r="A8" s="42" t="s">
        <v>14</v>
      </c>
      <c r="B8" s="43" t="s">
        <v>52</v>
      </c>
      <c r="C8" s="88" t="s">
        <v>56</v>
      </c>
      <c r="D8" s="82"/>
      <c r="E8" s="87" t="s">
        <v>56</v>
      </c>
      <c r="F8" s="86"/>
      <c r="G8" s="83" t="s">
        <v>56</v>
      </c>
      <c r="H8" s="84"/>
      <c r="I8" s="120"/>
      <c r="J8" s="47"/>
    </row>
    <row r="9" spans="1:10" ht="31.5" customHeight="1" x14ac:dyDescent="0.35">
      <c r="A9" s="42" t="s">
        <v>27</v>
      </c>
      <c r="B9" s="43" t="s">
        <v>53</v>
      </c>
      <c r="C9" s="87" t="s">
        <v>56</v>
      </c>
      <c r="D9" s="82"/>
      <c r="E9" s="82"/>
      <c r="F9" s="88" t="s">
        <v>56</v>
      </c>
      <c r="G9" s="87" t="s">
        <v>56</v>
      </c>
      <c r="H9" s="89" t="s">
        <v>57</v>
      </c>
      <c r="I9" s="120"/>
      <c r="J9" s="47"/>
    </row>
    <row r="10" spans="1:10" ht="31.2" x14ac:dyDescent="0.35">
      <c r="A10" s="40" t="s">
        <v>26</v>
      </c>
      <c r="B10" s="43" t="s">
        <v>67</v>
      </c>
      <c r="C10" s="82"/>
      <c r="D10" s="88" t="s">
        <v>94</v>
      </c>
      <c r="E10" s="82"/>
      <c r="F10" s="87" t="s">
        <v>93</v>
      </c>
      <c r="G10" s="87" t="s">
        <v>94</v>
      </c>
      <c r="H10" s="84"/>
      <c r="I10" s="120"/>
      <c r="J10" s="47"/>
    </row>
    <row r="11" spans="1:10" ht="31.8" thickBot="1" x14ac:dyDescent="0.4">
      <c r="A11" s="41" t="s">
        <v>48</v>
      </c>
      <c r="B11" s="44" t="s">
        <v>54</v>
      </c>
      <c r="C11" s="82"/>
      <c r="D11" s="90"/>
      <c r="E11" s="91" t="s">
        <v>70</v>
      </c>
      <c r="F11" s="101"/>
      <c r="G11" s="92" t="s">
        <v>65</v>
      </c>
      <c r="H11" s="93"/>
      <c r="I11" s="121"/>
      <c r="J11" s="47"/>
    </row>
    <row r="12" spans="1:10" ht="18.600000000000001" thickTop="1" x14ac:dyDescent="0.35">
      <c r="A12" s="42" t="s">
        <v>58</v>
      </c>
      <c r="B12" s="45" t="s">
        <v>91</v>
      </c>
      <c r="C12" s="94" t="s">
        <v>59</v>
      </c>
      <c r="D12" s="95"/>
      <c r="E12" s="94" t="s">
        <v>59</v>
      </c>
      <c r="F12" s="94" t="s">
        <v>59</v>
      </c>
      <c r="G12" s="95"/>
      <c r="H12" s="96"/>
    </row>
    <row r="13" spans="1:10" ht="18.600000000000001" thickBot="1" x14ac:dyDescent="0.4">
      <c r="A13" s="42" t="s">
        <v>30</v>
      </c>
      <c r="B13" s="46" t="s">
        <v>92</v>
      </c>
      <c r="C13" s="97" t="s">
        <v>59</v>
      </c>
      <c r="D13" s="90"/>
      <c r="E13" s="97" t="s">
        <v>59</v>
      </c>
      <c r="F13" s="97" t="s">
        <v>59</v>
      </c>
      <c r="G13" s="90"/>
      <c r="H13" s="93"/>
    </row>
    <row r="14" spans="1:10" ht="19.2" thickTop="1" thickBot="1" x14ac:dyDescent="0.4">
      <c r="A14" s="42" t="s">
        <v>60</v>
      </c>
      <c r="B14" s="42"/>
      <c r="C14" s="98"/>
      <c r="D14" s="99" t="s">
        <v>59</v>
      </c>
      <c r="E14" s="98"/>
      <c r="F14" s="98"/>
      <c r="G14" s="98"/>
      <c r="H14" s="100"/>
    </row>
    <row r="15" spans="1:10" ht="16.8" thickTop="1" thickBot="1" x14ac:dyDescent="0.35">
      <c r="A15" s="124" t="s">
        <v>63</v>
      </c>
      <c r="B15" s="125"/>
      <c r="C15" s="125"/>
      <c r="D15" s="125"/>
      <c r="E15" s="125"/>
      <c r="F15" s="125"/>
      <c r="G15" s="125"/>
      <c r="H15" s="126"/>
    </row>
    <row r="16" spans="1:10" ht="16.8" thickTop="1" thickBot="1" x14ac:dyDescent="0.35">
      <c r="A16" s="127" t="s">
        <v>62</v>
      </c>
      <c r="B16" s="128"/>
      <c r="C16" s="128"/>
      <c r="D16" s="128"/>
      <c r="E16" s="128"/>
      <c r="F16" s="128"/>
      <c r="G16" s="128"/>
      <c r="H16" s="129"/>
    </row>
    <row r="17" spans="1:8" ht="16.8" thickTop="1" thickBot="1" x14ac:dyDescent="0.35">
      <c r="A17" s="130" t="s">
        <v>61</v>
      </c>
      <c r="B17" s="131"/>
      <c r="C17" s="131"/>
      <c r="D17" s="131"/>
      <c r="E17" s="131"/>
      <c r="F17" s="131"/>
      <c r="G17" s="131"/>
      <c r="H17" s="132"/>
    </row>
    <row r="18" spans="1:8" ht="16.8" thickTop="1" thickBot="1" x14ac:dyDescent="0.35">
      <c r="A18" s="116" t="s">
        <v>64</v>
      </c>
      <c r="B18" s="117"/>
      <c r="C18" s="117"/>
      <c r="D18" s="117"/>
      <c r="E18" s="117"/>
      <c r="F18" s="117"/>
      <c r="G18" s="117"/>
      <c r="H18" s="118"/>
    </row>
    <row r="19" spans="1:8" ht="15" thickTop="1" x14ac:dyDescent="0.3"/>
  </sheetData>
  <mergeCells count="6">
    <mergeCell ref="A18:H18"/>
    <mergeCell ref="I2:I11"/>
    <mergeCell ref="A1:H1"/>
    <mergeCell ref="A15:H15"/>
    <mergeCell ref="A16:H16"/>
    <mergeCell ref="A17:H17"/>
  </mergeCells>
  <phoneticPr fontId="2" type="noConversion"/>
  <pageMargins left="0.23622047244094491" right="0.23622047244094491" top="0.15748031496062992" bottom="0.19685039370078741" header="0.31496062992125984" footer="0.31496062992125984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CAA465-B35F-48D1-A8EE-0892EAC86D5B}">
  <sheetPr filterMode="1"/>
  <dimension ref="A1:H84"/>
  <sheetViews>
    <sheetView workbookViewId="0">
      <selection activeCell="E81" sqref="E81"/>
    </sheetView>
  </sheetViews>
  <sheetFormatPr baseColWidth="10" defaultRowHeight="14.4" x14ac:dyDescent="0.3"/>
  <cols>
    <col min="1" max="1" width="25.33203125" bestFit="1" customWidth="1"/>
    <col min="2" max="2" width="11.33203125" bestFit="1" customWidth="1"/>
    <col min="3" max="3" width="15.88671875" bestFit="1" customWidth="1"/>
    <col min="4" max="4" width="27" style="53" bestFit="1" customWidth="1"/>
    <col min="5" max="5" width="27" style="36" customWidth="1"/>
    <col min="6" max="6" width="17.109375" bestFit="1" customWidth="1"/>
    <col min="7" max="7" width="21.5546875" bestFit="1" customWidth="1"/>
    <col min="8" max="8" width="18.44140625" bestFit="1" customWidth="1"/>
  </cols>
  <sheetData>
    <row r="1" spans="1:8" x14ac:dyDescent="0.3">
      <c r="A1" s="2" t="str">
        <f>'Nach Mannschaften sortiert'!A1</f>
        <v>fortlaufende Nummer</v>
      </c>
      <c r="B1" s="2" t="str">
        <f>'Nach Mannschaften sortiert'!B1</f>
        <v>Runde</v>
      </c>
      <c r="C1" s="2" t="str">
        <f>'Nach Mannschaften sortiert'!C1</f>
        <v>Mannschaft</v>
      </c>
      <c r="D1" s="13" t="str">
        <f>'Nach Mannschaften sortiert'!D1</f>
        <v>fixierter Termin</v>
      </c>
      <c r="E1" s="35" t="str">
        <f>'Nach Mannschaften sortiert'!E1</f>
        <v>fixierte Uhrzeit</v>
      </c>
      <c r="F1" s="2" t="str">
        <f>'Nach Mannschaften sortiert'!F1</f>
        <v>Ort</v>
      </c>
      <c r="G1" s="2" t="str">
        <f>'Nach Mannschaften sortiert'!G1</f>
        <v>Gegner</v>
      </c>
      <c r="H1" s="2" t="str">
        <f>'Nach Mannschaften sortiert'!H1</f>
        <v>Auswärt/Heim</v>
      </c>
    </row>
    <row r="2" spans="1:8" hidden="1" x14ac:dyDescent="0.3">
      <c r="A2" s="2">
        <f>'Nach Mannschaften sortiert'!A9</f>
        <v>8</v>
      </c>
      <c r="B2" s="2">
        <f>'Nach Mannschaften sortiert'!B9</f>
        <v>1</v>
      </c>
      <c r="C2" s="2" t="str">
        <f>'Nach Mannschaften sortiert'!C9</f>
        <v>KM</v>
      </c>
      <c r="D2" s="13">
        <f>'Nach Mannschaften sortiert'!D9</f>
        <v>46249</v>
      </c>
      <c r="E2" s="35">
        <f>'Nach Mannschaften sortiert'!E9</f>
        <v>0.72916666666666663</v>
      </c>
      <c r="F2" s="2" t="str">
        <f>'Nach Mannschaften sortiert'!F9</f>
        <v>Kittsee</v>
      </c>
      <c r="G2" s="2" t="str">
        <f>'Nach Mannschaften sortiert'!G9</f>
        <v>Kittsee</v>
      </c>
      <c r="H2" s="2" t="str">
        <f>'Nach Mannschaften sortiert'!H9</f>
        <v>Auswärts</v>
      </c>
    </row>
    <row r="3" spans="1:8" x14ac:dyDescent="0.3">
      <c r="A3" s="2">
        <f>'Nach Mannschaften sortiert'!A10</f>
        <v>9</v>
      </c>
      <c r="B3" s="2">
        <f>'Nach Mannschaften sortiert'!B10</f>
        <v>2</v>
      </c>
      <c r="C3" s="2" t="str">
        <f>'Nach Mannschaften sortiert'!C10</f>
        <v>KM</v>
      </c>
      <c r="D3" s="13">
        <f>'Nach Mannschaften sortiert'!D10</f>
        <v>46256</v>
      </c>
      <c r="E3" s="35">
        <f>'Nach Mannschaften sortiert'!E10</f>
        <v>0.70833333333333337</v>
      </c>
      <c r="F3" s="2" t="str">
        <f>'Nach Mannschaften sortiert'!F10</f>
        <v>Deutsch Jahrndorf</v>
      </c>
      <c r="G3" s="2" t="str">
        <f>'Nach Mannschaften sortiert'!G10</f>
        <v>Deutsch Jahrndorf</v>
      </c>
      <c r="H3" s="2" t="str">
        <f>'Nach Mannschaften sortiert'!H10</f>
        <v>Auswärts</v>
      </c>
    </row>
    <row r="4" spans="1:8" hidden="1" x14ac:dyDescent="0.3">
      <c r="A4" s="2">
        <f>'Nach Mannschaften sortiert'!A11</f>
        <v>10</v>
      </c>
      <c r="B4" s="2">
        <f>'Nach Mannschaften sortiert'!B11</f>
        <v>3</v>
      </c>
      <c r="C4" s="2" t="str">
        <f>'Nach Mannschaften sortiert'!C11</f>
        <v>KM</v>
      </c>
      <c r="D4" s="13">
        <f>'Nach Mannschaften sortiert'!D11</f>
        <v>46263</v>
      </c>
      <c r="E4" s="35">
        <f>'Nach Mannschaften sortiert'!E11</f>
        <v>0.70833333333333337</v>
      </c>
      <c r="F4" s="2" t="str">
        <f>'Nach Mannschaften sortiert'!F11</f>
        <v>Neufeld</v>
      </c>
      <c r="G4" s="2" t="str">
        <f>'Nach Mannschaften sortiert'!G11</f>
        <v>Tadten</v>
      </c>
      <c r="H4" s="2" t="str">
        <f>'Nach Mannschaften sortiert'!H11</f>
        <v>Heim</v>
      </c>
    </row>
    <row r="5" spans="1:8" x14ac:dyDescent="0.3">
      <c r="A5" s="2">
        <f>'Nach Mannschaften sortiert'!A45</f>
        <v>44</v>
      </c>
      <c r="B5" s="2">
        <f>'Nach Mannschaften sortiert'!B45</f>
        <v>1</v>
      </c>
      <c r="C5" s="2" t="str">
        <f>'Nach Mannschaften sortiert'!C45</f>
        <v>U14</v>
      </c>
      <c r="D5" s="13">
        <f>'Nach Mannschaften sortiert'!D45</f>
        <v>46033</v>
      </c>
      <c r="E5" s="35">
        <f>'Nach Mannschaften sortiert'!E45</f>
        <v>0</v>
      </c>
      <c r="F5" s="2">
        <f>'Nach Mannschaften sortiert'!F45</f>
        <v>0</v>
      </c>
      <c r="G5" s="2">
        <f>'Nach Mannschaften sortiert'!G45</f>
        <v>0</v>
      </c>
      <c r="H5" s="2">
        <f>'Nach Mannschaften sortiert'!H45</f>
        <v>0</v>
      </c>
    </row>
    <row r="6" spans="1:8" hidden="1" x14ac:dyDescent="0.3">
      <c r="A6" s="2">
        <f>'Nach Mannschaften sortiert'!A13</f>
        <v>12</v>
      </c>
      <c r="B6" s="2">
        <f>'Nach Mannschaften sortiert'!B13</f>
        <v>5</v>
      </c>
      <c r="C6" s="2" t="str">
        <f>'Nach Mannschaften sortiert'!C13</f>
        <v>KM</v>
      </c>
      <c r="D6" s="13">
        <f>'Nach Mannschaften sortiert'!D13</f>
        <v>46277</v>
      </c>
      <c r="E6" s="35">
        <f>'Nach Mannschaften sortiert'!E13</f>
        <v>0.6875</v>
      </c>
      <c r="F6" s="2" t="str">
        <f>'Nach Mannschaften sortiert'!F13</f>
        <v>Neufeld</v>
      </c>
      <c r="G6" s="2" t="str">
        <f>'Nach Mannschaften sortiert'!G13</f>
        <v>Winden</v>
      </c>
      <c r="H6" s="2" t="str">
        <f>'Nach Mannschaften sortiert'!H13</f>
        <v>Heim</v>
      </c>
    </row>
    <row r="7" spans="1:8" x14ac:dyDescent="0.3">
      <c r="A7" s="2">
        <f>'Nach Mannschaften sortiert'!A55</f>
        <v>54</v>
      </c>
      <c r="B7" s="2">
        <f>'Nach Mannschaften sortiert'!B55</f>
        <v>1</v>
      </c>
      <c r="C7" s="2" t="str">
        <f>'Nach Mannschaften sortiert'!C55</f>
        <v>U12_1</v>
      </c>
      <c r="D7" s="13">
        <f>'Nach Mannschaften sortiert'!D55</f>
        <v>46043</v>
      </c>
      <c r="E7" s="35">
        <f>'Nach Mannschaften sortiert'!E55</f>
        <v>0</v>
      </c>
      <c r="F7" s="2">
        <f>'Nach Mannschaften sortiert'!F55</f>
        <v>0</v>
      </c>
      <c r="G7" s="2">
        <f>'Nach Mannschaften sortiert'!G55</f>
        <v>0</v>
      </c>
      <c r="H7" s="2">
        <f>'Nach Mannschaften sortiert'!H55</f>
        <v>0</v>
      </c>
    </row>
    <row r="8" spans="1:8" hidden="1" x14ac:dyDescent="0.3">
      <c r="A8" s="2">
        <f>'Nach Mannschaften sortiert'!A15</f>
        <v>14</v>
      </c>
      <c r="B8" s="2">
        <f>'Nach Mannschaften sortiert'!B15</f>
        <v>7</v>
      </c>
      <c r="C8" s="2" t="str">
        <f>'Nach Mannschaften sortiert'!C15</f>
        <v>KM</v>
      </c>
      <c r="D8" s="13">
        <f>'Nach Mannschaften sortiert'!D15</f>
        <v>46291</v>
      </c>
      <c r="E8" s="35">
        <f>'Nach Mannschaften sortiert'!E15</f>
        <v>0.66666666666666663</v>
      </c>
      <c r="F8" s="2" t="str">
        <f>'Nach Mannschaften sortiert'!F15</f>
        <v>Neufeld</v>
      </c>
      <c r="G8" s="2" t="str">
        <f>'Nach Mannschaften sortiert'!G15</f>
        <v>Wallern</v>
      </c>
      <c r="H8" s="2" t="str">
        <f>'Nach Mannschaften sortiert'!H15</f>
        <v>Heim</v>
      </c>
    </row>
    <row r="9" spans="1:8" x14ac:dyDescent="0.3">
      <c r="A9" s="63">
        <f>'Nach Mannschaften sortiert'!A110</f>
        <v>109</v>
      </c>
      <c r="B9" s="63">
        <f>'Nach Mannschaften sortiert'!B110</f>
        <v>1</v>
      </c>
      <c r="C9" s="63" t="str">
        <f>'Nach Mannschaften sortiert'!C110</f>
        <v>Camp</v>
      </c>
      <c r="D9" s="64">
        <f>'Nach Mannschaften sortiert'!D110</f>
        <v>46230</v>
      </c>
      <c r="E9" s="65">
        <f>'Nach Mannschaften sortiert'!E110</f>
        <v>0.375</v>
      </c>
      <c r="F9" s="63" t="str">
        <f>'Nach Mannschaften sortiert'!F110</f>
        <v>Neufeld</v>
      </c>
      <c r="G9" s="63" t="str">
        <f>'Nach Mannschaften sortiert'!G110</f>
        <v>REAL MADRID CAMP</v>
      </c>
      <c r="H9" s="63" t="str">
        <f>'Nach Mannschaften sortiert'!H110</f>
        <v>Heim</v>
      </c>
    </row>
    <row r="10" spans="1:8" hidden="1" x14ac:dyDescent="0.3">
      <c r="A10" s="2">
        <f>'Nach Mannschaften sortiert'!A17</f>
        <v>16</v>
      </c>
      <c r="B10" s="2">
        <f>'Nach Mannschaften sortiert'!B17</f>
        <v>9</v>
      </c>
      <c r="C10" s="2" t="str">
        <f>'Nach Mannschaften sortiert'!C17</f>
        <v>KM</v>
      </c>
      <c r="D10" s="13">
        <f>'Nach Mannschaften sortiert'!D17</f>
        <v>46305</v>
      </c>
      <c r="E10" s="35">
        <f>'Nach Mannschaften sortiert'!E17</f>
        <v>0.64583333333333337</v>
      </c>
      <c r="F10" s="2" t="str">
        <f>'Nach Mannschaften sortiert'!F17</f>
        <v>Neufeld</v>
      </c>
      <c r="G10" s="2" t="str">
        <f>'Nach Mannschaften sortiert'!G17</f>
        <v>Wimpassing</v>
      </c>
      <c r="H10" s="2" t="str">
        <f>'Nach Mannschaften sortiert'!H17</f>
        <v>Heim</v>
      </c>
    </row>
    <row r="11" spans="1:8" x14ac:dyDescent="0.3">
      <c r="A11" s="63">
        <f>'Nach Mannschaften sortiert'!A111</f>
        <v>110</v>
      </c>
      <c r="B11" s="63">
        <f>'Nach Mannschaften sortiert'!B111</f>
        <v>2</v>
      </c>
      <c r="C11" s="63" t="str">
        <f>'Nach Mannschaften sortiert'!C111</f>
        <v>Camp</v>
      </c>
      <c r="D11" s="64">
        <f>'Nach Mannschaften sortiert'!D111</f>
        <v>46231</v>
      </c>
      <c r="E11" s="65">
        <f>'Nach Mannschaften sortiert'!E111</f>
        <v>0.375</v>
      </c>
      <c r="F11" s="63" t="str">
        <f>'Nach Mannschaften sortiert'!F111</f>
        <v>Neufeld</v>
      </c>
      <c r="G11" s="63" t="str">
        <f>'Nach Mannschaften sortiert'!G111</f>
        <v>REAL MADRID CAMP</v>
      </c>
      <c r="H11" s="63" t="str">
        <f>'Nach Mannschaften sortiert'!H111</f>
        <v>Heim</v>
      </c>
    </row>
    <row r="12" spans="1:8" hidden="1" x14ac:dyDescent="0.3">
      <c r="A12" s="2">
        <f>'Nach Mannschaften sortiert'!A19</f>
        <v>18</v>
      </c>
      <c r="B12" s="2">
        <f>'Nach Mannschaften sortiert'!B19</f>
        <v>11</v>
      </c>
      <c r="C12" s="2" t="str">
        <f>'Nach Mannschaften sortiert'!C19</f>
        <v>KM</v>
      </c>
      <c r="D12" s="13">
        <f>'Nach Mannschaften sortiert'!D19</f>
        <v>46319</v>
      </c>
      <c r="E12" s="35">
        <f>'Nach Mannschaften sortiert'!E19</f>
        <v>0.625</v>
      </c>
      <c r="F12" s="2" t="str">
        <f>'Nach Mannschaften sortiert'!F19</f>
        <v>Neufeld</v>
      </c>
      <c r="G12" s="2" t="str">
        <f>'Nach Mannschaften sortiert'!G19</f>
        <v>Gols</v>
      </c>
      <c r="H12" s="2" t="str">
        <f>'Nach Mannschaften sortiert'!H19</f>
        <v>Heim</v>
      </c>
    </row>
    <row r="13" spans="1:8" hidden="1" x14ac:dyDescent="0.3">
      <c r="A13" s="2">
        <f>'Nach Mannschaften sortiert'!A20</f>
        <v>19</v>
      </c>
      <c r="B13" s="2">
        <f>'Nach Mannschaften sortiert'!B20</f>
        <v>12</v>
      </c>
      <c r="C13" s="2" t="str">
        <f>'Nach Mannschaften sortiert'!C20</f>
        <v>KM</v>
      </c>
      <c r="D13" s="13">
        <f>'Nach Mannschaften sortiert'!D20</f>
        <v>46326</v>
      </c>
      <c r="E13" s="35">
        <f>'Nach Mannschaften sortiert'!E20</f>
        <v>0.58333333333333337</v>
      </c>
      <c r="F13" s="2" t="str">
        <f>'Nach Mannschaften sortiert'!F20</f>
        <v>Illmitz</v>
      </c>
      <c r="G13" s="2" t="str">
        <f>'Nach Mannschaften sortiert'!G20</f>
        <v>Illmitz</v>
      </c>
      <c r="H13" s="2" t="str">
        <f>'Nach Mannschaften sortiert'!H20</f>
        <v>Auswärts</v>
      </c>
    </row>
    <row r="14" spans="1:8" x14ac:dyDescent="0.3">
      <c r="A14" s="63">
        <f>'Nach Mannschaften sortiert'!A112</f>
        <v>111</v>
      </c>
      <c r="B14" s="63">
        <f>'Nach Mannschaften sortiert'!B112</f>
        <v>3</v>
      </c>
      <c r="C14" s="63" t="str">
        <f>'Nach Mannschaften sortiert'!C112</f>
        <v>Camp</v>
      </c>
      <c r="D14" s="64">
        <f>'Nach Mannschaften sortiert'!D112</f>
        <v>46232</v>
      </c>
      <c r="E14" s="65">
        <f>'Nach Mannschaften sortiert'!E112</f>
        <v>0.375</v>
      </c>
      <c r="F14" s="63" t="str">
        <f>'Nach Mannschaften sortiert'!F112</f>
        <v>Neufeld</v>
      </c>
      <c r="G14" s="63" t="str">
        <f>'Nach Mannschaften sortiert'!G112</f>
        <v>REAL MADRID CAMP</v>
      </c>
      <c r="H14" s="63" t="str">
        <f>'Nach Mannschaften sortiert'!H112</f>
        <v>Heim</v>
      </c>
    </row>
    <row r="15" spans="1:8" hidden="1" x14ac:dyDescent="0.3">
      <c r="A15" s="2">
        <f>'Nach Mannschaften sortiert'!A35</f>
        <v>34</v>
      </c>
      <c r="B15" s="2">
        <f>'Nach Mannschaften sortiert'!B35</f>
        <v>1</v>
      </c>
      <c r="C15" s="2" t="str">
        <f>'Nach Mannschaften sortiert'!C35</f>
        <v>U16</v>
      </c>
      <c r="D15" s="13">
        <f>'Nach Mannschaften sortiert'!D35</f>
        <v>46023</v>
      </c>
      <c r="E15" s="35">
        <f>'Nach Mannschaften sortiert'!E35</f>
        <v>0</v>
      </c>
      <c r="F15" s="2">
        <f>'Nach Mannschaften sortiert'!F35</f>
        <v>0</v>
      </c>
      <c r="G15" s="2">
        <f>'Nach Mannschaften sortiert'!G35</f>
        <v>0</v>
      </c>
      <c r="H15" s="2">
        <f>'Nach Mannschaften sortiert'!H35</f>
        <v>0</v>
      </c>
    </row>
    <row r="16" spans="1:8" hidden="1" x14ac:dyDescent="0.3">
      <c r="A16" s="57">
        <f>'Nach Mannschaften sortiert'!A36</f>
        <v>35</v>
      </c>
      <c r="B16" s="57">
        <f>'Nach Mannschaften sortiert'!B36</f>
        <v>2</v>
      </c>
      <c r="C16" s="57" t="str">
        <f>'Nach Mannschaften sortiert'!C36</f>
        <v>U16</v>
      </c>
      <c r="D16" s="58">
        <f>'Nach Mannschaften sortiert'!D36</f>
        <v>46024</v>
      </c>
      <c r="E16" s="59">
        <f>'Nach Mannschaften sortiert'!E36</f>
        <v>0</v>
      </c>
      <c r="F16" s="57">
        <f>'Nach Mannschaften sortiert'!F36</f>
        <v>0</v>
      </c>
      <c r="G16" s="57">
        <f>'Nach Mannschaften sortiert'!G36</f>
        <v>0</v>
      </c>
      <c r="H16" s="57">
        <f>'Nach Mannschaften sortiert'!H36</f>
        <v>0</v>
      </c>
    </row>
    <row r="17" spans="1:8" hidden="1" x14ac:dyDescent="0.3">
      <c r="A17" s="2">
        <f>'Nach Mannschaften sortiert'!A37</f>
        <v>36</v>
      </c>
      <c r="B17" s="2">
        <f>'Nach Mannschaften sortiert'!B37</f>
        <v>3</v>
      </c>
      <c r="C17" s="2" t="str">
        <f>'Nach Mannschaften sortiert'!C37</f>
        <v>U16</v>
      </c>
      <c r="D17" s="13">
        <f>'Nach Mannschaften sortiert'!D37</f>
        <v>46025</v>
      </c>
      <c r="E17" s="35">
        <f>'Nach Mannschaften sortiert'!E37</f>
        <v>0</v>
      </c>
      <c r="F17" s="2">
        <f>'Nach Mannschaften sortiert'!F37</f>
        <v>0</v>
      </c>
      <c r="G17" s="2">
        <f>'Nach Mannschaften sortiert'!G37</f>
        <v>0</v>
      </c>
      <c r="H17" s="2">
        <f>'Nach Mannschaften sortiert'!H37</f>
        <v>0</v>
      </c>
    </row>
    <row r="18" spans="1:8" x14ac:dyDescent="0.3">
      <c r="A18" s="2">
        <f>'Nach Mannschaften sortiert'!A12</f>
        <v>11</v>
      </c>
      <c r="B18" s="2">
        <f>'Nach Mannschaften sortiert'!B12</f>
        <v>4</v>
      </c>
      <c r="C18" s="2" t="str">
        <f>'Nach Mannschaften sortiert'!C12</f>
        <v>KM</v>
      </c>
      <c r="D18" s="13">
        <f>'Nach Mannschaften sortiert'!D12</f>
        <v>46270</v>
      </c>
      <c r="E18" s="35">
        <f>'Nach Mannschaften sortiert'!E12</f>
        <v>0.6875</v>
      </c>
      <c r="F18" s="2" t="str">
        <f>'Nach Mannschaften sortiert'!F12</f>
        <v>Mönchhof</v>
      </c>
      <c r="G18" s="2" t="str">
        <f>'Nach Mannschaften sortiert'!G12</f>
        <v>Mönchhof</v>
      </c>
      <c r="H18" s="2" t="str">
        <f>'Nach Mannschaften sortiert'!H12</f>
        <v>Auswärts</v>
      </c>
    </row>
    <row r="19" spans="1:8" hidden="1" x14ac:dyDescent="0.3">
      <c r="A19" s="2">
        <f>'Nach Mannschaften sortiert'!A39</f>
        <v>38</v>
      </c>
      <c r="B19" s="2">
        <f>'Nach Mannschaften sortiert'!B39</f>
        <v>5</v>
      </c>
      <c r="C19" s="2" t="str">
        <f>'Nach Mannschaften sortiert'!C39</f>
        <v>U16</v>
      </c>
      <c r="D19" s="13">
        <f>'Nach Mannschaften sortiert'!D39</f>
        <v>46027</v>
      </c>
      <c r="E19" s="35">
        <f>'Nach Mannschaften sortiert'!E39</f>
        <v>0</v>
      </c>
      <c r="F19" s="2">
        <f>'Nach Mannschaften sortiert'!F39</f>
        <v>0</v>
      </c>
      <c r="G19" s="2">
        <f>'Nach Mannschaften sortiert'!G39</f>
        <v>0</v>
      </c>
      <c r="H19" s="2">
        <f>'Nach Mannschaften sortiert'!H39</f>
        <v>0</v>
      </c>
    </row>
    <row r="20" spans="1:8" hidden="1" x14ac:dyDescent="0.3">
      <c r="A20" s="54">
        <f>'Nach Mannschaften sortiert'!A40</f>
        <v>39</v>
      </c>
      <c r="B20" s="54">
        <f>'Nach Mannschaften sortiert'!B40</f>
        <v>6</v>
      </c>
      <c r="C20" s="54" t="str">
        <f>'Nach Mannschaften sortiert'!C40</f>
        <v>U16</v>
      </c>
      <c r="D20" s="55">
        <f>'Nach Mannschaften sortiert'!D40</f>
        <v>46028</v>
      </c>
      <c r="E20" s="56">
        <f>'Nach Mannschaften sortiert'!E40</f>
        <v>0</v>
      </c>
      <c r="F20" s="54">
        <f>'Nach Mannschaften sortiert'!F40</f>
        <v>0</v>
      </c>
      <c r="G20" s="54">
        <f>'Nach Mannschaften sortiert'!G40</f>
        <v>0</v>
      </c>
      <c r="H20" s="54">
        <f>'Nach Mannschaften sortiert'!H40</f>
        <v>0</v>
      </c>
    </row>
    <row r="21" spans="1:8" hidden="1" x14ac:dyDescent="0.3">
      <c r="A21" s="2">
        <f>'Nach Mannschaften sortiert'!A41</f>
        <v>40</v>
      </c>
      <c r="B21" s="2">
        <f>'Nach Mannschaften sortiert'!B41</f>
        <v>7</v>
      </c>
      <c r="C21" s="2" t="str">
        <f>'Nach Mannschaften sortiert'!C41</f>
        <v>U16</v>
      </c>
      <c r="D21" s="13">
        <f>'Nach Mannschaften sortiert'!D41</f>
        <v>46029</v>
      </c>
      <c r="E21" s="35">
        <f>'Nach Mannschaften sortiert'!E41</f>
        <v>0</v>
      </c>
      <c r="F21" s="2">
        <f>'Nach Mannschaften sortiert'!F41</f>
        <v>0</v>
      </c>
      <c r="G21" s="2">
        <f>'Nach Mannschaften sortiert'!G41</f>
        <v>0</v>
      </c>
      <c r="H21" s="2">
        <f>'Nach Mannschaften sortiert'!H41</f>
        <v>0</v>
      </c>
    </row>
    <row r="22" spans="1:8" hidden="1" x14ac:dyDescent="0.3">
      <c r="A22" s="57">
        <f>'Nach Mannschaften sortiert'!A42</f>
        <v>41</v>
      </c>
      <c r="B22" s="57">
        <f>'Nach Mannschaften sortiert'!B42</f>
        <v>8</v>
      </c>
      <c r="C22" s="57" t="str">
        <f>'Nach Mannschaften sortiert'!C42</f>
        <v>U16</v>
      </c>
      <c r="D22" s="58">
        <f>'Nach Mannschaften sortiert'!D42</f>
        <v>46030</v>
      </c>
      <c r="E22" s="59">
        <f>'Nach Mannschaften sortiert'!E42</f>
        <v>0</v>
      </c>
      <c r="F22" s="57">
        <f>'Nach Mannschaften sortiert'!F42</f>
        <v>0</v>
      </c>
      <c r="G22" s="57">
        <f>'Nach Mannschaften sortiert'!G42</f>
        <v>0</v>
      </c>
      <c r="H22" s="57">
        <f>'Nach Mannschaften sortiert'!H42</f>
        <v>0</v>
      </c>
    </row>
    <row r="23" spans="1:8" hidden="1" x14ac:dyDescent="0.3">
      <c r="A23" s="2">
        <f>'Nach Mannschaften sortiert'!A43</f>
        <v>42</v>
      </c>
      <c r="B23" s="2">
        <f>'Nach Mannschaften sortiert'!B43</f>
        <v>9</v>
      </c>
      <c r="C23" s="2" t="str">
        <f>'Nach Mannschaften sortiert'!C43</f>
        <v>U16</v>
      </c>
      <c r="D23" s="13">
        <f>'Nach Mannschaften sortiert'!D43</f>
        <v>46031</v>
      </c>
      <c r="E23" s="35">
        <f>'Nach Mannschaften sortiert'!E43</f>
        <v>0</v>
      </c>
      <c r="F23" s="2">
        <f>'Nach Mannschaften sortiert'!F43</f>
        <v>0</v>
      </c>
      <c r="G23" s="2">
        <f>'Nach Mannschaften sortiert'!G43</f>
        <v>0</v>
      </c>
      <c r="H23" s="2">
        <f>'Nach Mannschaften sortiert'!H43</f>
        <v>0</v>
      </c>
    </row>
    <row r="24" spans="1:8" x14ac:dyDescent="0.3">
      <c r="A24" s="60">
        <f>'Nach Mannschaften sortiert'!A90</f>
        <v>89</v>
      </c>
      <c r="B24" s="60">
        <f>'Nach Mannschaften sortiert'!B90</f>
        <v>1</v>
      </c>
      <c r="C24" s="60" t="str">
        <f>'Nach Mannschaften sortiert'!C90</f>
        <v>U9</v>
      </c>
      <c r="D24" s="61">
        <f>'Nach Mannschaften sortiert'!D90</f>
        <v>46078</v>
      </c>
      <c r="E24" s="62">
        <f>'Nach Mannschaften sortiert'!E90</f>
        <v>0</v>
      </c>
      <c r="F24" s="60">
        <f>'Nach Mannschaften sortiert'!F90</f>
        <v>0</v>
      </c>
      <c r="G24" s="60">
        <f>'Nach Mannschaften sortiert'!G90</f>
        <v>0</v>
      </c>
      <c r="H24" s="60">
        <f>'Nach Mannschaften sortiert'!H90</f>
        <v>0</v>
      </c>
    </row>
    <row r="25" spans="1:8" hidden="1" x14ac:dyDescent="0.3">
      <c r="A25" s="2" t="e">
        <f>'Nach Mannschaften sortiert'!#REF!</f>
        <v>#REF!</v>
      </c>
      <c r="B25" s="2" t="e">
        <f>'Nach Mannschaften sortiert'!#REF!</f>
        <v>#REF!</v>
      </c>
      <c r="C25" s="2" t="e">
        <f>'Nach Mannschaften sortiert'!#REF!</f>
        <v>#REF!</v>
      </c>
      <c r="D25" s="13" t="e">
        <f>'Nach Mannschaften sortiert'!#REF!</f>
        <v>#REF!</v>
      </c>
      <c r="E25" s="35" t="e">
        <f>'Nach Mannschaften sortiert'!#REF!</f>
        <v>#REF!</v>
      </c>
      <c r="F25" s="2" t="e">
        <f>'Nach Mannschaften sortiert'!#REF!</f>
        <v>#REF!</v>
      </c>
      <c r="G25" s="2" t="e">
        <f>'Nach Mannschaften sortiert'!#REF!</f>
        <v>#REF!</v>
      </c>
      <c r="H25" s="2" t="e">
        <f>'Nach Mannschaften sortiert'!#REF!</f>
        <v>#REF!</v>
      </c>
    </row>
    <row r="26" spans="1:8" x14ac:dyDescent="0.3">
      <c r="A26" s="60">
        <f>'Nach Mannschaften sortiert'!A100</f>
        <v>99</v>
      </c>
      <c r="B26" s="60">
        <f>'Nach Mannschaften sortiert'!B100</f>
        <v>1</v>
      </c>
      <c r="C26" s="60" t="str">
        <f>'Nach Mannschaften sortiert'!C100</f>
        <v>U8</v>
      </c>
      <c r="D26" s="61">
        <f>'Nach Mannschaften sortiert'!D100</f>
        <v>46088</v>
      </c>
      <c r="E26" s="62">
        <f>'Nach Mannschaften sortiert'!E100</f>
        <v>0</v>
      </c>
      <c r="F26" s="60">
        <f>'Nach Mannschaften sortiert'!F100</f>
        <v>0</v>
      </c>
      <c r="G26" s="60">
        <f>'Nach Mannschaften sortiert'!G100</f>
        <v>0</v>
      </c>
      <c r="H26" s="60">
        <f>'Nach Mannschaften sortiert'!H100</f>
        <v>0</v>
      </c>
    </row>
    <row r="27" spans="1:8" hidden="1" x14ac:dyDescent="0.3">
      <c r="A27" s="57" t="e">
        <f>'Nach Mannschaften sortiert'!#REF!</f>
        <v>#REF!</v>
      </c>
      <c r="B27" s="57" t="e">
        <f>'Nach Mannschaften sortiert'!#REF!</f>
        <v>#REF!</v>
      </c>
      <c r="C27" s="57" t="e">
        <f>'Nach Mannschaften sortiert'!#REF!</f>
        <v>#REF!</v>
      </c>
      <c r="D27" s="58" t="e">
        <f>'Nach Mannschaften sortiert'!#REF!</f>
        <v>#REF!</v>
      </c>
      <c r="E27" s="59" t="e">
        <f>'Nach Mannschaften sortiert'!#REF!</f>
        <v>#REF!</v>
      </c>
      <c r="F27" s="57" t="e">
        <f>'Nach Mannschaften sortiert'!#REF!</f>
        <v>#REF!</v>
      </c>
      <c r="G27" s="57" t="e">
        <f>'Nach Mannschaften sortiert'!#REF!</f>
        <v>#REF!</v>
      </c>
      <c r="H27" s="57" t="e">
        <f>'Nach Mannschaften sortiert'!#REF!</f>
        <v>#REF!</v>
      </c>
    </row>
    <row r="28" spans="1:8" hidden="1" x14ac:dyDescent="0.3">
      <c r="A28" s="2" t="e">
        <f>'Nach Mannschaften sortiert'!#REF!</f>
        <v>#REF!</v>
      </c>
      <c r="B28" s="2" t="e">
        <f>'Nach Mannschaften sortiert'!#REF!</f>
        <v>#REF!</v>
      </c>
      <c r="C28" s="2" t="e">
        <f>'Nach Mannschaften sortiert'!#REF!</f>
        <v>#REF!</v>
      </c>
      <c r="D28" s="13" t="e">
        <f>'Nach Mannschaften sortiert'!#REF!</f>
        <v>#REF!</v>
      </c>
      <c r="E28" s="35" t="e">
        <f>'Nach Mannschaften sortiert'!#REF!</f>
        <v>#REF!</v>
      </c>
      <c r="F28" s="2" t="e">
        <f>'Nach Mannschaften sortiert'!#REF!</f>
        <v>#REF!</v>
      </c>
      <c r="G28" s="2" t="e">
        <f>'Nach Mannschaften sortiert'!#REF!</f>
        <v>#REF!</v>
      </c>
      <c r="H28" s="2" t="e">
        <f>'Nach Mannschaften sortiert'!#REF!</f>
        <v>#REF!</v>
      </c>
    </row>
    <row r="29" spans="1:8" x14ac:dyDescent="0.3">
      <c r="A29" s="60">
        <f>'Nach Mannschaften sortiert'!A105</f>
        <v>104</v>
      </c>
      <c r="B29" s="60">
        <f>'Nach Mannschaften sortiert'!B105</f>
        <v>1</v>
      </c>
      <c r="C29" s="60" t="str">
        <f>'Nach Mannschaften sortiert'!C105</f>
        <v>U7</v>
      </c>
      <c r="D29" s="61">
        <f>'Nach Mannschaften sortiert'!D105</f>
        <v>46093</v>
      </c>
      <c r="E29" s="62">
        <f>'Nach Mannschaften sortiert'!E105</f>
        <v>0</v>
      </c>
      <c r="F29" s="60">
        <f>'Nach Mannschaften sortiert'!F105</f>
        <v>0</v>
      </c>
      <c r="G29" s="60">
        <f>'Nach Mannschaften sortiert'!G105</f>
        <v>0</v>
      </c>
      <c r="H29" s="60">
        <f>'Nach Mannschaften sortiert'!H105</f>
        <v>0</v>
      </c>
    </row>
    <row r="30" spans="1:8" hidden="1" x14ac:dyDescent="0.3">
      <c r="A30" s="2" t="e">
        <f>'Nach Mannschaften sortiert'!#REF!</f>
        <v>#REF!</v>
      </c>
      <c r="B30" s="2" t="e">
        <f>'Nach Mannschaften sortiert'!#REF!</f>
        <v>#REF!</v>
      </c>
      <c r="C30" s="2" t="e">
        <f>'Nach Mannschaften sortiert'!#REF!</f>
        <v>#REF!</v>
      </c>
      <c r="D30" s="13" t="e">
        <f>'Nach Mannschaften sortiert'!#REF!</f>
        <v>#REF!</v>
      </c>
      <c r="E30" s="35" t="e">
        <f>'Nach Mannschaften sortiert'!#REF!</f>
        <v>#REF!</v>
      </c>
      <c r="F30" s="2" t="e">
        <f>'Nach Mannschaften sortiert'!#REF!</f>
        <v>#REF!</v>
      </c>
      <c r="G30" s="2" t="e">
        <f>'Nach Mannschaften sortiert'!#REF!</f>
        <v>#REF!</v>
      </c>
      <c r="H30" s="2" t="e">
        <f>'Nach Mannschaften sortiert'!#REF!</f>
        <v>#REF!</v>
      </c>
    </row>
    <row r="31" spans="1:8" hidden="1" x14ac:dyDescent="0.3">
      <c r="A31" s="2" t="e">
        <f>'Nach Mannschaften sortiert'!#REF!</f>
        <v>#REF!</v>
      </c>
      <c r="B31" s="2" t="e">
        <f>'Nach Mannschaften sortiert'!#REF!</f>
        <v>#REF!</v>
      </c>
      <c r="C31" s="2" t="e">
        <f>'Nach Mannschaften sortiert'!#REF!</f>
        <v>#REF!</v>
      </c>
      <c r="D31" s="13" t="e">
        <f>'Nach Mannschaften sortiert'!#REF!</f>
        <v>#REF!</v>
      </c>
      <c r="E31" s="35" t="e">
        <f>'Nach Mannschaften sortiert'!#REF!</f>
        <v>#REF!</v>
      </c>
      <c r="F31" s="2" t="e">
        <f>'Nach Mannschaften sortiert'!#REF!</f>
        <v>#REF!</v>
      </c>
      <c r="G31" s="2" t="e">
        <f>'Nach Mannschaften sortiert'!#REF!</f>
        <v>#REF!</v>
      </c>
      <c r="H31" s="2" t="e">
        <f>'Nach Mannschaften sortiert'!#REF!</f>
        <v>#REF!</v>
      </c>
    </row>
    <row r="32" spans="1:8" hidden="1" x14ac:dyDescent="0.3">
      <c r="A32" s="2" t="e">
        <f>'Nach Mannschaften sortiert'!#REF!</f>
        <v>#REF!</v>
      </c>
      <c r="B32" s="2" t="e">
        <f>'Nach Mannschaften sortiert'!#REF!</f>
        <v>#REF!</v>
      </c>
      <c r="C32" s="2" t="e">
        <f>'Nach Mannschaften sortiert'!#REF!</f>
        <v>#REF!</v>
      </c>
      <c r="D32" s="13" t="e">
        <f>'Nach Mannschaften sortiert'!#REF!</f>
        <v>#REF!</v>
      </c>
      <c r="E32" s="35" t="e">
        <f>'Nach Mannschaften sortiert'!#REF!</f>
        <v>#REF!</v>
      </c>
      <c r="F32" s="2" t="e">
        <f>'Nach Mannschaften sortiert'!#REF!</f>
        <v>#REF!</v>
      </c>
      <c r="G32" s="2" t="e">
        <f>'Nach Mannschaften sortiert'!#REF!</f>
        <v>#REF!</v>
      </c>
      <c r="H32" s="2" t="e">
        <f>'Nach Mannschaften sortiert'!#REF!</f>
        <v>#REF!</v>
      </c>
    </row>
    <row r="33" spans="1:8" hidden="1" x14ac:dyDescent="0.3">
      <c r="A33" s="57" t="e">
        <f>'Nach Mannschaften sortiert'!#REF!</f>
        <v>#REF!</v>
      </c>
      <c r="B33" s="57" t="e">
        <f>'Nach Mannschaften sortiert'!#REF!</f>
        <v>#REF!</v>
      </c>
      <c r="C33" s="57" t="e">
        <f>'Nach Mannschaften sortiert'!#REF!</f>
        <v>#REF!</v>
      </c>
      <c r="D33" s="58" t="e">
        <f>'Nach Mannschaften sortiert'!#REF!</f>
        <v>#REF!</v>
      </c>
      <c r="E33" s="59" t="e">
        <f>'Nach Mannschaften sortiert'!#REF!</f>
        <v>#REF!</v>
      </c>
      <c r="F33" s="57" t="e">
        <f>'Nach Mannschaften sortiert'!#REF!</f>
        <v>#REF!</v>
      </c>
      <c r="G33" s="57" t="e">
        <f>'Nach Mannschaften sortiert'!#REF!</f>
        <v>#REF!</v>
      </c>
      <c r="H33" s="57" t="e">
        <f>'Nach Mannschaften sortiert'!#REF!</f>
        <v>#REF!</v>
      </c>
    </row>
    <row r="34" spans="1:8" hidden="1" x14ac:dyDescent="0.3">
      <c r="A34" s="2" t="e">
        <f>'Nach Mannschaften sortiert'!#REF!</f>
        <v>#REF!</v>
      </c>
      <c r="B34" s="2" t="e">
        <f>'Nach Mannschaften sortiert'!#REF!</f>
        <v>#REF!</v>
      </c>
      <c r="C34" s="2" t="e">
        <f>'Nach Mannschaften sortiert'!#REF!</f>
        <v>#REF!</v>
      </c>
      <c r="D34" s="13" t="e">
        <f>'Nach Mannschaften sortiert'!#REF!</f>
        <v>#REF!</v>
      </c>
      <c r="E34" s="35" t="e">
        <f>'Nach Mannschaften sortiert'!#REF!</f>
        <v>#REF!</v>
      </c>
      <c r="F34" s="2" t="e">
        <f>'Nach Mannschaften sortiert'!#REF!</f>
        <v>#REF!</v>
      </c>
      <c r="G34" s="2" t="e">
        <f>'Nach Mannschaften sortiert'!#REF!</f>
        <v>#REF!</v>
      </c>
      <c r="H34" s="2" t="e">
        <f>'Nach Mannschaften sortiert'!#REF!</f>
        <v>#REF!</v>
      </c>
    </row>
    <row r="35" spans="1:8" x14ac:dyDescent="0.3">
      <c r="A35" s="60">
        <f>'Nach Mannschaften sortiert'!A76</f>
        <v>75</v>
      </c>
      <c r="B35" s="60">
        <f>'Nach Mannschaften sortiert'!B76</f>
        <v>2</v>
      </c>
      <c r="C35" s="60" t="str">
        <f>'Nach Mannschaften sortiert'!C76</f>
        <v>U11</v>
      </c>
      <c r="D35" s="61">
        <f>'Nach Mannschaften sortiert'!D76</f>
        <v>46064</v>
      </c>
      <c r="E35" s="62">
        <f>'Nach Mannschaften sortiert'!E76</f>
        <v>0</v>
      </c>
      <c r="F35" s="60">
        <f>'Nach Mannschaften sortiert'!F76</f>
        <v>0</v>
      </c>
      <c r="G35" s="60">
        <f>'Nach Mannschaften sortiert'!G76</f>
        <v>0</v>
      </c>
      <c r="H35" s="60">
        <f>'Nach Mannschaften sortiert'!H76</f>
        <v>0</v>
      </c>
    </row>
    <row r="36" spans="1:8" hidden="1" x14ac:dyDescent="0.3">
      <c r="A36" s="2">
        <f>'Nach Mannschaften sortiert'!A46</f>
        <v>45</v>
      </c>
      <c r="B36" s="2">
        <f>'Nach Mannschaften sortiert'!B46</f>
        <v>2</v>
      </c>
      <c r="C36" s="2" t="str">
        <f>'Nach Mannschaften sortiert'!C46</f>
        <v>U14</v>
      </c>
      <c r="D36" s="13">
        <f>'Nach Mannschaften sortiert'!D46</f>
        <v>46034</v>
      </c>
      <c r="E36" s="35">
        <f>'Nach Mannschaften sortiert'!E46</f>
        <v>0</v>
      </c>
      <c r="F36" s="2">
        <f>'Nach Mannschaften sortiert'!F46</f>
        <v>0</v>
      </c>
      <c r="G36" s="2">
        <f>'Nach Mannschaften sortiert'!G46</f>
        <v>0</v>
      </c>
      <c r="H36" s="2">
        <f>'Nach Mannschaften sortiert'!H46</f>
        <v>0</v>
      </c>
    </row>
    <row r="37" spans="1:8" hidden="1" x14ac:dyDescent="0.3">
      <c r="A37" s="2">
        <f>'Nach Mannschaften sortiert'!A47</f>
        <v>46</v>
      </c>
      <c r="B37" s="2">
        <f>'Nach Mannschaften sortiert'!B47</f>
        <v>3</v>
      </c>
      <c r="C37" s="2" t="str">
        <f>'Nach Mannschaften sortiert'!C47</f>
        <v>U14</v>
      </c>
      <c r="D37" s="13">
        <f>'Nach Mannschaften sortiert'!D47</f>
        <v>46035</v>
      </c>
      <c r="E37" s="35">
        <f>'Nach Mannschaften sortiert'!E47</f>
        <v>0</v>
      </c>
      <c r="F37" s="2">
        <f>'Nach Mannschaften sortiert'!F47</f>
        <v>0</v>
      </c>
      <c r="G37" s="2">
        <f>'Nach Mannschaften sortiert'!G47</f>
        <v>0</v>
      </c>
      <c r="H37" s="2">
        <f>'Nach Mannschaften sortiert'!H47</f>
        <v>0</v>
      </c>
    </row>
    <row r="38" spans="1:8" x14ac:dyDescent="0.3">
      <c r="A38" s="57" t="e">
        <f>'Nach Mannschaften sortiert'!#REF!</f>
        <v>#REF!</v>
      </c>
      <c r="B38" s="57" t="e">
        <f>'Nach Mannschaften sortiert'!#REF!</f>
        <v>#REF!</v>
      </c>
      <c r="C38" s="57" t="e">
        <f>'Nach Mannschaften sortiert'!#REF!</f>
        <v>#REF!</v>
      </c>
      <c r="D38" s="58" t="e">
        <f>'Nach Mannschaften sortiert'!#REF!</f>
        <v>#REF!</v>
      </c>
      <c r="E38" s="59" t="e">
        <f>'Nach Mannschaften sortiert'!#REF!</f>
        <v>#REF!</v>
      </c>
      <c r="F38" s="57" t="e">
        <f>'Nach Mannschaften sortiert'!#REF!</f>
        <v>#REF!</v>
      </c>
      <c r="G38" s="57" t="e">
        <f>'Nach Mannschaften sortiert'!#REF!</f>
        <v>#REF!</v>
      </c>
      <c r="H38" s="57" t="e">
        <f>'Nach Mannschaften sortiert'!#REF!</f>
        <v>#REF!</v>
      </c>
    </row>
    <row r="39" spans="1:8" hidden="1" x14ac:dyDescent="0.3">
      <c r="A39" s="2" t="e">
        <f>'Nach Mannschaften sortiert'!#REF!</f>
        <v>#REF!</v>
      </c>
      <c r="B39" s="2" t="e">
        <f>'Nach Mannschaften sortiert'!#REF!</f>
        <v>#REF!</v>
      </c>
      <c r="C39" s="2" t="e">
        <f>'Nach Mannschaften sortiert'!#REF!</f>
        <v>#REF!</v>
      </c>
      <c r="D39" s="13" t="e">
        <f>'Nach Mannschaften sortiert'!#REF!</f>
        <v>#REF!</v>
      </c>
      <c r="E39" s="35" t="e">
        <f>'Nach Mannschaften sortiert'!#REF!</f>
        <v>#REF!</v>
      </c>
      <c r="F39" s="2" t="e">
        <f>'Nach Mannschaften sortiert'!#REF!</f>
        <v>#REF!</v>
      </c>
      <c r="G39" s="2" t="e">
        <f>'Nach Mannschaften sortiert'!#REF!</f>
        <v>#REF!</v>
      </c>
      <c r="H39" s="2" t="e">
        <f>'Nach Mannschaften sortiert'!#REF!</f>
        <v>#REF!</v>
      </c>
    </row>
    <row r="40" spans="1:8" hidden="1" x14ac:dyDescent="0.3">
      <c r="A40" s="2">
        <f>'Nach Mannschaften sortiert'!A49</f>
        <v>48</v>
      </c>
      <c r="B40" s="2">
        <f>'Nach Mannschaften sortiert'!B49</f>
        <v>5</v>
      </c>
      <c r="C40" s="2" t="str">
        <f>'Nach Mannschaften sortiert'!C49</f>
        <v>U14</v>
      </c>
      <c r="D40" s="13">
        <f>'Nach Mannschaften sortiert'!D49</f>
        <v>46037</v>
      </c>
      <c r="E40" s="35">
        <f>'Nach Mannschaften sortiert'!E49</f>
        <v>0</v>
      </c>
      <c r="F40" s="2">
        <f>'Nach Mannschaften sortiert'!F49</f>
        <v>0</v>
      </c>
      <c r="G40" s="2">
        <f>'Nach Mannschaften sortiert'!G49</f>
        <v>0</v>
      </c>
      <c r="H40" s="2">
        <f>'Nach Mannschaften sortiert'!H49</f>
        <v>0</v>
      </c>
    </row>
    <row r="41" spans="1:8" x14ac:dyDescent="0.3">
      <c r="A41" s="57">
        <f>'Nach Mannschaften sortiert'!A14</f>
        <v>13</v>
      </c>
      <c r="B41" s="57">
        <f>'Nach Mannschaften sortiert'!B14</f>
        <v>6</v>
      </c>
      <c r="C41" s="57" t="str">
        <f>'Nach Mannschaften sortiert'!C14</f>
        <v>KM</v>
      </c>
      <c r="D41" s="58">
        <f>'Nach Mannschaften sortiert'!D14</f>
        <v>46284</v>
      </c>
      <c r="E41" s="59">
        <f>'Nach Mannschaften sortiert'!E14</f>
        <v>0.66666666666666663</v>
      </c>
      <c r="F41" s="57" t="str">
        <f>'Nach Mannschaften sortiert'!F14</f>
        <v>Gattendorf</v>
      </c>
      <c r="G41" s="57" t="str">
        <f>'Nach Mannschaften sortiert'!G14</f>
        <v>Gattendorf</v>
      </c>
      <c r="H41" s="57" t="str">
        <f>'Nach Mannschaften sortiert'!H14</f>
        <v>Auswärts</v>
      </c>
    </row>
    <row r="42" spans="1:8" x14ac:dyDescent="0.3">
      <c r="A42" s="66">
        <f>'Nach Mannschaften sortiert'!A80</f>
        <v>79</v>
      </c>
      <c r="B42" s="66">
        <f>'Nach Mannschaften sortiert'!B80</f>
        <v>6</v>
      </c>
      <c r="C42" s="66" t="str">
        <f>'Nach Mannschaften sortiert'!C80</f>
        <v>U11</v>
      </c>
      <c r="D42" s="67">
        <f>'Nach Mannschaften sortiert'!D80</f>
        <v>46068</v>
      </c>
      <c r="E42" s="68">
        <f>'Nach Mannschaften sortiert'!E80</f>
        <v>0</v>
      </c>
      <c r="F42" s="66">
        <f>'Nach Mannschaften sortiert'!F80</f>
        <v>0</v>
      </c>
      <c r="G42" s="66">
        <f>'Nach Mannschaften sortiert'!G80</f>
        <v>0</v>
      </c>
      <c r="H42" s="66">
        <f>'Nach Mannschaften sortiert'!H80</f>
        <v>0</v>
      </c>
    </row>
    <row r="43" spans="1:8" hidden="1" x14ac:dyDescent="0.3">
      <c r="A43" s="2">
        <f>'Nach Mannschaften sortiert'!A54</f>
        <v>53</v>
      </c>
      <c r="B43" s="2">
        <f>'Nach Mannschaften sortiert'!B54</f>
        <v>10</v>
      </c>
      <c r="C43" s="2" t="str">
        <f>'Nach Mannschaften sortiert'!C54</f>
        <v>U14</v>
      </c>
      <c r="D43" s="13">
        <f>'Nach Mannschaften sortiert'!D54</f>
        <v>46042</v>
      </c>
      <c r="E43" s="35">
        <f>'Nach Mannschaften sortiert'!E54</f>
        <v>0</v>
      </c>
      <c r="F43" s="2">
        <f>'Nach Mannschaften sortiert'!F54</f>
        <v>0</v>
      </c>
      <c r="G43" s="2">
        <f>'Nach Mannschaften sortiert'!G54</f>
        <v>0</v>
      </c>
      <c r="H43" s="2">
        <f>'Nach Mannschaften sortiert'!H54</f>
        <v>0</v>
      </c>
    </row>
    <row r="44" spans="1:8" x14ac:dyDescent="0.3">
      <c r="A44" s="60">
        <f>'Nach Mannschaften sortiert'!A57</f>
        <v>56</v>
      </c>
      <c r="B44" s="60">
        <f>'Nach Mannschaften sortiert'!B57</f>
        <v>3</v>
      </c>
      <c r="C44" s="60" t="str">
        <f>'Nach Mannschaften sortiert'!C57</f>
        <v>U12_1</v>
      </c>
      <c r="D44" s="61">
        <f>'Nach Mannschaften sortiert'!D57</f>
        <v>46045</v>
      </c>
      <c r="E44" s="62">
        <f>'Nach Mannschaften sortiert'!E57</f>
        <v>0</v>
      </c>
      <c r="F44" s="60">
        <f>'Nach Mannschaften sortiert'!F57</f>
        <v>0</v>
      </c>
      <c r="G44" s="60">
        <f>'Nach Mannschaften sortiert'!G57</f>
        <v>0</v>
      </c>
      <c r="H44" s="60">
        <f>'Nach Mannschaften sortiert'!H57</f>
        <v>0</v>
      </c>
    </row>
    <row r="45" spans="1:8" x14ac:dyDescent="0.3">
      <c r="A45" s="60">
        <f>'Nach Mannschaften sortiert'!A48</f>
        <v>47</v>
      </c>
      <c r="B45" s="60">
        <f>'Nach Mannschaften sortiert'!B48</f>
        <v>4</v>
      </c>
      <c r="C45" s="60" t="str">
        <f>'Nach Mannschaften sortiert'!C48</f>
        <v>U14</v>
      </c>
      <c r="D45" s="61">
        <f>'Nach Mannschaften sortiert'!D48</f>
        <v>46036</v>
      </c>
      <c r="E45" s="62">
        <f>'Nach Mannschaften sortiert'!E48</f>
        <v>0</v>
      </c>
      <c r="F45" s="60">
        <f>'Nach Mannschaften sortiert'!F48</f>
        <v>0</v>
      </c>
      <c r="G45" s="60">
        <f>'Nach Mannschaften sortiert'!G48</f>
        <v>0</v>
      </c>
      <c r="H45" s="60">
        <f>'Nach Mannschaften sortiert'!H48</f>
        <v>0</v>
      </c>
    </row>
    <row r="46" spans="1:8" hidden="1" x14ac:dyDescent="0.3">
      <c r="A46" s="2" t="e">
        <f>'Nach Mannschaften sortiert'!#REF!</f>
        <v>#REF!</v>
      </c>
      <c r="B46" s="2" t="e">
        <f>'Nach Mannschaften sortiert'!#REF!</f>
        <v>#REF!</v>
      </c>
      <c r="C46" s="2" t="e">
        <f>'Nach Mannschaften sortiert'!#REF!</f>
        <v>#REF!</v>
      </c>
      <c r="D46" s="13" t="e">
        <f>'Nach Mannschaften sortiert'!#REF!</f>
        <v>#REF!</v>
      </c>
      <c r="E46" s="35" t="e">
        <f>'Nach Mannschaften sortiert'!#REF!</f>
        <v>#REF!</v>
      </c>
      <c r="F46" s="2" t="e">
        <f>'Nach Mannschaften sortiert'!#REF!</f>
        <v>#REF!</v>
      </c>
      <c r="G46" s="2" t="e">
        <f>'Nach Mannschaften sortiert'!#REF!</f>
        <v>#REF!</v>
      </c>
      <c r="H46" s="2" t="e">
        <f>'Nach Mannschaften sortiert'!#REF!</f>
        <v>#REF!</v>
      </c>
    </row>
    <row r="47" spans="1:8" hidden="1" x14ac:dyDescent="0.3">
      <c r="A47" s="2">
        <f>'Nach Mannschaften sortiert'!A56</f>
        <v>55</v>
      </c>
      <c r="B47" s="2">
        <f>'Nach Mannschaften sortiert'!B56</f>
        <v>2</v>
      </c>
      <c r="C47" s="2" t="str">
        <f>'Nach Mannschaften sortiert'!C56</f>
        <v>U12_1</v>
      </c>
      <c r="D47" s="13">
        <f>'Nach Mannschaften sortiert'!D56</f>
        <v>46044</v>
      </c>
      <c r="E47" s="35">
        <f>'Nach Mannschaften sortiert'!E56</f>
        <v>0</v>
      </c>
      <c r="F47" s="2">
        <f>'Nach Mannschaften sortiert'!F56</f>
        <v>0</v>
      </c>
      <c r="G47" s="2">
        <f>'Nach Mannschaften sortiert'!G56</f>
        <v>0</v>
      </c>
      <c r="H47" s="2">
        <f>'Nach Mannschaften sortiert'!H56</f>
        <v>0</v>
      </c>
    </row>
    <row r="48" spans="1:8" x14ac:dyDescent="0.3">
      <c r="A48" s="57">
        <f>'Nach Mannschaften sortiert'!A38</f>
        <v>37</v>
      </c>
      <c r="B48" s="57">
        <f>'Nach Mannschaften sortiert'!B38</f>
        <v>4</v>
      </c>
      <c r="C48" s="57" t="str">
        <f>'Nach Mannschaften sortiert'!C38</f>
        <v>U16</v>
      </c>
      <c r="D48" s="58">
        <f>'Nach Mannschaften sortiert'!D38</f>
        <v>46026</v>
      </c>
      <c r="E48" s="59">
        <f>'Nach Mannschaften sortiert'!E38</f>
        <v>0</v>
      </c>
      <c r="F48" s="57">
        <f>'Nach Mannschaften sortiert'!F38</f>
        <v>0</v>
      </c>
      <c r="G48" s="57">
        <f>'Nach Mannschaften sortiert'!G38</f>
        <v>0</v>
      </c>
      <c r="H48" s="57">
        <f>'Nach Mannschaften sortiert'!H38</f>
        <v>0</v>
      </c>
    </row>
    <row r="49" spans="1:8" hidden="1" x14ac:dyDescent="0.3">
      <c r="A49" s="2">
        <f>'Nach Mannschaften sortiert'!A58</f>
        <v>57</v>
      </c>
      <c r="B49" s="2">
        <f>'Nach Mannschaften sortiert'!B58</f>
        <v>4</v>
      </c>
      <c r="C49" s="2" t="str">
        <f>'Nach Mannschaften sortiert'!C58</f>
        <v>U12_1</v>
      </c>
      <c r="D49" s="13">
        <f>'Nach Mannschaften sortiert'!D58</f>
        <v>46046</v>
      </c>
      <c r="E49" s="35">
        <f>'Nach Mannschaften sortiert'!E58</f>
        <v>0</v>
      </c>
      <c r="F49" s="2">
        <f>'Nach Mannschaften sortiert'!F58</f>
        <v>0</v>
      </c>
      <c r="G49" s="2">
        <f>'Nach Mannschaften sortiert'!G58</f>
        <v>0</v>
      </c>
      <c r="H49" s="2">
        <f>'Nach Mannschaften sortiert'!H58</f>
        <v>0</v>
      </c>
    </row>
    <row r="50" spans="1:8" hidden="1" x14ac:dyDescent="0.3">
      <c r="A50" s="2">
        <f>'Nach Mannschaften sortiert'!A59</f>
        <v>58</v>
      </c>
      <c r="B50" s="2">
        <f>'Nach Mannschaften sortiert'!B59</f>
        <v>5</v>
      </c>
      <c r="C50" s="2" t="str">
        <f>'Nach Mannschaften sortiert'!C59</f>
        <v>U12_1</v>
      </c>
      <c r="D50" s="13">
        <f>'Nach Mannschaften sortiert'!D59</f>
        <v>46047</v>
      </c>
      <c r="E50" s="35">
        <f>'Nach Mannschaften sortiert'!E59</f>
        <v>0</v>
      </c>
      <c r="F50" s="2">
        <f>'Nach Mannschaften sortiert'!F59</f>
        <v>0</v>
      </c>
      <c r="G50" s="2">
        <f>'Nach Mannschaften sortiert'!G59</f>
        <v>0</v>
      </c>
      <c r="H50" s="2">
        <f>'Nach Mannschaften sortiert'!H59</f>
        <v>0</v>
      </c>
    </row>
    <row r="51" spans="1:8" hidden="1" x14ac:dyDescent="0.3">
      <c r="A51" s="2" t="e">
        <f>'Nach Mannschaften sortiert'!#REF!</f>
        <v>#REF!</v>
      </c>
      <c r="B51" s="2" t="e">
        <f>'Nach Mannschaften sortiert'!#REF!</f>
        <v>#REF!</v>
      </c>
      <c r="C51" s="2" t="e">
        <f>'Nach Mannschaften sortiert'!#REF!</f>
        <v>#REF!</v>
      </c>
      <c r="D51" s="13" t="e">
        <f>'Nach Mannschaften sortiert'!#REF!</f>
        <v>#REF!</v>
      </c>
      <c r="E51" s="35" t="e">
        <f>'Nach Mannschaften sortiert'!#REF!</f>
        <v>#REF!</v>
      </c>
      <c r="F51" s="2" t="e">
        <f>'Nach Mannschaften sortiert'!#REF!</f>
        <v>#REF!</v>
      </c>
      <c r="G51" s="2" t="e">
        <f>'Nach Mannschaften sortiert'!#REF!</f>
        <v>#REF!</v>
      </c>
      <c r="H51" s="2" t="e">
        <f>'Nach Mannschaften sortiert'!#REF!</f>
        <v>#REF!</v>
      </c>
    </row>
    <row r="52" spans="1:8" x14ac:dyDescent="0.3">
      <c r="A52" s="57">
        <f>'Nach Mannschaften sortiert'!A16</f>
        <v>15</v>
      </c>
      <c r="B52" s="57">
        <f>'Nach Mannschaften sortiert'!B16</f>
        <v>8</v>
      </c>
      <c r="C52" s="57" t="str">
        <f>'Nach Mannschaften sortiert'!C16</f>
        <v>KM</v>
      </c>
      <c r="D52" s="58">
        <f>'Nach Mannschaften sortiert'!D16</f>
        <v>46297</v>
      </c>
      <c r="E52" s="59">
        <f>'Nach Mannschaften sortiert'!E16</f>
        <v>0.79166666666666663</v>
      </c>
      <c r="F52" s="57" t="str">
        <f>'Nach Mannschaften sortiert'!F16</f>
        <v>Siegendorf</v>
      </c>
      <c r="G52" s="57" t="str">
        <f>'Nach Mannschaften sortiert'!G16</f>
        <v>Siegendorf</v>
      </c>
      <c r="H52" s="57" t="str">
        <f>'Nach Mannschaften sortiert'!H16</f>
        <v>Auswärts</v>
      </c>
    </row>
    <row r="53" spans="1:8" hidden="1" x14ac:dyDescent="0.3">
      <c r="A53" s="2">
        <f>'Nach Mannschaften sortiert'!A61</f>
        <v>60</v>
      </c>
      <c r="B53" s="2">
        <f>'Nach Mannschaften sortiert'!B61</f>
        <v>7</v>
      </c>
      <c r="C53" s="2" t="str">
        <f>'Nach Mannschaften sortiert'!C61</f>
        <v>U12_1</v>
      </c>
      <c r="D53" s="13">
        <f>'Nach Mannschaften sortiert'!D61</f>
        <v>46049</v>
      </c>
      <c r="E53" s="35">
        <f>'Nach Mannschaften sortiert'!E61</f>
        <v>0</v>
      </c>
      <c r="F53" s="2">
        <f>'Nach Mannschaften sortiert'!F61</f>
        <v>0</v>
      </c>
      <c r="G53" s="2">
        <f>'Nach Mannschaften sortiert'!G61</f>
        <v>0</v>
      </c>
      <c r="H53" s="2">
        <f>'Nach Mannschaften sortiert'!H61</f>
        <v>0</v>
      </c>
    </row>
    <row r="54" spans="1:8" x14ac:dyDescent="0.3">
      <c r="A54" s="57" t="e">
        <f>'Nach Mannschaften sortiert'!#REF!</f>
        <v>#REF!</v>
      </c>
      <c r="B54" s="57" t="e">
        <f>'Nach Mannschaften sortiert'!#REF!</f>
        <v>#REF!</v>
      </c>
      <c r="C54" s="57" t="e">
        <f>'Nach Mannschaften sortiert'!#REF!</f>
        <v>#REF!</v>
      </c>
      <c r="D54" s="58" t="e">
        <f>'Nach Mannschaften sortiert'!#REF!</f>
        <v>#REF!</v>
      </c>
      <c r="E54" s="59" t="e">
        <f>'Nach Mannschaften sortiert'!#REF!</f>
        <v>#REF!</v>
      </c>
      <c r="F54" s="57" t="e">
        <f>'Nach Mannschaften sortiert'!#REF!</f>
        <v>#REF!</v>
      </c>
      <c r="G54" s="57" t="e">
        <f>'Nach Mannschaften sortiert'!#REF!</f>
        <v>#REF!</v>
      </c>
      <c r="H54" s="57" t="e">
        <f>'Nach Mannschaften sortiert'!#REF!</f>
        <v>#REF!</v>
      </c>
    </row>
    <row r="55" spans="1:8" hidden="1" x14ac:dyDescent="0.3">
      <c r="A55" s="2">
        <f>'Nach Mannschaften sortiert'!A75</f>
        <v>74</v>
      </c>
      <c r="B55" s="2">
        <f>'Nach Mannschaften sortiert'!B75</f>
        <v>1</v>
      </c>
      <c r="C55" s="2" t="str">
        <f>'Nach Mannschaften sortiert'!C75</f>
        <v>U11</v>
      </c>
      <c r="D55" s="13">
        <f>'Nach Mannschaften sortiert'!D75</f>
        <v>46063</v>
      </c>
      <c r="E55" s="35">
        <f>'Nach Mannschaften sortiert'!E75</f>
        <v>0</v>
      </c>
      <c r="F55" s="2">
        <f>'Nach Mannschaften sortiert'!F75</f>
        <v>0</v>
      </c>
      <c r="G55" s="2">
        <f>'Nach Mannschaften sortiert'!G75</f>
        <v>0</v>
      </c>
      <c r="H55" s="2">
        <f>'Nach Mannschaften sortiert'!H75</f>
        <v>0</v>
      </c>
    </row>
    <row r="56" spans="1:8" x14ac:dyDescent="0.3">
      <c r="A56" s="57">
        <f>'Nach Mannschaften sortiert'!A81</f>
        <v>80</v>
      </c>
      <c r="B56" s="57">
        <f>'Nach Mannschaften sortiert'!B81</f>
        <v>7</v>
      </c>
      <c r="C56" s="57" t="str">
        <f>'Nach Mannschaften sortiert'!C81</f>
        <v>U11</v>
      </c>
      <c r="D56" s="58">
        <f>'Nach Mannschaften sortiert'!D81</f>
        <v>46069</v>
      </c>
      <c r="E56" s="59">
        <f>'Nach Mannschaften sortiert'!E81</f>
        <v>0</v>
      </c>
      <c r="F56" s="57">
        <f>'Nach Mannschaften sortiert'!F81</f>
        <v>0</v>
      </c>
      <c r="G56" s="57">
        <f>'Nach Mannschaften sortiert'!G81</f>
        <v>0</v>
      </c>
      <c r="H56" s="57">
        <f>'Nach Mannschaften sortiert'!H81</f>
        <v>0</v>
      </c>
    </row>
    <row r="57" spans="1:8" hidden="1" x14ac:dyDescent="0.3">
      <c r="A57" s="2">
        <f>'Nach Mannschaften sortiert'!A78</f>
        <v>77</v>
      </c>
      <c r="B57" s="2">
        <f>'Nach Mannschaften sortiert'!B78</f>
        <v>4</v>
      </c>
      <c r="C57" s="2" t="str">
        <f>'Nach Mannschaften sortiert'!C78</f>
        <v>U11</v>
      </c>
      <c r="D57" s="13">
        <f>'Nach Mannschaften sortiert'!D78</f>
        <v>46066</v>
      </c>
      <c r="E57" s="35">
        <f>'Nach Mannschaften sortiert'!E78</f>
        <v>0</v>
      </c>
      <c r="F57" s="2">
        <f>'Nach Mannschaften sortiert'!F78</f>
        <v>0</v>
      </c>
      <c r="G57" s="2">
        <f>'Nach Mannschaften sortiert'!G78</f>
        <v>0</v>
      </c>
      <c r="H57" s="2">
        <f>'Nach Mannschaften sortiert'!H78</f>
        <v>0</v>
      </c>
    </row>
    <row r="58" spans="1:8" x14ac:dyDescent="0.3">
      <c r="A58" s="57">
        <f>'Nach Mannschaften sortiert'!A18</f>
        <v>17</v>
      </c>
      <c r="B58" s="57">
        <f>'Nach Mannschaften sortiert'!B18</f>
        <v>10</v>
      </c>
      <c r="C58" s="57" t="str">
        <f>'Nach Mannschaften sortiert'!C18</f>
        <v>KM</v>
      </c>
      <c r="D58" s="58">
        <f>'Nach Mannschaften sortiert'!D18</f>
        <v>46312</v>
      </c>
      <c r="E58" s="59">
        <f>'Nach Mannschaften sortiert'!E18</f>
        <v>0.64583333333333337</v>
      </c>
      <c r="F58" s="57" t="str">
        <f>'Nach Mannschaften sortiert'!F18</f>
        <v>Hornstein</v>
      </c>
      <c r="G58" s="57" t="str">
        <f>'Nach Mannschaften sortiert'!G18</f>
        <v>Hornstein</v>
      </c>
      <c r="H58" s="57" t="str">
        <f>'Nach Mannschaften sortiert'!H18</f>
        <v>Auswärts</v>
      </c>
    </row>
    <row r="59" spans="1:8" hidden="1" x14ac:dyDescent="0.3">
      <c r="A59" s="2" t="e">
        <f>'Nach Mannschaften sortiert'!#REF!</f>
        <v>#REF!</v>
      </c>
      <c r="B59" s="2" t="e">
        <f>'Nach Mannschaften sortiert'!#REF!</f>
        <v>#REF!</v>
      </c>
      <c r="C59" s="2" t="e">
        <f>'Nach Mannschaften sortiert'!#REF!</f>
        <v>#REF!</v>
      </c>
      <c r="D59" s="13" t="e">
        <f>'Nach Mannschaften sortiert'!#REF!</f>
        <v>#REF!</v>
      </c>
      <c r="E59" s="35" t="e">
        <f>'Nach Mannschaften sortiert'!#REF!</f>
        <v>#REF!</v>
      </c>
      <c r="F59" s="2" t="e">
        <f>'Nach Mannschaften sortiert'!#REF!</f>
        <v>#REF!</v>
      </c>
      <c r="G59" s="2" t="e">
        <f>'Nach Mannschaften sortiert'!#REF!</f>
        <v>#REF!</v>
      </c>
      <c r="H59" s="2" t="e">
        <f>'Nach Mannschaften sortiert'!#REF!</f>
        <v>#REF!</v>
      </c>
    </row>
    <row r="60" spans="1:8" x14ac:dyDescent="0.3">
      <c r="A60" s="57">
        <f>'Nach Mannschaften sortiert'!A52</f>
        <v>51</v>
      </c>
      <c r="B60" s="57">
        <f>'Nach Mannschaften sortiert'!B52</f>
        <v>8</v>
      </c>
      <c r="C60" s="57" t="str">
        <f>'Nach Mannschaften sortiert'!C52</f>
        <v>U14</v>
      </c>
      <c r="D60" s="58">
        <f>'Nach Mannschaften sortiert'!D52</f>
        <v>46040</v>
      </c>
      <c r="E60" s="59">
        <f>'Nach Mannschaften sortiert'!E52</f>
        <v>0</v>
      </c>
      <c r="F60" s="57">
        <f>'Nach Mannschaften sortiert'!F52</f>
        <v>0</v>
      </c>
      <c r="G60" s="57">
        <f>'Nach Mannschaften sortiert'!G52</f>
        <v>0</v>
      </c>
      <c r="H60" s="57">
        <f>'Nach Mannschaften sortiert'!H52</f>
        <v>0</v>
      </c>
    </row>
    <row r="61" spans="1:8" hidden="1" x14ac:dyDescent="0.3">
      <c r="A61" s="2">
        <f>'Nach Mannschaften sortiert'!A82</f>
        <v>81</v>
      </c>
      <c r="B61" s="2">
        <f>'Nach Mannschaften sortiert'!B82</f>
        <v>8</v>
      </c>
      <c r="C61" s="2" t="str">
        <f>'Nach Mannschaften sortiert'!C82</f>
        <v>U11</v>
      </c>
      <c r="D61" s="13">
        <f>'Nach Mannschaften sortiert'!D82</f>
        <v>46070</v>
      </c>
      <c r="E61" s="35">
        <f>'Nach Mannschaften sortiert'!E82</f>
        <v>0</v>
      </c>
      <c r="F61" s="2">
        <f>'Nach Mannschaften sortiert'!F82</f>
        <v>0</v>
      </c>
      <c r="G61" s="2">
        <f>'Nach Mannschaften sortiert'!G82</f>
        <v>0</v>
      </c>
      <c r="H61" s="2">
        <f>'Nach Mannschaften sortiert'!H82</f>
        <v>0</v>
      </c>
    </row>
    <row r="62" spans="1:8" x14ac:dyDescent="0.3">
      <c r="A62" s="54">
        <f>'Nach Mannschaften sortiert'!A53</f>
        <v>52</v>
      </c>
      <c r="B62" s="54">
        <f>'Nach Mannschaften sortiert'!B53</f>
        <v>9</v>
      </c>
      <c r="C62" s="54" t="str">
        <f>'Nach Mannschaften sortiert'!C53</f>
        <v>U14</v>
      </c>
      <c r="D62" s="55">
        <f>'Nach Mannschaften sortiert'!D53</f>
        <v>46041</v>
      </c>
      <c r="E62" s="56">
        <f>'Nach Mannschaften sortiert'!E53</f>
        <v>0</v>
      </c>
      <c r="F62" s="54">
        <f>'Nach Mannschaften sortiert'!F53</f>
        <v>0</v>
      </c>
      <c r="G62" s="54">
        <f>'Nach Mannschaften sortiert'!G53</f>
        <v>0</v>
      </c>
      <c r="H62" s="54">
        <f>'Nach Mannschaften sortiert'!H53</f>
        <v>0</v>
      </c>
    </row>
    <row r="63" spans="1:8" hidden="1" x14ac:dyDescent="0.3">
      <c r="A63" s="2">
        <f>'Nach Mannschaften sortiert'!A84</f>
        <v>83</v>
      </c>
      <c r="B63" s="2">
        <f>'Nach Mannschaften sortiert'!B84</f>
        <v>10</v>
      </c>
      <c r="C63" s="2" t="str">
        <f>'Nach Mannschaften sortiert'!C84</f>
        <v>U11</v>
      </c>
      <c r="D63" s="13">
        <f>'Nach Mannschaften sortiert'!D84</f>
        <v>46072</v>
      </c>
      <c r="E63" s="35">
        <f>'Nach Mannschaften sortiert'!E84</f>
        <v>0</v>
      </c>
      <c r="F63" s="2">
        <f>'Nach Mannschaften sortiert'!F84</f>
        <v>0</v>
      </c>
      <c r="G63" s="2">
        <f>'Nach Mannschaften sortiert'!G84</f>
        <v>0</v>
      </c>
      <c r="H63" s="2">
        <f>'Nach Mannschaften sortiert'!H84</f>
        <v>0</v>
      </c>
    </row>
    <row r="64" spans="1:8" hidden="1" x14ac:dyDescent="0.3">
      <c r="A64" s="2" t="e">
        <f>'Nach Mannschaften sortiert'!#REF!</f>
        <v>#REF!</v>
      </c>
      <c r="B64" s="2" t="e">
        <f>'Nach Mannschaften sortiert'!#REF!</f>
        <v>#REF!</v>
      </c>
      <c r="C64" s="2" t="e">
        <f>'Nach Mannschaften sortiert'!#REF!</f>
        <v>#REF!</v>
      </c>
      <c r="D64" s="13" t="e">
        <f>'Nach Mannschaften sortiert'!#REF!</f>
        <v>#REF!</v>
      </c>
      <c r="E64" s="35" t="e">
        <f>'Nach Mannschaften sortiert'!#REF!</f>
        <v>#REF!</v>
      </c>
      <c r="F64" s="2" t="e">
        <f>'Nach Mannschaften sortiert'!#REF!</f>
        <v>#REF!</v>
      </c>
      <c r="G64" s="2" t="e">
        <f>'Nach Mannschaften sortiert'!#REF!</f>
        <v>#REF!</v>
      </c>
      <c r="H64" s="2" t="e">
        <f>'Nach Mannschaften sortiert'!#REF!</f>
        <v>#REF!</v>
      </c>
    </row>
    <row r="65" spans="1:8" x14ac:dyDescent="0.3">
      <c r="A65" s="57">
        <f>'Nach Mannschaften sortiert'!A83</f>
        <v>82</v>
      </c>
      <c r="B65" s="57">
        <f>'Nach Mannschaften sortiert'!B83</f>
        <v>9</v>
      </c>
      <c r="C65" s="57" t="str">
        <f>'Nach Mannschaften sortiert'!C83</f>
        <v>U11</v>
      </c>
      <c r="D65" s="58">
        <v>46164</v>
      </c>
      <c r="E65" s="59">
        <v>0.70833333333333337</v>
      </c>
      <c r="F65" s="57">
        <f>'Nach Mannschaften sortiert'!F83</f>
        <v>0</v>
      </c>
      <c r="G65" s="57">
        <f>'Nach Mannschaften sortiert'!G83</f>
        <v>0</v>
      </c>
      <c r="H65" s="57">
        <f>'Nach Mannschaften sortiert'!H83</f>
        <v>0</v>
      </c>
    </row>
    <row r="66" spans="1:8" hidden="1" x14ac:dyDescent="0.3">
      <c r="A66" s="2">
        <f>'Nach Mannschaften sortiert'!A91</f>
        <v>90</v>
      </c>
      <c r="B66" s="2">
        <f>'Nach Mannschaften sortiert'!B91</f>
        <v>2</v>
      </c>
      <c r="C66" s="2" t="str">
        <f>'Nach Mannschaften sortiert'!C91</f>
        <v>U9</v>
      </c>
      <c r="D66" s="13">
        <f>'Nach Mannschaften sortiert'!D91</f>
        <v>46079</v>
      </c>
      <c r="E66" s="35">
        <f>'Nach Mannschaften sortiert'!E91</f>
        <v>0</v>
      </c>
      <c r="F66" s="2">
        <f>'Nach Mannschaften sortiert'!F91</f>
        <v>0</v>
      </c>
      <c r="G66" s="2">
        <f>'Nach Mannschaften sortiert'!G91</f>
        <v>0</v>
      </c>
      <c r="H66" s="2">
        <f>'Nach Mannschaften sortiert'!H91</f>
        <v>0</v>
      </c>
    </row>
    <row r="67" spans="1:8" hidden="1" x14ac:dyDescent="0.3">
      <c r="A67" s="2">
        <f>'Nach Mannschaften sortiert'!A92</f>
        <v>91</v>
      </c>
      <c r="B67" s="2">
        <f>'Nach Mannschaften sortiert'!B92</f>
        <v>3</v>
      </c>
      <c r="C67" s="2" t="str">
        <f>'Nach Mannschaften sortiert'!C92</f>
        <v>U9</v>
      </c>
      <c r="D67" s="13">
        <f>'Nach Mannschaften sortiert'!D92</f>
        <v>46080</v>
      </c>
      <c r="E67" s="35">
        <f>'Nach Mannschaften sortiert'!E92</f>
        <v>0</v>
      </c>
      <c r="F67" s="2">
        <f>'Nach Mannschaften sortiert'!F92</f>
        <v>0</v>
      </c>
      <c r="G67" s="2">
        <f>'Nach Mannschaften sortiert'!G92</f>
        <v>0</v>
      </c>
      <c r="H67" s="2">
        <f>'Nach Mannschaften sortiert'!H92</f>
        <v>0</v>
      </c>
    </row>
    <row r="68" spans="1:8" hidden="1" x14ac:dyDescent="0.3">
      <c r="A68" s="2">
        <f>'Nach Mannschaften sortiert'!A93</f>
        <v>92</v>
      </c>
      <c r="B68" s="2">
        <f>'Nach Mannschaften sortiert'!B93</f>
        <v>4</v>
      </c>
      <c r="C68" s="2" t="str">
        <f>'Nach Mannschaften sortiert'!C93</f>
        <v>U9</v>
      </c>
      <c r="D68" s="13">
        <f>'Nach Mannschaften sortiert'!D93</f>
        <v>46081</v>
      </c>
      <c r="E68" s="35">
        <f>'Nach Mannschaften sortiert'!E93</f>
        <v>0</v>
      </c>
      <c r="F68" s="2">
        <f>'Nach Mannschaften sortiert'!F93</f>
        <v>0</v>
      </c>
      <c r="G68" s="2">
        <f>'Nach Mannschaften sortiert'!G93</f>
        <v>0</v>
      </c>
      <c r="H68" s="2">
        <f>'Nach Mannschaften sortiert'!H93</f>
        <v>0</v>
      </c>
    </row>
    <row r="69" spans="1:8" hidden="1" x14ac:dyDescent="0.3">
      <c r="A69" s="2">
        <f>'Nach Mannschaften sortiert'!A99</f>
        <v>98</v>
      </c>
      <c r="B69" s="2">
        <f>'Nach Mannschaften sortiert'!B99</f>
        <v>10</v>
      </c>
      <c r="C69" s="2" t="str">
        <f>'Nach Mannschaften sortiert'!C99</f>
        <v>U9</v>
      </c>
      <c r="D69" s="13">
        <f>'Nach Mannschaften sortiert'!D99</f>
        <v>46087</v>
      </c>
      <c r="E69" s="35">
        <f>'Nach Mannschaften sortiert'!E99</f>
        <v>0</v>
      </c>
      <c r="F69" s="2">
        <f>'Nach Mannschaften sortiert'!F99</f>
        <v>0</v>
      </c>
      <c r="G69" s="2">
        <f>'Nach Mannschaften sortiert'!G99</f>
        <v>0</v>
      </c>
      <c r="H69" s="2">
        <f>'Nach Mannschaften sortiert'!H99</f>
        <v>0</v>
      </c>
    </row>
    <row r="70" spans="1:8" x14ac:dyDescent="0.3">
      <c r="A70" s="57">
        <f>'Nach Mannschaften sortiert'!A60</f>
        <v>59</v>
      </c>
      <c r="B70" s="57">
        <f>'Nach Mannschaften sortiert'!B60</f>
        <v>6</v>
      </c>
      <c r="C70" s="57" t="str">
        <f>'Nach Mannschaften sortiert'!C60</f>
        <v>U12_1</v>
      </c>
      <c r="D70" s="58">
        <f>'Nach Mannschaften sortiert'!D60</f>
        <v>46048</v>
      </c>
      <c r="E70" s="59">
        <f>'Nach Mannschaften sortiert'!E60</f>
        <v>0</v>
      </c>
      <c r="F70" s="57">
        <f>'Nach Mannschaften sortiert'!F60</f>
        <v>0</v>
      </c>
      <c r="G70" s="57">
        <f>'Nach Mannschaften sortiert'!G60</f>
        <v>0</v>
      </c>
      <c r="H70" s="57">
        <f>'Nach Mannschaften sortiert'!H60</f>
        <v>0</v>
      </c>
    </row>
    <row r="71" spans="1:8" hidden="1" x14ac:dyDescent="0.3">
      <c r="A71" s="2">
        <f>'Nach Mannschaften sortiert'!A101</f>
        <v>100</v>
      </c>
      <c r="B71" s="2">
        <f>'Nach Mannschaften sortiert'!B101</f>
        <v>2</v>
      </c>
      <c r="C71" s="2" t="str">
        <f>'Nach Mannschaften sortiert'!C101</f>
        <v>U8</v>
      </c>
      <c r="D71" s="13">
        <f>'Nach Mannschaften sortiert'!D101</f>
        <v>46089</v>
      </c>
      <c r="E71" s="35">
        <f>'Nach Mannschaften sortiert'!E101</f>
        <v>0</v>
      </c>
      <c r="F71" s="2">
        <f>'Nach Mannschaften sortiert'!F101</f>
        <v>0</v>
      </c>
      <c r="G71" s="2">
        <f>'Nach Mannschaften sortiert'!G101</f>
        <v>0</v>
      </c>
      <c r="H71" s="2">
        <f>'Nach Mannschaften sortiert'!H101</f>
        <v>0</v>
      </c>
    </row>
    <row r="72" spans="1:8" hidden="1" x14ac:dyDescent="0.3">
      <c r="A72" s="2">
        <f>'Nach Mannschaften sortiert'!A102</f>
        <v>101</v>
      </c>
      <c r="B72" s="2">
        <f>'Nach Mannschaften sortiert'!B102</f>
        <v>3</v>
      </c>
      <c r="C72" s="2" t="str">
        <f>'Nach Mannschaften sortiert'!C102</f>
        <v>U8</v>
      </c>
      <c r="D72" s="13">
        <f>'Nach Mannschaften sortiert'!D102</f>
        <v>46090</v>
      </c>
      <c r="E72" s="35">
        <f>'Nach Mannschaften sortiert'!E102</f>
        <v>0</v>
      </c>
      <c r="F72" s="2">
        <f>'Nach Mannschaften sortiert'!F102</f>
        <v>0</v>
      </c>
      <c r="G72" s="2">
        <f>'Nach Mannschaften sortiert'!G102</f>
        <v>0</v>
      </c>
      <c r="H72" s="2">
        <f>'Nach Mannschaften sortiert'!H102</f>
        <v>0</v>
      </c>
    </row>
    <row r="73" spans="1:8" hidden="1" x14ac:dyDescent="0.3">
      <c r="A73" s="2">
        <f>'Nach Mannschaften sortiert'!A103</f>
        <v>102</v>
      </c>
      <c r="B73" s="2">
        <f>'Nach Mannschaften sortiert'!B103</f>
        <v>4</v>
      </c>
      <c r="C73" s="2" t="str">
        <f>'Nach Mannschaften sortiert'!C103</f>
        <v>U8</v>
      </c>
      <c r="D73" s="13">
        <f>'Nach Mannschaften sortiert'!D103</f>
        <v>46091</v>
      </c>
      <c r="E73" s="35">
        <f>'Nach Mannschaften sortiert'!E103</f>
        <v>0</v>
      </c>
      <c r="F73" s="2">
        <f>'Nach Mannschaften sortiert'!F103</f>
        <v>0</v>
      </c>
      <c r="G73" s="2">
        <f>'Nach Mannschaften sortiert'!G103</f>
        <v>0</v>
      </c>
      <c r="H73" s="2">
        <f>'Nach Mannschaften sortiert'!H103</f>
        <v>0</v>
      </c>
    </row>
    <row r="74" spans="1:8" hidden="1" x14ac:dyDescent="0.3">
      <c r="A74" s="2">
        <f>'Nach Mannschaften sortiert'!A104</f>
        <v>103</v>
      </c>
      <c r="B74" s="2">
        <f>'Nach Mannschaften sortiert'!B104</f>
        <v>5</v>
      </c>
      <c r="C74" s="2" t="str">
        <f>'Nach Mannschaften sortiert'!C104</f>
        <v>U8</v>
      </c>
      <c r="D74" s="13">
        <f>'Nach Mannschaften sortiert'!D104</f>
        <v>46092</v>
      </c>
      <c r="E74" s="35">
        <f>'Nach Mannschaften sortiert'!E104</f>
        <v>0</v>
      </c>
      <c r="F74" s="2">
        <f>'Nach Mannschaften sortiert'!F104</f>
        <v>0</v>
      </c>
      <c r="G74" s="2">
        <f>'Nach Mannschaften sortiert'!G104</f>
        <v>0</v>
      </c>
      <c r="H74" s="2">
        <f>'Nach Mannschaften sortiert'!H104</f>
        <v>0</v>
      </c>
    </row>
    <row r="75" spans="1:8" x14ac:dyDescent="0.3">
      <c r="A75" s="57">
        <f>'Nach Mannschaften sortiert'!A21</f>
        <v>20</v>
      </c>
      <c r="B75" s="57">
        <f>'Nach Mannschaften sortiert'!B21</f>
        <v>13</v>
      </c>
      <c r="C75" s="57" t="str">
        <f>'Nach Mannschaften sortiert'!C21</f>
        <v>KM</v>
      </c>
      <c r="D75" s="58">
        <f>'Nach Mannschaften sortiert'!D21</f>
        <v>46333</v>
      </c>
      <c r="E75" s="59">
        <f>'Nach Mannschaften sortiert'!E21</f>
        <v>0.58333333333333337</v>
      </c>
      <c r="F75" s="57" t="str">
        <f>'Nach Mannschaften sortiert'!F21</f>
        <v>Neufeld</v>
      </c>
      <c r="G75" s="57" t="str">
        <f>'Nach Mannschaften sortiert'!G21</f>
        <v>Andau</v>
      </c>
      <c r="H75" s="57" t="str">
        <f>'Nach Mannschaften sortiert'!H21</f>
        <v>Heim</v>
      </c>
    </row>
    <row r="76" spans="1:8" hidden="1" x14ac:dyDescent="0.3">
      <c r="A76" s="2">
        <f>'Nach Mannschaften sortiert'!A106</f>
        <v>105</v>
      </c>
      <c r="B76" s="2">
        <f>'Nach Mannschaften sortiert'!B106</f>
        <v>2</v>
      </c>
      <c r="C76" s="2" t="str">
        <f>'Nach Mannschaften sortiert'!C106</f>
        <v>U7</v>
      </c>
      <c r="D76" s="13">
        <f>'Nach Mannschaften sortiert'!D106</f>
        <v>46094</v>
      </c>
      <c r="E76" s="35">
        <f>'Nach Mannschaften sortiert'!E106</f>
        <v>0</v>
      </c>
      <c r="F76" s="2">
        <f>'Nach Mannschaften sortiert'!F106</f>
        <v>0</v>
      </c>
      <c r="G76" s="2">
        <f>'Nach Mannschaften sortiert'!G106</f>
        <v>0</v>
      </c>
      <c r="H76" s="2">
        <f>'Nach Mannschaften sortiert'!H106</f>
        <v>0</v>
      </c>
    </row>
    <row r="77" spans="1:8" hidden="1" x14ac:dyDescent="0.3">
      <c r="A77" s="2">
        <f>'Nach Mannschaften sortiert'!A107</f>
        <v>106</v>
      </c>
      <c r="B77" s="2">
        <f>'Nach Mannschaften sortiert'!B107</f>
        <v>3</v>
      </c>
      <c r="C77" s="2" t="str">
        <f>'Nach Mannschaften sortiert'!C107</f>
        <v>U7</v>
      </c>
      <c r="D77" s="13">
        <f>'Nach Mannschaften sortiert'!D107</f>
        <v>46095</v>
      </c>
      <c r="E77" s="35">
        <f>'Nach Mannschaften sortiert'!E107</f>
        <v>0</v>
      </c>
      <c r="F77" s="2">
        <f>'Nach Mannschaften sortiert'!F107</f>
        <v>0</v>
      </c>
      <c r="G77" s="2">
        <f>'Nach Mannschaften sortiert'!G107</f>
        <v>0</v>
      </c>
      <c r="H77" s="2">
        <f>'Nach Mannschaften sortiert'!H107</f>
        <v>0</v>
      </c>
    </row>
    <row r="78" spans="1:8" hidden="1" x14ac:dyDescent="0.3">
      <c r="A78" s="2">
        <f>'Nach Mannschaften sortiert'!A108</f>
        <v>107</v>
      </c>
      <c r="B78" s="2">
        <f>'Nach Mannschaften sortiert'!B108</f>
        <v>4</v>
      </c>
      <c r="C78" s="2" t="str">
        <f>'Nach Mannschaften sortiert'!C108</f>
        <v>U7</v>
      </c>
      <c r="D78" s="13">
        <f>'Nach Mannschaften sortiert'!D108</f>
        <v>46096</v>
      </c>
      <c r="E78" s="35">
        <f>'Nach Mannschaften sortiert'!E108</f>
        <v>0</v>
      </c>
      <c r="F78" s="2">
        <f>'Nach Mannschaften sortiert'!F108</f>
        <v>0</v>
      </c>
      <c r="G78" s="2">
        <f>'Nach Mannschaften sortiert'!G108</f>
        <v>0</v>
      </c>
      <c r="H78" s="2">
        <f>'Nach Mannschaften sortiert'!H108</f>
        <v>0</v>
      </c>
    </row>
    <row r="79" spans="1:8" hidden="1" x14ac:dyDescent="0.3">
      <c r="A79" s="2">
        <f>'Nach Mannschaften sortiert'!A109</f>
        <v>108</v>
      </c>
      <c r="B79" s="2">
        <f>'Nach Mannschaften sortiert'!B109</f>
        <v>5</v>
      </c>
      <c r="C79" s="2" t="str">
        <f>'Nach Mannschaften sortiert'!C109</f>
        <v>U7</v>
      </c>
      <c r="D79" s="13">
        <f>'Nach Mannschaften sortiert'!D109</f>
        <v>46097</v>
      </c>
      <c r="E79" s="35">
        <f>'Nach Mannschaften sortiert'!E109</f>
        <v>0</v>
      </c>
      <c r="F79" s="2">
        <f>'Nach Mannschaften sortiert'!F109</f>
        <v>0</v>
      </c>
      <c r="G79" s="2">
        <f>'Nach Mannschaften sortiert'!G109</f>
        <v>0</v>
      </c>
      <c r="H79" s="2">
        <f>'Nach Mannschaften sortiert'!H109</f>
        <v>0</v>
      </c>
    </row>
    <row r="80" spans="1:8" x14ac:dyDescent="0.3">
      <c r="A80" s="57">
        <f>'Nach Mannschaften sortiert'!A62</f>
        <v>61</v>
      </c>
      <c r="B80" s="57">
        <f>'Nach Mannschaften sortiert'!B62</f>
        <v>8</v>
      </c>
      <c r="C80" s="57" t="str">
        <f>'Nach Mannschaften sortiert'!C62</f>
        <v>U12_1</v>
      </c>
      <c r="D80" s="58">
        <f>'Nach Mannschaften sortiert'!D62</f>
        <v>46050</v>
      </c>
      <c r="E80" s="59">
        <f>'Nach Mannschaften sortiert'!E62</f>
        <v>0</v>
      </c>
      <c r="F80" s="57">
        <f>'Nach Mannschaften sortiert'!F62</f>
        <v>0</v>
      </c>
      <c r="G80" s="57">
        <f>'Nach Mannschaften sortiert'!G62</f>
        <v>0</v>
      </c>
      <c r="H80" s="57">
        <f>'Nach Mannschaften sortiert'!H62</f>
        <v>0</v>
      </c>
    </row>
    <row r="81" spans="1:8" x14ac:dyDescent="0.3">
      <c r="A81" s="57" t="e">
        <f>'Nach Mannschaften sortiert'!#REF!</f>
        <v>#REF!</v>
      </c>
      <c r="B81" s="57" t="e">
        <f>'Nach Mannschaften sortiert'!#REF!</f>
        <v>#REF!</v>
      </c>
      <c r="C81" s="57" t="e">
        <f>'Nach Mannschaften sortiert'!#REF!</f>
        <v>#REF!</v>
      </c>
      <c r="D81" s="58" t="e">
        <f>'Nach Mannschaften sortiert'!#REF!</f>
        <v>#REF!</v>
      </c>
      <c r="E81" s="59" t="e">
        <f>'Nach Mannschaften sortiert'!#REF!</f>
        <v>#REF!</v>
      </c>
      <c r="F81" s="57" t="e">
        <f>'Nach Mannschaften sortiert'!#REF!</f>
        <v>#REF!</v>
      </c>
      <c r="G81" s="57" t="e">
        <f>'Nach Mannschaften sortiert'!#REF!</f>
        <v>#REF!</v>
      </c>
      <c r="H81" s="57" t="e">
        <f>'Nach Mannschaften sortiert'!#REF!</f>
        <v>#REF!</v>
      </c>
    </row>
    <row r="82" spans="1:8" x14ac:dyDescent="0.3">
      <c r="A82" s="57">
        <f>'Nach Mannschaften sortiert'!A44</f>
        <v>43</v>
      </c>
      <c r="B82" s="57">
        <f>'Nach Mannschaften sortiert'!B44</f>
        <v>10</v>
      </c>
      <c r="C82" s="57" t="str">
        <f>'Nach Mannschaften sortiert'!C44</f>
        <v>U16</v>
      </c>
      <c r="D82" s="58">
        <f>'Nach Mannschaften sortiert'!D44</f>
        <v>46032</v>
      </c>
      <c r="E82" s="59">
        <f>'Nach Mannschaften sortiert'!E44</f>
        <v>0</v>
      </c>
      <c r="F82" s="57">
        <f>'Nach Mannschaften sortiert'!F44</f>
        <v>0</v>
      </c>
      <c r="G82" s="57">
        <f>'Nach Mannschaften sortiert'!G44</f>
        <v>0</v>
      </c>
      <c r="H82" s="57">
        <f>'Nach Mannschaften sortiert'!H44</f>
        <v>0</v>
      </c>
    </row>
    <row r="83" spans="1:8" x14ac:dyDescent="0.3">
      <c r="A83" s="2" t="e">
        <f>'Nach Mannschaften sortiert'!#REF!</f>
        <v>#REF!</v>
      </c>
      <c r="B83" s="2" t="e">
        <f>'Nach Mannschaften sortiert'!#REF!</f>
        <v>#REF!</v>
      </c>
      <c r="C83" s="2" t="e">
        <f>'Nach Mannschaften sortiert'!#REF!</f>
        <v>#REF!</v>
      </c>
      <c r="D83" s="13" t="e">
        <f>'Nach Mannschaften sortiert'!#REF!</f>
        <v>#REF!</v>
      </c>
      <c r="E83" s="35" t="e">
        <f>'Nach Mannschaften sortiert'!#REF!</f>
        <v>#REF!</v>
      </c>
      <c r="F83" s="2" t="e">
        <f>'Nach Mannschaften sortiert'!#REF!</f>
        <v>#REF!</v>
      </c>
      <c r="G83" s="2" t="e">
        <f>'Nach Mannschaften sortiert'!#REF!</f>
        <v>#REF!</v>
      </c>
      <c r="H83" s="2" t="e">
        <f>'Nach Mannschaften sortiert'!#REF!</f>
        <v>#REF!</v>
      </c>
    </row>
    <row r="84" spans="1:8" x14ac:dyDescent="0.3">
      <c r="A84" s="2">
        <f>'Nach Mannschaften sortiert'!A121</f>
        <v>120</v>
      </c>
      <c r="B84" s="2">
        <f>'Nach Mannschaften sortiert'!B121</f>
        <v>2</v>
      </c>
      <c r="C84" s="2" t="str">
        <f>'Nach Mannschaften sortiert'!C121</f>
        <v>GGG</v>
      </c>
      <c r="D84" s="13">
        <f>'Nach Mannschaften sortiert'!D121</f>
        <v>46256</v>
      </c>
      <c r="E84" s="35">
        <f>'Nach Mannschaften sortiert'!E121</f>
        <v>0.375</v>
      </c>
      <c r="F84" s="2" t="str">
        <f>'Nach Mannschaften sortiert'!F121</f>
        <v>Neufeld</v>
      </c>
      <c r="G84" s="2" t="str">
        <f>'Nach Mannschaften sortiert'!G121</f>
        <v>viele Gegner</v>
      </c>
      <c r="H84" s="2" t="str">
        <f>'Nach Mannschaften sortiert'!H121</f>
        <v>Heim</v>
      </c>
    </row>
  </sheetData>
  <autoFilter ref="A1:H84" xr:uid="{3DCAA465-B35F-48D1-A8EE-0892EAC86D5B}">
    <filterColumn colId="5">
      <filters>
        <filter val="Neufeld"/>
      </filters>
    </filterColumn>
    <filterColumn colId="7">
      <filters>
        <filter val="Heim"/>
      </filters>
    </filterColumn>
    <sortState xmlns:xlrd2="http://schemas.microsoft.com/office/spreadsheetml/2017/richdata2" ref="A3:H84">
      <sortCondition ref="D1:D84"/>
    </sortState>
  </autoFilter>
  <pageMargins left="0.7" right="0.7" top="0.78740157499999996" bottom="0.78740157499999996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79293C-A1E0-4DC6-BEBB-D0F5058BC12D}">
  <dimension ref="A1:C2"/>
  <sheetViews>
    <sheetView workbookViewId="0">
      <selection activeCell="A3" sqref="A3"/>
    </sheetView>
  </sheetViews>
  <sheetFormatPr baseColWidth="10" defaultRowHeight="14.4" x14ac:dyDescent="0.3"/>
  <sheetData>
    <row r="1" spans="1:3" x14ac:dyDescent="0.3">
      <c r="A1" t="s">
        <v>47</v>
      </c>
      <c r="B1" t="s">
        <v>73</v>
      </c>
      <c r="C1" t="s">
        <v>74</v>
      </c>
    </row>
    <row r="2" spans="1:3" x14ac:dyDescent="0.3">
      <c r="A2" t="s">
        <v>28</v>
      </c>
      <c r="B2" t="s">
        <v>75</v>
      </c>
      <c r="C2" t="s">
        <v>76</v>
      </c>
    </row>
  </sheetData>
  <pageMargins left="0.7" right="0.7" top="0.78740157499999996" bottom="0.78740157499999996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70293D-27F4-4BF1-B27D-4241A508821A}">
  <sheetPr filterMode="1">
    <pageSetUpPr fitToPage="1"/>
  </sheetPr>
  <dimension ref="A1:K87"/>
  <sheetViews>
    <sheetView zoomScale="90" zoomScaleNormal="90" workbookViewId="0">
      <selection activeCell="E6" sqref="E6"/>
    </sheetView>
  </sheetViews>
  <sheetFormatPr baseColWidth="10" defaultRowHeight="14.4" x14ac:dyDescent="0.3"/>
  <cols>
    <col min="1" max="1" width="24.109375" style="2" bestFit="1" customWidth="1"/>
    <col min="2" max="2" width="29" style="70" bestFit="1" customWidth="1"/>
    <col min="3" max="3" width="19.33203125" style="35" customWidth="1"/>
    <col min="4" max="4" width="18.33203125" style="2" customWidth="1"/>
    <col min="5" max="5" width="33.109375" style="2" bestFit="1" customWidth="1"/>
    <col min="6" max="6" width="12.5546875" style="2" bestFit="1" customWidth="1"/>
    <col min="7" max="7" width="24.6640625" style="2" customWidth="1"/>
    <col min="8" max="8" width="12" style="2" customWidth="1"/>
    <col min="9" max="9" width="12" style="2" bestFit="1" customWidth="1"/>
    <col min="10" max="10" width="44.109375" style="2" bestFit="1" customWidth="1"/>
    <col min="11" max="11" width="40.44140625" style="2" bestFit="1" customWidth="1"/>
  </cols>
  <sheetData>
    <row r="1" spans="1:11" ht="22.8" x14ac:dyDescent="0.4">
      <c r="A1" s="71" t="s">
        <v>0</v>
      </c>
      <c r="B1" s="72" t="s">
        <v>7</v>
      </c>
      <c r="C1" s="73" t="s">
        <v>81</v>
      </c>
      <c r="D1" s="71" t="s">
        <v>1</v>
      </c>
      <c r="E1" s="71" t="s">
        <v>5</v>
      </c>
      <c r="F1" s="71" t="s">
        <v>15</v>
      </c>
      <c r="G1" s="71" t="s">
        <v>20</v>
      </c>
      <c r="H1" s="71" t="s">
        <v>16</v>
      </c>
      <c r="I1" s="71" t="s">
        <v>17</v>
      </c>
      <c r="J1" s="71" t="s">
        <v>68</v>
      </c>
      <c r="K1" s="71" t="s">
        <v>13</v>
      </c>
    </row>
    <row r="2" spans="1:11" ht="15.6" x14ac:dyDescent="0.3">
      <c r="A2" s="74" t="s">
        <v>21</v>
      </c>
      <c r="B2" s="75">
        <v>46091</v>
      </c>
      <c r="C2" s="76">
        <v>0.6875</v>
      </c>
      <c r="D2" s="74" t="s">
        <v>2</v>
      </c>
      <c r="E2" s="74" t="s">
        <v>86</v>
      </c>
      <c r="F2" s="74" t="s">
        <v>21</v>
      </c>
      <c r="G2" s="74" t="str">
        <f t="shared" ref="G2:G33" si="0">IF(F2="Großfeld","Großfeld",IF(F2="U16","Großfeld",IF(F2="U15","Großfeld",IF(F2="U14","Großfeld",IF(F2="U13","75x55",IF(F2="U11/U12","55x40",IF(F2="U9/U10","40x25",IF(F2="U8","29x22","25x20"))))))))</f>
        <v>29x22</v>
      </c>
      <c r="H2" s="74" t="str">
        <f>IF(F2="Großfeld","7,32x2,44",IF(F2="U16","7,32x2,44",IF(F2="U15","7,32x2,44",IF(F2="U14","7,32x2,44",IF(F2="U13","5x2",IF(F2="U11/U12","5x2",IF(F2="U9/U10","5x2","4 Minitore")))))))</f>
        <v>4 Minitore</v>
      </c>
      <c r="I2" s="74" t="str">
        <f t="shared" ref="I2:I22" si="1">IF(F2="Großfeld","5",IF(F2="U16","5",IF(F2="U15","5",IF(F2="U14","4",IF(F2="U13","4",IF(F2="U11/U12","4",IF(F2="U9/U10","4",IF(F2="U9","4","3"))))))))</f>
        <v>3</v>
      </c>
      <c r="J2" s="74" t="str">
        <f>IF(A2="KM Neufeld","Pleninger Stefan",IF(A2="U16 LL","Josch Kögl",IF(A2="U15 LL Nord","Serdar Ekinci",IF(A2="U14 Nord","Gernot Servelda",IF(A2="U13 Nord","Thomas Pöschl &amp; Lenz Honc",IF(A2="U11 Nord D","Mario Magler&amp;Ronny Archam",IF(A2="U9","Thomas Brandl&amp;Daniel Hofbauer",IF(A2="U8","Berger Tobias&amp;Sebastian Putric",IF(A2="U7","Türkes Ömer&amp;Mahsumi Taha",IF(A2="Camp","Berger Dieter",IF(A2="Turnier","Berger Dieter","FEHLER")))))))))))</f>
        <v>Berger Tobias&amp;Sebastian Putric</v>
      </c>
      <c r="K2" s="74" t="str">
        <f>IF(A2="KM Neufeld","+43 664 415 99 09",IF(A2="U16 LL","+43 650 262 82 63",IF(A2="U15 LL Nord","+43 650 701 02 44",IF(A2="U14 Nord","+43 676 401 09 13",IF(A2="U13 Nord","+43 677 613 55 114 &amp; +43 664 114 43 52",IF(A2="U11 Nord D","+43 664 762 09 93 &amp; +43 699 111 93 828",IF(A2="U9","+43 676 377 16 30 &amp;  +43 399 197 871 81",IF(A2="U8","+43 660 199 13 52 &amp;  +43 660 914 92 36",IF(A2="U7","+43 676 661 62 26 &amp;  +43 681 208 115 99",IF(A2="Camp","+43 660 77 39 500",IF(A2="Turnier","+43 660 77 39 500","FEHLER")))))))))))</f>
        <v>+43 660 199 13 52 &amp;  +43 660 914 92 36</v>
      </c>
    </row>
    <row r="3" spans="1:11" hidden="1" x14ac:dyDescent="0.3">
      <c r="A3" t="str">
        <f>Heimspiele!C4</f>
        <v>KM</v>
      </c>
      <c r="B3" s="69">
        <f>Heimspiele!D4</f>
        <v>46263</v>
      </c>
      <c r="C3" s="69"/>
      <c r="D3" t="str">
        <f>Heimspiele!F4</f>
        <v>Neufeld</v>
      </c>
      <c r="E3" t="str">
        <f>Heimspiele!G4</f>
        <v>Tadten</v>
      </c>
      <c r="F3" t="s">
        <v>18</v>
      </c>
      <c r="G3" t="str">
        <f t="shared" si="0"/>
        <v>Großfeld</v>
      </c>
      <c r="H3" t="str">
        <f>IF(F3="Großfeld","7,32x2,44",IF(F3="U16","7,32x2,44",IF(F3="U15","7,32x2,44",IF(F3="U14","7,32x2,44",IF(F3="U13","5x2",IF(F3="U11/U12","5x2",IF(F3="U9/U10","5x2","4 Minitore")))))))</f>
        <v>7,32x2,44</v>
      </c>
      <c r="I3" t="str">
        <f t="shared" si="1"/>
        <v>5</v>
      </c>
      <c r="J3" t="str">
        <f>IF(A3="KM Neufeld","Pleninger Stefan",IF(A3="U16 LL","Josch Kögl",IF(A3="U15 LL Nord","Serdar Ekinci",IF(A3="U14 Nord","Gernot Servelda",IF(A3="U13 - Nord","Thomas Pöschl &amp; Lenz Honc",IF(A3="U11 Nord D","Mario Magler&amp;Ronny Archam",IF(A3="U9","Thomas Brandl&amp;Daniel Hofbauer",IF(A3="U8","Berger Tobias&amp;Sebastian Putric",IF(A3="U7","Türkes Ömer&amp;Mahsumi Taha",IF(A3="Camp","Berger Dieter",IF(A3="Turnier","Berger Dieter","FEHLER")))))))))))</f>
        <v>FEHLER</v>
      </c>
      <c r="K3" t="str">
        <f>IF(A3="KM Neufeld","+43 664 415 99 09",IF(A3="U16 LL","+43 650 262 82 63",IF(A3="U15 LL Nord","+43 650 701 02 44",IF(A3="U14 - Nord","+43 676 401 09 13",IF(A3="U13 - Nord","+43 677 613 55 114 &amp; +43 664 114 43 52",IF(A3="U11 Nord D","+43 664 762 09 93 &amp; +43 699 111 93 828",IF(A3="U9","+43 676 377 16 30 &amp;  +43 399 197 871 81",IF(A3="U8","+43 660 199 13 52 &amp;  +43 660 914 92 36",IF(A3="U7","+43 676 661 62 26 &amp;  +43 681 208 115 99",IF(A3="Camp","+43 660 77 39 500",IF(A3="Turnier","+43 660 77 39 500","FEHLER")))))))))))</f>
        <v>FEHLER</v>
      </c>
    </row>
    <row r="4" spans="1:11" ht="15.6" x14ac:dyDescent="0.3">
      <c r="A4" s="74" t="s">
        <v>77</v>
      </c>
      <c r="B4" s="75">
        <v>46095</v>
      </c>
      <c r="C4" s="76">
        <v>0.54166666666666663</v>
      </c>
      <c r="D4" s="74" t="s">
        <v>2</v>
      </c>
      <c r="E4" s="74" t="s">
        <v>83</v>
      </c>
      <c r="F4" s="74" t="s">
        <v>48</v>
      </c>
      <c r="G4" s="74" t="str">
        <f t="shared" si="0"/>
        <v>Großfeld</v>
      </c>
      <c r="H4" s="74" t="str">
        <f>IF(F4="Großfeld","7,32x2,44",IF(F4="U16","7,32x2,44",IF(F4="U15","7,32x2,44",IF(F4="U14","7,32x2,44",IF(F4="U13","5x2",IF(F4="U11/U12","5x2",IF(F4="U9/U10","5x2",IF(F3="Turnier","5x2","4 Minitore"))))))))</f>
        <v>7,32x2,44</v>
      </c>
      <c r="I4" s="74" t="str">
        <f t="shared" si="1"/>
        <v>5</v>
      </c>
      <c r="J4" s="74" t="str">
        <f>IF(A4="KM Neufeld","Pleninger Stefan",IF(A4="U16 LL","Josch Kögl",IF(A4="U15 LL Nord","Serdar Ekinci",IF(A4="U14 Nord","Gernot Servelda",IF(A4="U13 Nord","Thomas Pöschl &amp; Lenz Honc",IF(A4="U11 Nord D","Mario Magler&amp;Ronny Archam",IF(A4="U9","Thomas Brandl&amp;Daniel Hofbauer",IF(A4="U8","Berger Tobias&amp;Sebastian Putric",IF(A4="U7","Türkes Ömer&amp;Mahsumi Taha",IF(A4="Camp","Berger Dieter",IF(A4="Turnier","Berger Dieter","FEHLER")))))))))))</f>
        <v>Josch Kögl</v>
      </c>
      <c r="K4" s="74" t="str">
        <f>IF(A4="KM Neufeld","+43 664 415 99 09",IF(A4="U16 LL","+43 650 262 82 63",IF(A4="U15 LL Nord","+43 650 701 02 44",IF(A4="U14 Nord","+43 676 401 09 13",IF(A4="U13 Nord","+43 677 613 55 114 &amp; +43 664 114 43 52",IF(A4="U11 Nord D","+43 664 762 09 93 &amp; +43 699 111 93 828",IF(A4="U9","+43 676 377 16 30 &amp;  +43 399 197 871 81",IF(A4="U8","+43 660 199 13 52 &amp;  +43 660 914 92 36",IF(A4="U7","+43 676 661 62 26 &amp;  +43 681 208 115 99",IF(A4="Camp","+43 660 77 39 500",IF(A4="Turnier","+43 660 77 39 500","FEHLER")))))))))))</f>
        <v>+43 650 262 82 63</v>
      </c>
    </row>
    <row r="5" spans="1:11" hidden="1" x14ac:dyDescent="0.3">
      <c r="A5" t="str">
        <f>Heimspiele!C6</f>
        <v>KM</v>
      </c>
      <c r="B5" s="69">
        <f>Heimspiele!D6</f>
        <v>46277</v>
      </c>
      <c r="C5" s="69"/>
      <c r="D5" t="str">
        <f>Heimspiele!F6</f>
        <v>Neufeld</v>
      </c>
      <c r="E5" t="str">
        <f>Heimspiele!G6</f>
        <v>Winden</v>
      </c>
      <c r="F5" t="s">
        <v>18</v>
      </c>
      <c r="G5" t="str">
        <f t="shared" si="0"/>
        <v>Großfeld</v>
      </c>
      <c r="H5" t="str">
        <f>IF(F5="Großfeld","7,32x2,44",IF(F5="U16","7,32x2,44",IF(F5="U15","7,32x2,44",IF(F5="U14","7,32x2,44",IF(F5="U13","5x2",IF(F5="U11/U12","5x2",IF(F5="U9/U10","5x2","4 Minitore")))))))</f>
        <v>7,32x2,44</v>
      </c>
      <c r="I5" t="str">
        <f t="shared" si="1"/>
        <v>5</v>
      </c>
      <c r="J5" t="str">
        <f>IF(A5="KM Neufeld","Pleninger Stefan",IF(A5="U16 LL","Josch Kögl",IF(A5="U15 LL Nord","Serdar Ekinci",IF(A5="U14 Nord","Gernot Servelda",IF(A5="U13 - Nord","Thomas Pöschl &amp; Lenz Honc",IF(A5="U11 Nord D","Mario Magler&amp;Ronny Archam",IF(A5="U9","Thomas Brandl&amp;Daniel Hofbauer",IF(A5="U8","Berger Tobias&amp;Sebastian Putric",IF(A5="U7","Türkes Ömer&amp;Mahsumi Taha",IF(A5="Camp","Berger Dieter",IF(A5="Turnier","Berger Dieter","FEHLER")))))))))))</f>
        <v>FEHLER</v>
      </c>
      <c r="K5" t="str">
        <f>IF(A5="KM Neufeld","+43 664 415 99 09",IF(A5="U16 LL","+43 650 262 82 63",IF(A5="U15 LL Nord","+43 650 701 02 44",IF(A5="U14 - Nord","+43 676 401 09 13",IF(A5="U13 - Nord","+43 677 613 55 114 &amp; +43 664 114 43 52",IF(A5="U11 Nord D","+43 664 762 09 93 &amp; +43 699 111 93 828",IF(A5="U9","+43 676 377 16 30 &amp;  +43 399 197 871 81",IF(A5="U8","+43 660 199 13 52 &amp;  +43 660 914 92 36",IF(A5="U7","+43 676 661 62 26 &amp;  +43 681 208 115 99",IF(A5="Camp","+43 660 77 39 500",IF(A5="Turnier","+43 660 77 39 500","FEHLER")))))))))))</f>
        <v>FEHLER</v>
      </c>
    </row>
    <row r="6" spans="1:11" ht="15.6" x14ac:dyDescent="0.3">
      <c r="A6" s="74" t="s">
        <v>78</v>
      </c>
      <c r="B6" s="75">
        <v>46096</v>
      </c>
      <c r="C6" s="76">
        <v>0.45833333333333331</v>
      </c>
      <c r="D6" s="74" t="s">
        <v>2</v>
      </c>
      <c r="E6" s="74" t="s">
        <v>84</v>
      </c>
      <c r="F6" s="74" t="s">
        <v>26</v>
      </c>
      <c r="G6" s="74" t="str">
        <f t="shared" si="0"/>
        <v>Großfeld</v>
      </c>
      <c r="H6" s="74" t="str">
        <f>IF(F6="Großfeld","7,32x2,44",IF(F6="U16","7,32x2,44",IF(F6="U15","7,32x2,44",IF(F6="U14","7,32x2,44",IF(F6="U13","5x2",IF(F6="U11/U12","5x2",IF(F6="U9/U10","5x2",IF(F5="Turnier","5x2","4 Minitore"))))))))</f>
        <v>7,32x2,44</v>
      </c>
      <c r="I6" s="74" t="str">
        <f t="shared" si="1"/>
        <v>5</v>
      </c>
      <c r="J6" s="74" t="str">
        <f>IF(A6="KM Neufeld","Pleninger Stefan",IF(A6="U16 LL","Josch Kögl",IF(A6="U15 LL Nord","Serdar Ekinci",IF(A6="U14 Nord","Gernot Servelda",IF(A6="U13 Nord","Thomas Pöschl &amp; Lenz Honc",IF(A6="U11 Nord D","Mario Magler&amp;Ronny Archam",IF(A6="U9","Thomas Brandl&amp;Daniel Hofbauer",IF(A6="U8","Berger Tobias&amp;Sebastian Putric",IF(A6="U7","Türkes Ömer&amp;Mahsumi Taha",IF(A6="Camp","Berger Dieter",IF(A6="Turnier","Berger Dieter","FEHLER")))))))))))</f>
        <v>Serdar Ekinci</v>
      </c>
      <c r="K6" s="74" t="str">
        <f>IF(A6="KM Neufeld","+43 664 415 99 09",IF(A6="U16 LL","+43 650 262 82 63",IF(A6="U15 LL Nord","+43 650 701 02 44",IF(A6="U14 Nord","+43 676 401 09 13",IF(A6="U13 Nord","+43 677 613 55 114 &amp; +43 664 114 43 52",IF(A6="U11 Nord D","+43 664 762 09 93 &amp; +43 699 111 93 828",IF(A6="U9","+43 676 377 16 30 &amp;  +43 399 197 871 81",IF(A6="U8","+43 660 199 13 52 &amp;  +43 660 914 92 36",IF(A6="U7","+43 676 661 62 26 &amp;  +43 681 208 115 99",IF(A6="Camp","+43 660 77 39 500",IF(A6="Turnier","+43 660 77 39 500","FEHLER")))))))))))</f>
        <v>+43 650 701 02 44</v>
      </c>
    </row>
    <row r="7" spans="1:11" hidden="1" x14ac:dyDescent="0.3">
      <c r="A7" t="str">
        <f>Heimspiele!C8</f>
        <v>KM</v>
      </c>
      <c r="B7" s="69">
        <f>Heimspiele!D8</f>
        <v>46291</v>
      </c>
      <c r="C7" s="69"/>
      <c r="D7" t="str">
        <f>Heimspiele!F8</f>
        <v>Neufeld</v>
      </c>
      <c r="E7" t="str">
        <f>Heimspiele!G8</f>
        <v>Wallern</v>
      </c>
      <c r="F7" t="s">
        <v>18</v>
      </c>
      <c r="G7" t="str">
        <f t="shared" si="0"/>
        <v>Großfeld</v>
      </c>
      <c r="H7" t="str">
        <f>IF(F7="Großfeld","7,32x2,44",IF(F7="U16","7,32x2,44",IF(F7="U15","7,32x2,44",IF(F7="U14","7,32x2,44",IF(F7="U13","5x2",IF(F7="U11/U12","5x2",IF(F7="U9/U10","5x2","4 Minitore")))))))</f>
        <v>7,32x2,44</v>
      </c>
      <c r="I7" t="str">
        <f t="shared" si="1"/>
        <v>5</v>
      </c>
      <c r="J7" t="str">
        <f>IF(A7="KM Neufeld","Pleninger Stefan",IF(A7="U16 LL","Josch Kögl",IF(A7="U15 LL Nord","Serdar Ekinci",IF(A7="U14 Nord","Gernot Servelda",IF(A7="U13 - Nord","Thomas Pöschl &amp; Lenz Honc",IF(A7="U11 Nord D","Mario Magler&amp;Ronny Archam",IF(A7="U9","Thomas Brandl&amp;Daniel Hofbauer",IF(A7="U8","Berger Tobias&amp;Sebastian Putric",IF(A7="U7","Türkes Ömer&amp;Mahsumi Taha",IF(A7="Camp","Berger Dieter",IF(A7="Turnier","Berger Dieter","FEHLER")))))))))))</f>
        <v>FEHLER</v>
      </c>
      <c r="K7" t="str">
        <f>IF(A7="KM Neufeld","+43 664 415 99 09",IF(A7="U16 LL","+43 650 262 82 63",IF(A7="U15 LL Nord","+43 650 701 02 44",IF(A7="U14 - Nord","+43 676 401 09 13",IF(A7="U13 - Nord","+43 677 613 55 114 &amp; +43 664 114 43 52",IF(A7="U11 Nord D","+43 664 762 09 93 &amp; +43 699 111 93 828",IF(A7="U9","+43 676 377 16 30 &amp;  +43 399 197 871 81",IF(A7="U8","+43 660 199 13 52 &amp;  +43 660 914 92 36",IF(A7="U7","+43 676 661 62 26 &amp;  +43 681 208 115 99",IF(A7="Camp","+43 660 77 39 500",IF(A7="Turnier","+43 660 77 39 500","FEHLER")))))))))))</f>
        <v>FEHLER</v>
      </c>
    </row>
    <row r="8" spans="1:11" ht="15.6" x14ac:dyDescent="0.3">
      <c r="A8" s="74" t="s">
        <v>34</v>
      </c>
      <c r="B8" s="75">
        <v>46102</v>
      </c>
      <c r="C8" s="76">
        <v>0.5</v>
      </c>
      <c r="D8" s="74" t="s">
        <v>2</v>
      </c>
      <c r="E8" s="74" t="s">
        <v>85</v>
      </c>
      <c r="F8" s="74" t="s">
        <v>19</v>
      </c>
      <c r="G8" s="74" t="str">
        <f t="shared" si="0"/>
        <v>55x40</v>
      </c>
      <c r="H8" s="74" t="str">
        <f>IF(F8="Großfeld","7,32x2,44",IF(F8="U16","7,32x2,44",IF(F8="U15","7,32x2,44",IF(F8="U14","7,32x2,44",IF(F8="U13","5x2",IF(F8="U11/U12","5x2",IF(F8="U9/U10","5x2",IF(F7="Turnier","5x2","4 Minitore"))))))))</f>
        <v>5x2</v>
      </c>
      <c r="I8" s="74" t="str">
        <f t="shared" si="1"/>
        <v>4</v>
      </c>
      <c r="J8" s="74" t="str">
        <f>IF(A8="KM Neufeld","Pleninger Stefan",IF(A8="U16 LL","Josch Kögl",IF(A8="U15 LL Nord","Serdar Ekinci",IF(A8="U14 Nord","Gernot Servelda",IF(A8="U13 Nord","Thomas Pöschl &amp; Lenz Honc",IF(A8="U11 Nord D","Mario Magler&amp;Ronny Archam",IF(A8="U9","Thomas Brandl&amp;Daniel Hofbauer",IF(A8="U8","Berger Tobias&amp;Sebastian Putric",IF(A8="U7","Türkes Ömer&amp;Mahsumi Taha",IF(A8="Camp","Berger Dieter",IF(A8="Turnier","Berger Dieter","FEHLER")))))))))))</f>
        <v>Mario Magler&amp;Ronny Archam</v>
      </c>
      <c r="K8" s="74" t="str">
        <f>IF(A8="KM Neufeld","+43 664 415 99 09",IF(A8="U16 LL","+43 650 262 82 63",IF(A8="U15 LL Nord","+43 650 701 02 44",IF(A8="U14 Nord","+43 676 401 09 13",IF(A8="U13 Nord","+43 677 613 55 114 &amp; +43 664 114 43 52",IF(A8="U11 Nord D","+43 664 762 09 93 &amp; +43 699 111 93 828",IF(A8="U9","+43 676 377 16 30 &amp;  +43 399 197 871 81",IF(A8="U8","+43 660 199 13 52 &amp;  +43 660 914 92 36",IF(A8="U7","+43 676 661 62 26 &amp;  +43 681 208 115 99",IF(A8="Camp","+43 660 77 39 500",IF(A8="Turnier","+43 660 77 39 500","FEHLER")))))))))))</f>
        <v>+43 664 762 09 93 &amp; +43 699 111 93 828</v>
      </c>
    </row>
    <row r="9" spans="1:11" hidden="1" x14ac:dyDescent="0.3">
      <c r="A9" t="str">
        <f>Heimspiele!C10</f>
        <v>KM</v>
      </c>
      <c r="B9" s="69">
        <f>Heimspiele!D10</f>
        <v>46305</v>
      </c>
      <c r="C9" s="69"/>
      <c r="D9" t="str">
        <f>Heimspiele!F10</f>
        <v>Neufeld</v>
      </c>
      <c r="E9" t="str">
        <f>Heimspiele!G10</f>
        <v>Wimpassing</v>
      </c>
      <c r="F9" t="s">
        <v>18</v>
      </c>
      <c r="G9" t="str">
        <f t="shared" si="0"/>
        <v>Großfeld</v>
      </c>
      <c r="H9" t="str">
        <f t="shared" ref="H9:H22" si="2">IF(F9="Großfeld","7,32x2,44",IF(F9="U16","7,32x2,44",IF(F9="U15","7,32x2,44",IF(F9="U14","7,32x2,44",IF(F9="U13","5x2",IF(F9="U11/U12","5x2",IF(F9="U9/U10","5x2","4 Minitore")))))))</f>
        <v>7,32x2,44</v>
      </c>
      <c r="I9" t="str">
        <f t="shared" si="1"/>
        <v>5</v>
      </c>
      <c r="J9" t="str">
        <f>IF(A9="KM Neufeld","Pleninger Stefan",IF(A9="U16 LL","Josch Kögl",IF(A9="U15 LL Nord","Serdar Ekinci",IF(A9="U14 Nord","Gernot Servelda",IF(A9="U13 - Nord","Thomas Pöschl &amp; Lenz Honc",IF(A9="U11 Nord D","Mario Magler&amp;Ronny Archam",IF(A9="U9","Thomas Brandl&amp;Daniel Hofbauer",IF(A9="U8","Berger Tobias&amp;Sebastian Putric",IF(A9="U7","Türkes Ömer&amp;Mahsumi Taha",IF(A9="Camp","Berger Dieter",IF(A9="Turnier","Berger Dieter","FEHLER")))))))))))</f>
        <v>FEHLER</v>
      </c>
      <c r="K9" t="str">
        <f>IF(A9="KM Neufeld","+43 664 415 99 09",IF(A9="U16 LL","+43 650 262 82 63",IF(A9="U15 LL Nord","+43 650 701 02 44",IF(A9="U14 - Nord","+43 676 401 09 13",IF(A9="U13 - Nord","+43 677 613 55 114 &amp; +43 664 114 43 52",IF(A9="U11 Nord D","+43 664 762 09 93 &amp; +43 699 111 93 828",IF(A9="U9","+43 676 377 16 30 &amp;  +43 399 197 871 81",IF(A9="U8","+43 660 199 13 52 &amp;  +43 660 914 92 36",IF(A9="U7","+43 676 661 62 26 &amp;  +43 681 208 115 99",IF(A9="Camp","+43 660 77 39 500",IF(A9="Turnier","+43 660 77 39 500","FEHLER")))))))))))</f>
        <v>FEHLER</v>
      </c>
    </row>
    <row r="10" spans="1:11" ht="15.6" x14ac:dyDescent="0.3">
      <c r="A10" s="77" t="str">
        <f>Heimspiele!C3</f>
        <v>KM</v>
      </c>
      <c r="B10" s="78">
        <f>Heimspiele!D3</f>
        <v>46256</v>
      </c>
      <c r="C10" s="79">
        <f>Heimspiele!E3</f>
        <v>0.70833333333333337</v>
      </c>
      <c r="D10" s="77" t="str">
        <f>Heimspiele!F3</f>
        <v>Deutsch Jahrndorf</v>
      </c>
      <c r="E10" s="77" t="str">
        <f>Heimspiele!G3</f>
        <v>Deutsch Jahrndorf</v>
      </c>
      <c r="F10" s="77" t="s">
        <v>18</v>
      </c>
      <c r="G10" s="77" t="str">
        <f t="shared" si="0"/>
        <v>Großfeld</v>
      </c>
      <c r="H10" s="77" t="str">
        <f t="shared" si="2"/>
        <v>7,32x2,44</v>
      </c>
      <c r="I10" s="77" t="str">
        <f t="shared" si="1"/>
        <v>5</v>
      </c>
      <c r="J10" s="77" t="str">
        <f>IF(A10="KM Neufeld","Pleninger Stefan",IF(A10="U16 LL","Josch Kögl",IF(A10="U15 LL Nord","Serdar Ekinci",IF(A10="U14 Nord","Gernot Servelda",IF(A10="U13 Nord","Thomas Pöschl &amp; Lenz Honc",IF(A10="U11 Nord D","Mario Magler&amp;Ronny Archam",IF(A10="U9","Thomas Brandl&amp;Daniel Hofbauer",IF(A10="U8","Berger Tobias&amp;Sebastian Putric",IF(A10="U7","Türkes Ömer&amp;Mahsumi Taha",IF(A10="Camp","Berger Dieter",IF(A10="Turnier","Berger Dieter","FEHLER")))))))))))</f>
        <v>FEHLER</v>
      </c>
      <c r="K10" s="77" t="str">
        <f>IF(A10="KM Neufeld","+43 664 415 99 09",IF(A10="U16 LL","+43 650 262 82 63",IF(A10="U15 LL Nord","+43 650 701 02 44",IF(A10="U14 Nord","+43 676 401 09 13",IF(A10="U13 Nord","+43 677 613 55 114 &amp; +43 664 114 43 52",IF(A10="U11 Nord D","+43 664 762 09 93 &amp; +43 699 111 93 828",IF(A10="U9","+43 676 377 16 30 &amp;  +43 399 197 871 81",IF(A10="U8","+43 660 199 13 52 &amp;  +43 660 914 92 36",IF(A10="U7","+43 676 661 62 26 &amp;  +43 681 208 115 99",IF(A10="Camp","+43 660 77 39 500",IF(A10="Turnier","+43 660 77 39 500","FEHLER")))))))))))</f>
        <v>FEHLER</v>
      </c>
    </row>
    <row r="11" spans="1:11" hidden="1" x14ac:dyDescent="0.3">
      <c r="A11" t="str">
        <f>Heimspiele!C12</f>
        <v>KM</v>
      </c>
      <c r="B11" s="69">
        <f>Heimspiele!D12</f>
        <v>46319</v>
      </c>
      <c r="C11" s="69"/>
      <c r="D11" t="str">
        <f>Heimspiele!F12</f>
        <v>Neufeld</v>
      </c>
      <c r="E11" t="str">
        <f>Heimspiele!G12</f>
        <v>Gols</v>
      </c>
      <c r="F11" t="s">
        <v>18</v>
      </c>
      <c r="G11" t="str">
        <f t="shared" si="0"/>
        <v>Großfeld</v>
      </c>
      <c r="H11" t="str">
        <f t="shared" si="2"/>
        <v>7,32x2,44</v>
      </c>
      <c r="I11" t="str">
        <f t="shared" si="1"/>
        <v>5</v>
      </c>
      <c r="J11" t="str">
        <f>IF(A11="KM Neufeld","Pleninger Stefan",IF(A11="U16 LL","Josch Kögl",IF(A11="U15 LL Nord","Serdar Ekinci",IF(A11="U14 Nord","Gernot Servelda",IF(A11="U13 - Nord","Thomas Pöschl &amp; Lenz Honc",IF(A11="U11 Nord D","Mario Magler&amp;Ronny Archam",IF(A11="U9","Thomas Brandl&amp;Daniel Hofbauer",IF(A11="U8","Berger Tobias&amp;Sebastian Putric",IF(A11="U7","Türkes Ömer&amp;Mahsumi Taha",IF(A11="Camp","Berger Dieter",IF(A11="Turnier","Berger Dieter","FEHLER")))))))))))</f>
        <v>FEHLER</v>
      </c>
      <c r="K11" t="str">
        <f>IF(A11="KM Neufeld","+43 664 415 99 09",IF(A11="U16 LL","+43 650 262 82 63",IF(A11="U15 LL Nord","+43 650 701 02 44",IF(A11="U14 - Nord","+43 676 401 09 13",IF(A11="U13 - Nord","+43 677 613 55 114 &amp; +43 664 114 43 52",IF(A11="U11 Nord D","+43 664 762 09 93 &amp; +43 699 111 93 828",IF(A11="U9","+43 676 377 16 30 &amp;  +43 399 197 871 81",IF(A11="U8","+43 660 199 13 52 &amp;  +43 660 914 92 36",IF(A11="U7","+43 676 661 62 26 &amp;  +43 681 208 115 99",IF(A11="Camp","+43 660 77 39 500",IF(A11="Turnier","+43 660 77 39 500","FEHLER")))))))))))</f>
        <v>FEHLER</v>
      </c>
    </row>
    <row r="12" spans="1:11" hidden="1" x14ac:dyDescent="0.3">
      <c r="A12" t="str">
        <f>Heimspiele!C13</f>
        <v>KM</v>
      </c>
      <c r="B12" s="69">
        <f>Heimspiele!D13</f>
        <v>46326</v>
      </c>
      <c r="C12" s="69"/>
      <c r="D12" t="str">
        <f>Heimspiele!F13</f>
        <v>Illmitz</v>
      </c>
      <c r="E12" t="str">
        <f>Heimspiele!G13</f>
        <v>Illmitz</v>
      </c>
      <c r="F12" t="s">
        <v>18</v>
      </c>
      <c r="G12" t="str">
        <f t="shared" si="0"/>
        <v>Großfeld</v>
      </c>
      <c r="H12" t="str">
        <f t="shared" si="2"/>
        <v>7,32x2,44</v>
      </c>
      <c r="I12" t="str">
        <f t="shared" si="1"/>
        <v>5</v>
      </c>
      <c r="J12" t="str">
        <f>IF(A12="KM Neufeld","Pleninger Stefan",IF(A12="U16 LL","Josch Kögl",IF(A12="U15 LL Nord","Serdar Ekinci",IF(A12="U14 Nord","Gernot Servelda",IF(A12="U13 - Nord","Thomas Pöschl &amp; Lenz Honc",IF(A12="U11 Nord D","Mario Magler&amp;Ronny Archam",IF(A12="U9","Thomas Brandl&amp;Daniel Hofbauer",IF(A12="U8","Berger Tobias&amp;Sebastian Putric",IF(A12="U7","Türkes Ömer&amp;Mahsumi Taha",IF(A12="Camp","Berger Dieter",IF(A12="Turnier","Berger Dieter","FEHLER")))))))))))</f>
        <v>FEHLER</v>
      </c>
      <c r="K12" t="str">
        <f>IF(A12="KM Neufeld","+43 664 415 99 09",IF(A12="U16 LL","+43 650 262 82 63",IF(A12="U15 LL Nord","+43 650 701 02 44",IF(A12="U14 - Nord","+43 676 401 09 13",IF(A12="U13 - Nord","+43 677 613 55 114 &amp; +43 664 114 43 52",IF(A12="U11 Nord D","+43 664 762 09 93 &amp; +43 699 111 93 828",IF(A12="U9","+43 676 377 16 30 &amp;  +43 399 197 871 81",IF(A12="U8","+43 660 199 13 52 &amp;  +43 660 914 92 36",IF(A12="U7","+43 676 661 62 26 &amp;  +43 681 208 115 99",IF(A12="Camp","+43 660 77 39 500",IF(A12="Turnier","+43 660 77 39 500","FEHLER")))))))))))</f>
        <v>FEHLER</v>
      </c>
    </row>
    <row r="13" spans="1:11" ht="15.6" x14ac:dyDescent="0.3">
      <c r="A13" s="77" t="str">
        <f>Heimspiele!C5</f>
        <v>U14</v>
      </c>
      <c r="B13" s="78">
        <f>Heimspiele!D5</f>
        <v>46033</v>
      </c>
      <c r="C13" s="79">
        <f>Heimspiele!E5</f>
        <v>0</v>
      </c>
      <c r="D13" s="77">
        <f>Heimspiele!F5</f>
        <v>0</v>
      </c>
      <c r="E13" s="77">
        <f>Heimspiele!G5</f>
        <v>0</v>
      </c>
      <c r="F13" s="77" t="s">
        <v>27</v>
      </c>
      <c r="G13" s="77" t="str">
        <f t="shared" si="0"/>
        <v>Großfeld</v>
      </c>
      <c r="H13" s="77" t="str">
        <f t="shared" si="2"/>
        <v>7,32x2,44</v>
      </c>
      <c r="I13" s="77" t="str">
        <f t="shared" si="1"/>
        <v>4</v>
      </c>
      <c r="J13" s="77" t="str">
        <f>IF(A13="KM Neufeld","Pleninger Stefan",IF(A13="U16 LL","Josch Kögl",IF(A13="U15 LL Nord","Serdar Ekinci",IF(A13="U14 Nord","Gernot Servelda",IF(A13="U13 Nord","Thomas Pöschl &amp; Lenz Honc",IF(A13="U11 Nord D","Mario Magler&amp;Ronny Archam",IF(A13="U9","Thomas Brandl&amp;Daniel Hofbauer",IF(A13="U8","Berger Tobias&amp;Sebastian Putric",IF(A13="U7","Türkes Ömer&amp;Mahsumi Taha",IF(A13="Camp","Berger Dieter",IF(A13="Turnier","Berger Dieter","FEHLER")))))))))))</f>
        <v>FEHLER</v>
      </c>
      <c r="K13" s="77" t="str">
        <f>IF(A13="KM Neufeld","+43 664 415 99 09",IF(A13="U16 LL","+43 650 262 82 63",IF(A13="U15 LL Nord","+43 650 701 02 44",IF(A13="U14 Nord","+43 676 401 09 13",IF(A13="U13 Nord","+43 677 613 55 114 &amp; +43 664 114 43 52",IF(A13="U11 Nord D","+43 664 762 09 93 &amp; +43 699 111 93 828",IF(A13="U9","+43 676 377 16 30 &amp;  +43 399 197 871 81",IF(A13="U8","+43 660 199 13 52 &amp;  +43 660 914 92 36",IF(A13="U7","+43 676 661 62 26 &amp;  +43 681 208 115 99",IF(A13="Camp","+43 660 77 39 500",IF(A13="Turnier","+43 660 77 39 500","FEHLER")))))))))))</f>
        <v>FEHLER</v>
      </c>
    </row>
    <row r="14" spans="1:11" hidden="1" x14ac:dyDescent="0.3">
      <c r="A14" t="str">
        <f>Heimspiele!C15</f>
        <v>U16</v>
      </c>
      <c r="B14" s="69">
        <f>Heimspiele!D15</f>
        <v>46023</v>
      </c>
      <c r="C14" s="69"/>
      <c r="D14">
        <f>Heimspiele!F15</f>
        <v>0</v>
      </c>
      <c r="E14">
        <f>Heimspiele!G15</f>
        <v>0</v>
      </c>
      <c r="F14" t="s">
        <v>18</v>
      </c>
      <c r="G14" t="str">
        <f t="shared" si="0"/>
        <v>Großfeld</v>
      </c>
      <c r="H14" t="str">
        <f t="shared" si="2"/>
        <v>7,32x2,44</v>
      </c>
      <c r="I14" t="str">
        <f t="shared" si="1"/>
        <v>5</v>
      </c>
      <c r="J14" t="str">
        <f>IF(A14="KM Neufeld","Pleninger Stefan",IF(A14="U16 LL","Josch Kögl",IF(A14="U15 LL Nord","Serdar Ekinci",IF(A14="U14 Nord","Gernot Servelda",IF(A14="U13 - Nord","Thomas Pöschl &amp; Lenz Honc",IF(A14="U11 Nord D","Mario Magler&amp;Ronny Archam",IF(A14="U9","Thomas Brandl&amp;Daniel Hofbauer",IF(A14="U8","Berger Tobias&amp;Sebastian Putric",IF(A14="U7","Türkes Ömer&amp;Mahsumi Taha",IF(A14="Camp","Berger Dieter",IF(A14="Turnier","Berger Dieter","FEHLER")))))))))))</f>
        <v>FEHLER</v>
      </c>
      <c r="K14" t="str">
        <f>IF(A14="KM Neufeld","+43 664 415 99 09",IF(A14="U16 LL","+43 650 262 82 63",IF(A14="U15 LL Nord","+43 650 701 02 44",IF(A14="U14 - Nord","+43 676 401 09 13",IF(A14="U13 - Nord","+43 677 613 55 114 &amp; +43 664 114 43 52",IF(A14="U11 Nord D","+43 664 762 09 93 &amp; +43 699 111 93 828",IF(A14="U9","+43 676 377 16 30 &amp;  +43 399 197 871 81",IF(A14="U8","+43 660 199 13 52 &amp;  +43 660 914 92 36",IF(A14="U7","+43 676 661 62 26 &amp;  +43 681 208 115 99",IF(A14="Camp","+43 660 77 39 500",IF(A14="Turnier","+43 660 77 39 500","FEHLER")))))))))))</f>
        <v>FEHLER</v>
      </c>
    </row>
    <row r="15" spans="1:11" hidden="1" x14ac:dyDescent="0.3">
      <c r="A15" t="str">
        <f>Heimspiele!C16</f>
        <v>U16</v>
      </c>
      <c r="B15" s="69">
        <f>Heimspiele!D16</f>
        <v>46024</v>
      </c>
      <c r="C15" s="69"/>
      <c r="D15">
        <f>Heimspiele!F16</f>
        <v>0</v>
      </c>
      <c r="E15">
        <f>Heimspiele!G16</f>
        <v>0</v>
      </c>
      <c r="F15" t="s">
        <v>18</v>
      </c>
      <c r="G15" t="str">
        <f t="shared" si="0"/>
        <v>Großfeld</v>
      </c>
      <c r="H15" t="str">
        <f t="shared" si="2"/>
        <v>7,32x2,44</v>
      </c>
      <c r="I15" t="str">
        <f t="shared" si="1"/>
        <v>5</v>
      </c>
      <c r="J15" t="str">
        <f>IF(A15="KM Neufeld","Pleninger Stefan",IF(A15="U16 LL","Josch Kögl",IF(A15="U15 LL Nord","Serdar Ekinci",IF(A15="U14 Nord","Gernot Servelda",IF(A15="U13 - Nord","Thomas Pöschl &amp; Lenz Honc",IF(A15="U11 Nord D","Mario Magler&amp;Ronny Archam",IF(A15="U9","Thomas Brandl&amp;Daniel Hofbauer",IF(A15="U8","Berger Tobias&amp;Sebastian Putric",IF(A15="U7","Türkes Ömer&amp;Mahsumi Taha",IF(A15="Camp","Berger Dieter",IF(A15="Turnier","Berger Dieter","FEHLER")))))))))))</f>
        <v>FEHLER</v>
      </c>
      <c r="K15" t="str">
        <f>IF(A15="KM Neufeld","+43 664 415 99 09",IF(A15="U16 LL","+43 650 262 82 63",IF(A15="U15 LL Nord","+43 650 701 02 44",IF(A15="U14 - Nord","+43 676 401 09 13",IF(A15="U13 - Nord","+43 677 613 55 114 &amp; +43 664 114 43 52",IF(A15="U11 Nord D","+43 664 762 09 93 &amp; +43 699 111 93 828",IF(A15="U9","+43 676 377 16 30 &amp;  +43 399 197 871 81",IF(A15="U8","+43 660 199 13 52 &amp;  +43 660 914 92 36",IF(A15="U7","+43 676 661 62 26 &amp;  +43 681 208 115 99",IF(A15="Camp","+43 660 77 39 500",IF(A15="Turnier","+43 660 77 39 500","FEHLER")))))))))))</f>
        <v>FEHLER</v>
      </c>
    </row>
    <row r="16" spans="1:11" hidden="1" x14ac:dyDescent="0.3">
      <c r="A16" t="str">
        <f>Heimspiele!C17</f>
        <v>U16</v>
      </c>
      <c r="B16" s="69">
        <f>Heimspiele!D17</f>
        <v>46025</v>
      </c>
      <c r="C16" s="69"/>
      <c r="D16">
        <f>Heimspiele!F17</f>
        <v>0</v>
      </c>
      <c r="E16">
        <f>Heimspiele!G17</f>
        <v>0</v>
      </c>
      <c r="F16" t="s">
        <v>18</v>
      </c>
      <c r="G16" t="str">
        <f t="shared" si="0"/>
        <v>Großfeld</v>
      </c>
      <c r="H16" t="str">
        <f t="shared" si="2"/>
        <v>7,32x2,44</v>
      </c>
      <c r="I16" t="str">
        <f t="shared" si="1"/>
        <v>5</v>
      </c>
      <c r="J16" t="str">
        <f>IF(A16="KM Neufeld","Pleninger Stefan",IF(A16="U16 LL","Josch Kögl",IF(A16="U15 LL Nord","Serdar Ekinci",IF(A16="U14 Nord","Gernot Servelda",IF(A16="U13 - Nord","Thomas Pöschl &amp; Lenz Honc",IF(A16="U11 Nord D","Mario Magler&amp;Ronny Archam",IF(A16="U9","Thomas Brandl&amp;Daniel Hofbauer",IF(A16="U8","Berger Tobias&amp;Sebastian Putric",IF(A16="U7","Türkes Ömer&amp;Mahsumi Taha",IF(A16="Camp","Berger Dieter",IF(A16="Turnier","Berger Dieter","FEHLER")))))))))))</f>
        <v>FEHLER</v>
      </c>
      <c r="K16" t="str">
        <f>IF(A16="KM Neufeld","+43 664 415 99 09",IF(A16="U16 LL","+43 650 262 82 63",IF(A16="U15 LL Nord","+43 650 701 02 44",IF(A16="U14 - Nord","+43 676 401 09 13",IF(A16="U13 - Nord","+43 677 613 55 114 &amp; +43 664 114 43 52",IF(A16="U11 Nord D","+43 664 762 09 93 &amp; +43 699 111 93 828",IF(A16="U9","+43 676 377 16 30 &amp;  +43 399 197 871 81",IF(A16="U8","+43 660 199 13 52 &amp;  +43 660 914 92 36",IF(A16="U7","+43 676 661 62 26 &amp;  +43 681 208 115 99",IF(A16="Camp","+43 660 77 39 500",IF(A16="Turnier","+43 660 77 39 500","FEHLER")))))))))))</f>
        <v>FEHLER</v>
      </c>
    </row>
    <row r="17" spans="1:11" ht="15.6" x14ac:dyDescent="0.3">
      <c r="A17" s="77" t="str">
        <f>Heimspiele!C7</f>
        <v>U12_1</v>
      </c>
      <c r="B17" s="78">
        <f>Heimspiele!D7</f>
        <v>46043</v>
      </c>
      <c r="C17" s="79">
        <f>Heimspiele!E7</f>
        <v>0</v>
      </c>
      <c r="D17" s="77">
        <f>Heimspiele!F7</f>
        <v>0</v>
      </c>
      <c r="E17" s="77">
        <f>Heimspiele!G7</f>
        <v>0</v>
      </c>
      <c r="F17" s="77" t="s">
        <v>14</v>
      </c>
      <c r="G17" s="77" t="str">
        <f t="shared" si="0"/>
        <v>75x55</v>
      </c>
      <c r="H17" s="77" t="str">
        <f t="shared" si="2"/>
        <v>5x2</v>
      </c>
      <c r="I17" s="77" t="str">
        <f t="shared" si="1"/>
        <v>4</v>
      </c>
      <c r="J17" s="77" t="str">
        <f>IF(A17="KM Neufeld","Pleninger Stefan",IF(A17="U16 LL","Josch Kögl",IF(A17="U15 LL Nord","Serdar Ekinci",IF(A17="U14 Nord","Gernot Servelda",IF(A17="U13 Nord","Thomas Pöschl &amp; Lenz Honc",IF(A17="U11 Nord D","Mario Magler&amp;Ronny Archam",IF(A17="U9","Thomas Brandl&amp;Daniel Hofbauer",IF(A17="U8","Berger Tobias&amp;Sebastian Putric",IF(A17="U7","Türkes Ömer&amp;Mahsumi Taha",IF(A17="Camp","Berger Dieter",IF(A17="Turnier","Berger Dieter","FEHLER")))))))))))</f>
        <v>FEHLER</v>
      </c>
      <c r="K17" s="77" t="str">
        <f>IF(A17="KM Neufeld","+43 664 415 99 09",IF(A17="U16 LL","+43 650 262 82 63",IF(A17="U15 LL Nord","+43 650 701 02 44",IF(A17="U14 Nord","+43 676 401 09 13",IF(A17="U13 Nord","+43 677 613 55 114 &amp; +43 664 114 43 52",IF(A17="U11 Nord D","+43 664 762 09 93 &amp; +43 699 111 93 828",IF(A17="U9","+43 676 377 16 30 &amp;  +43 399 197 871 81",IF(A17="U8","+43 660 199 13 52 &amp;  +43 660 914 92 36",IF(A17="U7","+43 676 661 62 26 &amp;  +43 681 208 115 99",IF(A17="Camp","+43 660 77 39 500",IF(A17="Turnier","+43 660 77 39 500","FEHLER")))))))))))</f>
        <v>FEHLER</v>
      </c>
    </row>
    <row r="18" spans="1:11" hidden="1" x14ac:dyDescent="0.3">
      <c r="A18" t="str">
        <f>Heimspiele!C19</f>
        <v>U16</v>
      </c>
      <c r="B18" s="69">
        <f>Heimspiele!D19</f>
        <v>46027</v>
      </c>
      <c r="C18" s="69"/>
      <c r="D18">
        <f>Heimspiele!F19</f>
        <v>0</v>
      </c>
      <c r="E18">
        <f>Heimspiele!G19</f>
        <v>0</v>
      </c>
      <c r="F18" t="s">
        <v>18</v>
      </c>
      <c r="G18" t="str">
        <f t="shared" si="0"/>
        <v>Großfeld</v>
      </c>
      <c r="H18" t="str">
        <f t="shared" si="2"/>
        <v>7,32x2,44</v>
      </c>
      <c r="I18" t="str">
        <f t="shared" si="1"/>
        <v>5</v>
      </c>
      <c r="J18" t="str">
        <f>IF(A18="KM Neufeld","Pleninger Stefan",IF(A18="U16 LL","Josch Kögl",IF(A18="U15 LL Nord","Serdar Ekinci",IF(A18="U14 Nord","Gernot Servelda",IF(A18="U13 - Nord","Thomas Pöschl &amp; Lenz Honc",IF(A18="U11 Nord D","Mario Magler&amp;Ronny Archam",IF(A18="U9","Thomas Brandl&amp;Daniel Hofbauer",IF(A18="U8","Berger Tobias&amp;Sebastian Putric",IF(A18="U7","Türkes Ömer&amp;Mahsumi Taha",IF(A18="Camp","Berger Dieter",IF(A18="Turnier","Berger Dieter","FEHLER")))))))))))</f>
        <v>FEHLER</v>
      </c>
      <c r="K18" t="str">
        <f>IF(A18="KM Neufeld","+43 664 415 99 09",IF(A18="U16 LL","+43 650 262 82 63",IF(A18="U15 LL Nord","+43 650 701 02 44",IF(A18="U14 - Nord","+43 676 401 09 13",IF(A18="U13 - Nord","+43 677 613 55 114 &amp; +43 664 114 43 52",IF(A18="U11 Nord D","+43 664 762 09 93 &amp; +43 699 111 93 828",IF(A18="U9","+43 676 377 16 30 &amp;  +43 399 197 871 81",IF(A18="U8","+43 660 199 13 52 &amp;  +43 660 914 92 36",IF(A18="U7","+43 676 661 62 26 &amp;  +43 681 208 115 99",IF(A18="Camp","+43 660 77 39 500",IF(A18="Turnier","+43 660 77 39 500","FEHLER")))))))))))</f>
        <v>FEHLER</v>
      </c>
    </row>
    <row r="19" spans="1:11" hidden="1" x14ac:dyDescent="0.3">
      <c r="A19" t="str">
        <f>Heimspiele!C20</f>
        <v>U16</v>
      </c>
      <c r="B19" s="69">
        <f>Heimspiele!D20</f>
        <v>46028</v>
      </c>
      <c r="C19" s="69"/>
      <c r="D19">
        <f>Heimspiele!F20</f>
        <v>0</v>
      </c>
      <c r="E19">
        <f>Heimspiele!G20</f>
        <v>0</v>
      </c>
      <c r="F19" t="s">
        <v>18</v>
      </c>
      <c r="G19" t="str">
        <f t="shared" si="0"/>
        <v>Großfeld</v>
      </c>
      <c r="H19" t="str">
        <f t="shared" si="2"/>
        <v>7,32x2,44</v>
      </c>
      <c r="I19" t="str">
        <f t="shared" si="1"/>
        <v>5</v>
      </c>
      <c r="J19" t="str">
        <f>IF(A19="KM Neufeld","Pleninger Stefan",IF(A19="U16 LL","Josch Kögl",IF(A19="U15 LL Nord","Serdar Ekinci",IF(A19="U14 Nord","Gernot Servelda",IF(A19="U13 - Nord","Thomas Pöschl &amp; Lenz Honc",IF(A19="U11 Nord D","Mario Magler&amp;Ronny Archam",IF(A19="U9","Thomas Brandl&amp;Daniel Hofbauer",IF(A19="U8","Berger Tobias&amp;Sebastian Putric",IF(A19="U7","Türkes Ömer&amp;Mahsumi Taha",IF(A19="Camp","Berger Dieter",IF(A19="Turnier","Berger Dieter","FEHLER")))))))))))</f>
        <v>FEHLER</v>
      </c>
      <c r="K19" t="str">
        <f>IF(A19="KM Neufeld","+43 664 415 99 09",IF(A19="U16 LL","+43 650 262 82 63",IF(A19="U15 LL Nord","+43 650 701 02 44",IF(A19="U14 - Nord","+43 676 401 09 13",IF(A19="U13 - Nord","+43 677 613 55 114 &amp; +43 664 114 43 52",IF(A19="U11 Nord D","+43 664 762 09 93 &amp; +43 699 111 93 828",IF(A19="U9","+43 676 377 16 30 &amp;  +43 399 197 871 81",IF(A19="U8","+43 660 199 13 52 &amp;  +43 660 914 92 36",IF(A19="U7","+43 676 661 62 26 &amp;  +43 681 208 115 99",IF(A19="Camp","+43 660 77 39 500",IF(A19="Turnier","+43 660 77 39 500","FEHLER")))))))))))</f>
        <v>FEHLER</v>
      </c>
    </row>
    <row r="20" spans="1:11" hidden="1" x14ac:dyDescent="0.3">
      <c r="A20" t="str">
        <f>Heimspiele!C21</f>
        <v>U16</v>
      </c>
      <c r="B20" s="69">
        <f>Heimspiele!D21</f>
        <v>46029</v>
      </c>
      <c r="C20" s="69"/>
      <c r="D20">
        <f>Heimspiele!F21</f>
        <v>0</v>
      </c>
      <c r="E20">
        <f>Heimspiele!G21</f>
        <v>0</v>
      </c>
      <c r="F20" t="s">
        <v>18</v>
      </c>
      <c r="G20" t="str">
        <f t="shared" si="0"/>
        <v>Großfeld</v>
      </c>
      <c r="H20" t="str">
        <f t="shared" si="2"/>
        <v>7,32x2,44</v>
      </c>
      <c r="I20" t="str">
        <f t="shared" si="1"/>
        <v>5</v>
      </c>
      <c r="J20" t="str">
        <f>IF(A20="KM Neufeld","Pleninger Stefan",IF(A20="U16 LL","Josch Kögl",IF(A20="U15 LL Nord","Serdar Ekinci",IF(A20="U14 Nord","Gernot Servelda",IF(A20="U13 - Nord","Thomas Pöschl &amp; Lenz Honc",IF(A20="U11 Nord D","Mario Magler&amp;Ronny Archam",IF(A20="U9","Thomas Brandl&amp;Daniel Hofbauer",IF(A20="U8","Berger Tobias&amp;Sebastian Putric",IF(A20="U7","Türkes Ömer&amp;Mahsumi Taha",IF(A20="Camp","Berger Dieter",IF(A20="Turnier","Berger Dieter","FEHLER")))))))))))</f>
        <v>FEHLER</v>
      </c>
      <c r="K20" t="str">
        <f>IF(A20="KM Neufeld","+43 664 415 99 09",IF(A20="U16 LL","+43 650 262 82 63",IF(A20="U15 LL Nord","+43 650 701 02 44",IF(A20="U14 - Nord","+43 676 401 09 13",IF(A20="U13 - Nord","+43 677 613 55 114 &amp; +43 664 114 43 52",IF(A20="U11 Nord D","+43 664 762 09 93 &amp; +43 699 111 93 828",IF(A20="U9","+43 676 377 16 30 &amp;  +43 399 197 871 81",IF(A20="U8","+43 660 199 13 52 &amp;  +43 660 914 92 36",IF(A20="U7","+43 676 661 62 26 &amp;  +43 681 208 115 99",IF(A20="Camp","+43 660 77 39 500",IF(A20="Turnier","+43 660 77 39 500","FEHLER")))))))))))</f>
        <v>FEHLER</v>
      </c>
    </row>
    <row r="21" spans="1:11" hidden="1" x14ac:dyDescent="0.3">
      <c r="A21" t="str">
        <f>Heimspiele!C22</f>
        <v>U16</v>
      </c>
      <c r="B21" s="69">
        <f>Heimspiele!D22</f>
        <v>46030</v>
      </c>
      <c r="C21" s="69"/>
      <c r="D21">
        <f>Heimspiele!F22</f>
        <v>0</v>
      </c>
      <c r="E21">
        <f>Heimspiele!G22</f>
        <v>0</v>
      </c>
      <c r="F21" t="s">
        <v>18</v>
      </c>
      <c r="G21" t="str">
        <f t="shared" si="0"/>
        <v>Großfeld</v>
      </c>
      <c r="H21" t="str">
        <f t="shared" si="2"/>
        <v>7,32x2,44</v>
      </c>
      <c r="I21" t="str">
        <f t="shared" si="1"/>
        <v>5</v>
      </c>
      <c r="J21" t="str">
        <f>IF(A21="KM Neufeld","Pleninger Stefan",IF(A21="U16 LL","Josch Kögl",IF(A21="U15 LL Nord","Serdar Ekinci",IF(A21="U14 Nord","Gernot Servelda",IF(A21="U13 - Nord","Thomas Pöschl &amp; Lenz Honc",IF(A21="U11 Nord D","Mario Magler&amp;Ronny Archam",IF(A21="U9","Thomas Brandl&amp;Daniel Hofbauer",IF(A21="U8","Berger Tobias&amp;Sebastian Putric",IF(A21="U7","Türkes Ömer&amp;Mahsumi Taha",IF(A21="Camp","Berger Dieter",IF(A21="Turnier","Berger Dieter","FEHLER")))))))))))</f>
        <v>FEHLER</v>
      </c>
      <c r="K21" t="str">
        <f>IF(A21="KM Neufeld","+43 664 415 99 09",IF(A21="U16 LL","+43 650 262 82 63",IF(A21="U15 LL Nord","+43 650 701 02 44",IF(A21="U14 - Nord","+43 676 401 09 13",IF(A21="U13 - Nord","+43 677 613 55 114 &amp; +43 664 114 43 52",IF(A21="U11 Nord D","+43 664 762 09 93 &amp; +43 699 111 93 828",IF(A21="U9","+43 676 377 16 30 &amp;  +43 399 197 871 81",IF(A21="U8","+43 660 199 13 52 &amp;  +43 660 914 92 36",IF(A21="U7","+43 676 661 62 26 &amp;  +43 681 208 115 99",IF(A21="Camp","+43 660 77 39 500",IF(A21="Turnier","+43 660 77 39 500","FEHLER")))))))))))</f>
        <v>FEHLER</v>
      </c>
    </row>
    <row r="22" spans="1:11" hidden="1" x14ac:dyDescent="0.3">
      <c r="A22" t="str">
        <f>Heimspiele!C23</f>
        <v>U16</v>
      </c>
      <c r="B22" s="69">
        <f>Heimspiele!D23</f>
        <v>46031</v>
      </c>
      <c r="C22" s="69"/>
      <c r="D22">
        <f>Heimspiele!F23</f>
        <v>0</v>
      </c>
      <c r="E22">
        <f>Heimspiele!G23</f>
        <v>0</v>
      </c>
      <c r="F22" t="s">
        <v>18</v>
      </c>
      <c r="G22" t="str">
        <f t="shared" si="0"/>
        <v>Großfeld</v>
      </c>
      <c r="H22" t="str">
        <f t="shared" si="2"/>
        <v>7,32x2,44</v>
      </c>
      <c r="I22" t="str">
        <f t="shared" si="1"/>
        <v>5</v>
      </c>
      <c r="J22" t="str">
        <f>IF(A22="KM Neufeld","Pleninger Stefan",IF(A22="U16 LL","Josch Kögl",IF(A22="U15 LL Nord","Serdar Ekinci",IF(A22="U14 Nord","Gernot Servelda",IF(A22="U13 - Nord","Thomas Pöschl &amp; Lenz Honc",IF(A22="U11 Nord D","Mario Magler&amp;Ronny Archam",IF(A22="U9","Thomas Brandl&amp;Daniel Hofbauer",IF(A22="U8","Berger Tobias&amp;Sebastian Putric",IF(A22="U7","Türkes Ömer&amp;Mahsumi Taha",IF(A22="Camp","Berger Dieter",IF(A22="Turnier","Berger Dieter","FEHLER")))))))))))</f>
        <v>FEHLER</v>
      </c>
      <c r="K22" t="str">
        <f>IF(A22="KM Neufeld","+43 664 415 99 09",IF(A22="U16 LL","+43 650 262 82 63",IF(A22="U15 LL Nord","+43 650 701 02 44",IF(A22="U14 - Nord","+43 676 401 09 13",IF(A22="U13 - Nord","+43 677 613 55 114 &amp; +43 664 114 43 52",IF(A22="U11 Nord D","+43 664 762 09 93 &amp; +43 699 111 93 828",IF(A22="U9","+43 676 377 16 30 &amp;  +43 399 197 871 81",IF(A22="U8","+43 660 199 13 52 &amp;  +43 660 914 92 36",IF(A22="U7","+43 676 661 62 26 &amp;  +43 681 208 115 99",IF(A22="Camp","+43 660 77 39 500",IF(A22="Turnier","+43 660 77 39 500","FEHLER")))))))))))</f>
        <v>FEHLER</v>
      </c>
    </row>
    <row r="23" spans="1:11" ht="15.6" x14ac:dyDescent="0.3">
      <c r="A23" s="74" t="str">
        <f>Heimspiele!C9</f>
        <v>Camp</v>
      </c>
      <c r="B23" s="75">
        <f>Heimspiele!D9</f>
        <v>46230</v>
      </c>
      <c r="C23" s="76">
        <f>Heimspiele!E9</f>
        <v>0.375</v>
      </c>
      <c r="D23" s="74" t="str">
        <f>Heimspiele!F9</f>
        <v>Neufeld</v>
      </c>
      <c r="E23" s="74" t="str">
        <f>Heimspiele!G9</f>
        <v>REAL MADRID CAMP</v>
      </c>
      <c r="F23" s="74" t="s">
        <v>18</v>
      </c>
      <c r="G23" s="74" t="str">
        <f t="shared" si="0"/>
        <v>Großfeld</v>
      </c>
      <c r="H23" s="74" t="s">
        <v>82</v>
      </c>
      <c r="I23" s="74">
        <v>3</v>
      </c>
      <c r="J23" s="74" t="str">
        <f>IF(A23="KM Neufeld","Pleninger Stefan",IF(A23="U16 LL","Josch Kögl",IF(A23="U15 LL Nord","Serdar Ekinci",IF(A23="U14 Nord","Gernot Servelda",IF(A23="U13 Nord","Thomas Pöschl &amp; Lenz Honc",IF(A23="U11 Nord D","Mario Magler&amp;Ronny Archam",IF(A23="U9","Thomas Brandl&amp;Daniel Hofbauer",IF(A23="U8","Berger Tobias&amp;Sebastian Putric",IF(A23="U7","Türkes Ömer&amp;Mahsumi Taha",IF(A23="Camp","Berger Dieter",IF(A23="Turnier","Berger Dieter","FEHLER")))))))))))</f>
        <v>Berger Dieter</v>
      </c>
      <c r="K23" s="74" t="str">
        <f>IF(A23="KM Neufeld","+43 664 415 99 09",IF(A23="U16 LL","+43 650 262 82 63",IF(A23="U15 LL Nord","+43 650 701 02 44",IF(A23="U14 Nord","+43 676 401 09 13",IF(A23="U13 Nord","+43 677 613 55 114 &amp; +43 664 114 43 52",IF(A23="U11 Nord D","+43 664 762 09 93 &amp; +43 699 111 93 828",IF(A23="U9","+43 676 377 16 30 &amp;  +43 399 197 871 81",IF(A23="U8","+43 660 199 13 52 &amp;  +43 660 914 92 36",IF(A23="U7","+43 676 661 62 26 &amp;  +43 681 208 115 99",IF(A23="Camp","+43 660 77 39 500",IF(A23="Turnier","+43 660 77 39 500","FEHLER")))))))))))</f>
        <v>+43 660 77 39 500</v>
      </c>
    </row>
    <row r="24" spans="1:11" hidden="1" x14ac:dyDescent="0.3">
      <c r="A24" t="e">
        <f>Heimspiele!C25</f>
        <v>#REF!</v>
      </c>
      <c r="B24" s="69" t="e">
        <f>Heimspiele!D25</f>
        <v>#REF!</v>
      </c>
      <c r="C24" s="69"/>
      <c r="D24" t="e">
        <f>Heimspiele!F25</f>
        <v>#REF!</v>
      </c>
      <c r="E24" t="e">
        <f>Heimspiele!G25</f>
        <v>#REF!</v>
      </c>
      <c r="F24" t="s">
        <v>18</v>
      </c>
      <c r="G24" t="str">
        <f t="shared" si="0"/>
        <v>Großfeld</v>
      </c>
      <c r="H24" t="str">
        <f>IF(F24="Großfeld","7,32x2,44",IF(F24="U16","7,32x2,44",IF(F24="U15","7,32x2,44",IF(F24="U14","7,32x2,44",IF(F24="U13","5x2",IF(F24="U11/U12","5x2",IF(F24="U9/U10","5x2","4 Minitore")))))))</f>
        <v>7,32x2,44</v>
      </c>
      <c r="I24" t="str">
        <f>IF(F24="Großfeld","5",IF(F24="U16","5",IF(F24="U15","5",IF(F24="U14","4",IF(F24="U13","4",IF(F24="U11/U12","4",IF(F24="U9/U10","4",IF(F24="U9","4","3"))))))))</f>
        <v>5</v>
      </c>
      <c r="J24" t="e">
        <f>IF(A24="KM Neufeld","Pleninger Stefan",IF(A24="U16 LL","Josch Kögl",IF(A24="U15 LL Nord","Serdar Ekinci",IF(A24="U14 Nord","Gernot Servelda",IF(A24="U13 - Nord","Thomas Pöschl &amp; Lenz Honc",IF(A24="U11 Nord D","Mario Magler&amp;Ronny Archam",IF(A24="U9","Thomas Brandl&amp;Daniel Hofbauer",IF(A24="U8","Berger Tobias&amp;Sebastian Putric",IF(A24="U7","Türkes Ömer&amp;Mahsumi Taha",IF(A24="Camp","Berger Dieter",IF(A24="Turnier","Berger Dieter","FEHLER")))))))))))</f>
        <v>#REF!</v>
      </c>
      <c r="K24" t="e">
        <f>IF(A24="KM Neufeld","+43 664 415 99 09",IF(A24="U16 LL","+43 650 262 82 63",IF(A24="U15 LL Nord","+43 650 701 02 44",IF(A24="U14 - Nord","+43 676 401 09 13",IF(A24="U13 - Nord","+43 677 613 55 114 &amp; +43 664 114 43 52",IF(A24="U11 Nord D","+43 664 762 09 93 &amp; +43 699 111 93 828",IF(A24="U9","+43 676 377 16 30 &amp;  +43 399 197 871 81",IF(A24="U8","+43 660 199 13 52 &amp;  +43 660 914 92 36",IF(A24="U7","+43 676 661 62 26 &amp;  +43 681 208 115 99",IF(A24="Camp","+43 660 77 39 500",IF(A24="Turnier","+43 660 77 39 500","FEHLER")))))))))))</f>
        <v>#REF!</v>
      </c>
    </row>
    <row r="25" spans="1:11" ht="15.6" x14ac:dyDescent="0.3">
      <c r="A25" s="74" t="str">
        <f>Heimspiele!C11</f>
        <v>Camp</v>
      </c>
      <c r="B25" s="75">
        <f>Heimspiele!D11</f>
        <v>46231</v>
      </c>
      <c r="C25" s="76">
        <f>Heimspiele!E11</f>
        <v>0.375</v>
      </c>
      <c r="D25" s="74" t="str">
        <f>Heimspiele!F11</f>
        <v>Neufeld</v>
      </c>
      <c r="E25" s="74" t="str">
        <f>Heimspiele!G11</f>
        <v>REAL MADRID CAMP</v>
      </c>
      <c r="F25" s="74" t="s">
        <v>18</v>
      </c>
      <c r="G25" s="74" t="str">
        <f t="shared" si="0"/>
        <v>Großfeld</v>
      </c>
      <c r="H25" s="74" t="s">
        <v>82</v>
      </c>
      <c r="I25" s="74">
        <v>3</v>
      </c>
      <c r="J25" s="74" t="str">
        <f>IF(A25="KM Neufeld","Pleninger Stefan",IF(A25="U16 LL","Josch Kögl",IF(A25="U15 LL Nord","Serdar Ekinci",IF(A25="U14 Nord","Gernot Servelda",IF(A25="U13 Nord","Thomas Pöschl &amp; Lenz Honc",IF(A25="U11 Nord D","Mario Magler&amp;Ronny Archam",IF(A25="U9","Thomas Brandl&amp;Daniel Hofbauer",IF(A25="U8","Berger Tobias&amp;Sebastian Putric",IF(A25="U7","Türkes Ömer&amp;Mahsumi Taha",IF(A25="Camp","Berger Dieter",IF(A25="Turnier","Berger Dieter","FEHLER")))))))))))</f>
        <v>Berger Dieter</v>
      </c>
      <c r="K25" s="74" t="str">
        <f>IF(A25="KM Neufeld","+43 664 415 99 09",IF(A25="U16 LL","+43 650 262 82 63",IF(A25="U15 LL Nord","+43 650 701 02 44",IF(A25="U14 Nord","+43 676 401 09 13",IF(A25="U13 Nord","+43 677 613 55 114 &amp; +43 664 114 43 52",IF(A25="U11 Nord D","+43 664 762 09 93 &amp; +43 699 111 93 828",IF(A25="U9","+43 676 377 16 30 &amp;  +43 399 197 871 81",IF(A25="U8","+43 660 199 13 52 &amp;  +43 660 914 92 36",IF(A25="U7","+43 676 661 62 26 &amp;  +43 681 208 115 99",IF(A25="Camp","+43 660 77 39 500",IF(A25="Turnier","+43 660 77 39 500","FEHLER")))))))))))</f>
        <v>+43 660 77 39 500</v>
      </c>
    </row>
    <row r="26" spans="1:11" hidden="1" x14ac:dyDescent="0.3">
      <c r="A26" t="e">
        <f>Heimspiele!C27</f>
        <v>#REF!</v>
      </c>
      <c r="B26" s="69" t="e">
        <f>Heimspiele!D27</f>
        <v>#REF!</v>
      </c>
      <c r="C26" s="69"/>
      <c r="D26" t="e">
        <f>Heimspiele!F27</f>
        <v>#REF!</v>
      </c>
      <c r="E26" t="e">
        <f>Heimspiele!G27</f>
        <v>#REF!</v>
      </c>
      <c r="F26" t="s">
        <v>18</v>
      </c>
      <c r="G26" t="str">
        <f t="shared" si="0"/>
        <v>Großfeld</v>
      </c>
      <c r="H26" t="str">
        <f>IF(F26="Großfeld","7,32x2,44",IF(F26="U16","7,32x2,44",IF(F26="U15","7,32x2,44",IF(F26="U14","7,32x2,44",IF(F26="U13","5x2",IF(F26="U11/U12","5x2",IF(F26="U9/U10","5x2","4 Minitore")))))))</f>
        <v>7,32x2,44</v>
      </c>
      <c r="I26" t="str">
        <f>IF(F26="Großfeld","5",IF(F26="U16","5",IF(F26="U15","5",IF(F26="U14","4",IF(F26="U13","4",IF(F26="U11/U12","4",IF(F26="U9/U10","4",IF(F26="U9","4","3"))))))))</f>
        <v>5</v>
      </c>
      <c r="J26" t="e">
        <f>IF(A26="KM Neufeld","Pleninger Stefan",IF(A26="U16 LL","Josch Kögl",IF(A26="U15 LL Nord","Serdar Ekinci",IF(A26="U14 Nord","Gernot Servelda",IF(A26="U13 - Nord","Thomas Pöschl &amp; Lenz Honc",IF(A26="U11 Nord D","Mario Magler&amp;Ronny Archam",IF(A26="U9","Thomas Brandl&amp;Daniel Hofbauer",IF(A26="U8","Berger Tobias&amp;Sebastian Putric",IF(A26="U7","Türkes Ömer&amp;Mahsumi Taha",IF(A26="Camp","Berger Dieter",IF(A26="Turnier","Berger Dieter","FEHLER")))))))))))</f>
        <v>#REF!</v>
      </c>
      <c r="K26" t="e">
        <f>IF(A26="KM Neufeld","+43 664 415 99 09",IF(A26="U16 LL","+43 650 262 82 63",IF(A26="U15 LL Nord","+43 650 701 02 44",IF(A26="U14 - Nord","+43 676 401 09 13",IF(A26="U13 - Nord","+43 677 613 55 114 &amp; +43 664 114 43 52",IF(A26="U11 Nord D","+43 664 762 09 93 &amp; +43 699 111 93 828",IF(A26="U9","+43 676 377 16 30 &amp;  +43 399 197 871 81",IF(A26="U8","+43 660 199 13 52 &amp;  +43 660 914 92 36",IF(A26="U7","+43 676 661 62 26 &amp;  +43 681 208 115 99",IF(A26="Camp","+43 660 77 39 500",IF(A26="Turnier","+43 660 77 39 500","FEHLER")))))))))))</f>
        <v>#REF!</v>
      </c>
    </row>
    <row r="27" spans="1:11" hidden="1" x14ac:dyDescent="0.3">
      <c r="A27" t="e">
        <f>Heimspiele!C28</f>
        <v>#REF!</v>
      </c>
      <c r="B27" s="69" t="e">
        <f>Heimspiele!D28</f>
        <v>#REF!</v>
      </c>
      <c r="C27" s="69"/>
      <c r="D27" t="e">
        <f>Heimspiele!F28</f>
        <v>#REF!</v>
      </c>
      <c r="E27" t="e">
        <f>Heimspiele!G28</f>
        <v>#REF!</v>
      </c>
      <c r="F27" t="s">
        <v>18</v>
      </c>
      <c r="G27" t="str">
        <f t="shared" si="0"/>
        <v>Großfeld</v>
      </c>
      <c r="H27" t="str">
        <f>IF(F27="Großfeld","7,32x2,44",IF(F27="U16","7,32x2,44",IF(F27="U15","7,32x2,44",IF(F27="U14","7,32x2,44",IF(F27="U13","5x2",IF(F27="U11/U12","5x2",IF(F27="U9/U10","5x2","4 Minitore")))))))</f>
        <v>7,32x2,44</v>
      </c>
      <c r="I27" t="str">
        <f>IF(F27="Großfeld","5",IF(F27="U16","5",IF(F27="U15","5",IF(F27="U14","4",IF(F27="U13","4",IF(F27="U11/U12","4",IF(F27="U9/U10","4",IF(F27="U9","4","3"))))))))</f>
        <v>5</v>
      </c>
      <c r="J27" t="e">
        <f>IF(A27="KM Neufeld","Pleninger Stefan",IF(A27="U16 LL","Josch Kögl",IF(A27="U15 LL Nord","Serdar Ekinci",IF(A27="U14 Nord","Gernot Servelda",IF(A27="U13 - Nord","Thomas Pöschl &amp; Lenz Honc",IF(A27="U11 Nord D","Mario Magler&amp;Ronny Archam",IF(A27="U9","Thomas Brandl&amp;Daniel Hofbauer",IF(A27="U8","Berger Tobias&amp;Sebastian Putric",IF(A27="U7","Türkes Ömer&amp;Mahsumi Taha",IF(A27="Camp","Berger Dieter",IF(A27="Turnier","Berger Dieter","FEHLER")))))))))))</f>
        <v>#REF!</v>
      </c>
      <c r="K27" t="e">
        <f>IF(A27="KM Neufeld","+43 664 415 99 09",IF(A27="U16 LL","+43 650 262 82 63",IF(A27="U15 LL Nord","+43 650 701 02 44",IF(A27="U14 - Nord","+43 676 401 09 13",IF(A27="U13 - Nord","+43 677 613 55 114 &amp; +43 664 114 43 52",IF(A27="U11 Nord D","+43 664 762 09 93 &amp; +43 699 111 93 828",IF(A27="U9","+43 676 377 16 30 &amp;  +43 399 197 871 81",IF(A27="U8","+43 660 199 13 52 &amp;  +43 660 914 92 36",IF(A27="U7","+43 676 661 62 26 &amp;  +43 681 208 115 99",IF(A27="Camp","+43 660 77 39 500",IF(A27="Turnier","+43 660 77 39 500","FEHLER")))))))))))</f>
        <v>#REF!</v>
      </c>
    </row>
    <row r="28" spans="1:11" ht="15.6" x14ac:dyDescent="0.3">
      <c r="A28" s="74" t="str">
        <f>Heimspiele!C14</f>
        <v>Camp</v>
      </c>
      <c r="B28" s="75">
        <f>Heimspiele!D14</f>
        <v>46232</v>
      </c>
      <c r="C28" s="76">
        <f>Heimspiele!E14</f>
        <v>0.375</v>
      </c>
      <c r="D28" s="74" t="str">
        <f>Heimspiele!F14</f>
        <v>Neufeld</v>
      </c>
      <c r="E28" s="74" t="str">
        <f>Heimspiele!G14</f>
        <v>REAL MADRID CAMP</v>
      </c>
      <c r="F28" s="74" t="s">
        <v>18</v>
      </c>
      <c r="G28" s="74" t="str">
        <f t="shared" si="0"/>
        <v>Großfeld</v>
      </c>
      <c r="H28" s="74" t="s">
        <v>82</v>
      </c>
      <c r="I28" s="74">
        <v>3</v>
      </c>
      <c r="J28" s="74" t="str">
        <f>IF(A28="KM Neufeld","Pleninger Stefan",IF(A28="U16 LL","Josch Kögl",IF(A28="U15 LL Nord","Serdar Ekinci",IF(A28="U14 Nord","Gernot Servelda",IF(A28="U13 Nord","Thomas Pöschl &amp; Lenz Honc",IF(A28="U11 Nord D","Mario Magler&amp;Ronny Archam",IF(A28="U9","Thomas Brandl&amp;Daniel Hofbauer",IF(A28="U8","Berger Tobias&amp;Sebastian Putric",IF(A28="U7","Türkes Ömer&amp;Mahsumi Taha",IF(A28="Camp","Berger Dieter",IF(A28="Turnier","Berger Dieter","FEHLER")))))))))))</f>
        <v>Berger Dieter</v>
      </c>
      <c r="K28" s="74" t="str">
        <f>IF(A28="KM Neufeld","+43 664 415 99 09",IF(A28="U16 LL","+43 650 262 82 63",IF(A28="U15 LL Nord","+43 650 701 02 44",IF(A28="U14 Nord","+43 676 401 09 13",IF(A28="U13 Nord","+43 677 613 55 114 &amp; +43 664 114 43 52",IF(A28="U11 Nord D","+43 664 762 09 93 &amp; +43 699 111 93 828",IF(A28="U9","+43 676 377 16 30 &amp;  +43 399 197 871 81",IF(A28="U8","+43 660 199 13 52 &amp;  +43 660 914 92 36",IF(A28="U7","+43 676 661 62 26 &amp;  +43 681 208 115 99",IF(A28="Camp","+43 660 77 39 500",IF(A28="Turnier","+43 660 77 39 500","FEHLER")))))))))))</f>
        <v>+43 660 77 39 500</v>
      </c>
    </row>
    <row r="29" spans="1:11" hidden="1" x14ac:dyDescent="0.3">
      <c r="A29" t="e">
        <f>Heimspiele!C30</f>
        <v>#REF!</v>
      </c>
      <c r="B29" s="69" t="e">
        <f>Heimspiele!D30</f>
        <v>#REF!</v>
      </c>
      <c r="C29" s="69"/>
      <c r="D29" t="e">
        <f>Heimspiele!F30</f>
        <v>#REF!</v>
      </c>
      <c r="E29" t="e">
        <f>Heimspiele!G30</f>
        <v>#REF!</v>
      </c>
      <c r="F29" t="s">
        <v>18</v>
      </c>
      <c r="G29" t="str">
        <f t="shared" si="0"/>
        <v>Großfeld</v>
      </c>
      <c r="H29" t="str">
        <f t="shared" ref="H29:H60" si="3">IF(F29="Großfeld","7,32x2,44",IF(F29="U16","7,32x2,44",IF(F29="U15","7,32x2,44",IF(F29="U14","7,32x2,44",IF(F29="U13","5x2",IF(F29="U11/U12","5x2",IF(F29="U9/U10","5x2","4 Minitore")))))))</f>
        <v>7,32x2,44</v>
      </c>
      <c r="I29" t="str">
        <f t="shared" ref="I29:I60" si="4">IF(F29="Großfeld","5",IF(F29="U16","5",IF(F29="U15","5",IF(F29="U14","4",IF(F29="U13","4",IF(F29="U11/U12","4",IF(F29="U9/U10","4",IF(F29="U9","4","3"))))))))</f>
        <v>5</v>
      </c>
      <c r="J29" t="e">
        <f>IF(A29="KM Neufeld","Pleninger Stefan",IF(A29="U16 LL","Josch Kögl",IF(A29="U15 LL Nord","Serdar Ekinci",IF(A29="U14 Nord","Gernot Servelda",IF(A29="U13 - Nord","Thomas Pöschl &amp; Lenz Honc",IF(A29="U11 Nord D","Mario Magler&amp;Ronny Archam",IF(A29="U9","Thomas Brandl&amp;Daniel Hofbauer",IF(A29="U8","Berger Tobias&amp;Sebastian Putric",IF(A29="U7","Türkes Ömer&amp;Mahsumi Taha",IF(A29="Camp","Berger Dieter",IF(A29="Turnier","Berger Dieter","FEHLER")))))))))))</f>
        <v>#REF!</v>
      </c>
      <c r="K29" t="e">
        <f>IF(A29="KM Neufeld","+43 664 415 99 09",IF(A29="U16 LL","+43 650 262 82 63",IF(A29="U15 LL Nord","+43 650 701 02 44",IF(A29="U14 - Nord","+43 676 401 09 13",IF(A29="U13 - Nord","+43 677 613 55 114 &amp; +43 664 114 43 52",IF(A29="U11 Nord D","+43 664 762 09 93 &amp; +43 699 111 93 828",IF(A29="U9","+43 676 377 16 30 &amp;  +43 399 197 871 81",IF(A29="U8","+43 660 199 13 52 &amp;  +43 660 914 92 36",IF(A29="U7","+43 676 661 62 26 &amp;  +43 681 208 115 99",IF(A29="Camp","+43 660 77 39 500",IF(A29="Turnier","+43 660 77 39 500","FEHLER")))))))))))</f>
        <v>#REF!</v>
      </c>
    </row>
    <row r="30" spans="1:11" hidden="1" x14ac:dyDescent="0.3">
      <c r="A30" t="e">
        <f>Heimspiele!C31</f>
        <v>#REF!</v>
      </c>
      <c r="B30" s="69" t="e">
        <f>Heimspiele!D31</f>
        <v>#REF!</v>
      </c>
      <c r="C30" s="69"/>
      <c r="D30" t="e">
        <f>Heimspiele!F31</f>
        <v>#REF!</v>
      </c>
      <c r="E30" t="e">
        <f>Heimspiele!G31</f>
        <v>#REF!</v>
      </c>
      <c r="F30" t="s">
        <v>18</v>
      </c>
      <c r="G30" t="str">
        <f t="shared" si="0"/>
        <v>Großfeld</v>
      </c>
      <c r="H30" t="str">
        <f t="shared" si="3"/>
        <v>7,32x2,44</v>
      </c>
      <c r="I30" t="str">
        <f t="shared" si="4"/>
        <v>5</v>
      </c>
      <c r="J30" t="e">
        <f>IF(A30="KM Neufeld","Pleninger Stefan",IF(A30="U16 LL","Josch Kögl",IF(A30="U15 LL Nord","Serdar Ekinci",IF(A30="U14 Nord","Gernot Servelda",IF(A30="U13 - Nord","Thomas Pöschl &amp; Lenz Honc",IF(A30="U11 Nord D","Mario Magler&amp;Ronny Archam",IF(A30="U9","Thomas Brandl&amp;Daniel Hofbauer",IF(A30="U8","Berger Tobias&amp;Sebastian Putric",IF(A30="U7","Türkes Ömer&amp;Mahsumi Taha",IF(A30="Camp","Berger Dieter",IF(A30="Turnier","Berger Dieter","FEHLER")))))))))))</f>
        <v>#REF!</v>
      </c>
      <c r="K30" t="e">
        <f>IF(A30="KM Neufeld","+43 664 415 99 09",IF(A30="U16 LL","+43 650 262 82 63",IF(A30="U15 LL Nord","+43 650 701 02 44",IF(A30="U14 - Nord","+43 676 401 09 13",IF(A30="U13 - Nord","+43 677 613 55 114 &amp; +43 664 114 43 52",IF(A30="U11 Nord D","+43 664 762 09 93 &amp; +43 699 111 93 828",IF(A30="U9","+43 676 377 16 30 &amp;  +43 399 197 871 81",IF(A30="U8","+43 660 199 13 52 &amp;  +43 660 914 92 36",IF(A30="U7","+43 676 661 62 26 &amp;  +43 681 208 115 99",IF(A30="Camp","+43 660 77 39 500",IF(A30="Turnier","+43 660 77 39 500","FEHLER")))))))))))</f>
        <v>#REF!</v>
      </c>
    </row>
    <row r="31" spans="1:11" hidden="1" x14ac:dyDescent="0.3">
      <c r="A31" t="e">
        <f>Heimspiele!C32</f>
        <v>#REF!</v>
      </c>
      <c r="B31" s="69" t="e">
        <f>Heimspiele!D32</f>
        <v>#REF!</v>
      </c>
      <c r="C31" s="69"/>
      <c r="D31" t="e">
        <f>Heimspiele!F32</f>
        <v>#REF!</v>
      </c>
      <c r="E31" t="e">
        <f>Heimspiele!G32</f>
        <v>#REF!</v>
      </c>
      <c r="F31" t="s">
        <v>18</v>
      </c>
      <c r="G31" t="str">
        <f t="shared" si="0"/>
        <v>Großfeld</v>
      </c>
      <c r="H31" t="str">
        <f t="shared" si="3"/>
        <v>7,32x2,44</v>
      </c>
      <c r="I31" t="str">
        <f t="shared" si="4"/>
        <v>5</v>
      </c>
      <c r="J31" t="e">
        <f>IF(A31="KM Neufeld","Pleninger Stefan",IF(A31="U16 LL","Josch Kögl",IF(A31="U15 LL Nord","Serdar Ekinci",IF(A31="U14 Nord","Gernot Servelda",IF(A31="U13 - Nord","Thomas Pöschl &amp; Lenz Honc",IF(A31="U11 Nord D","Mario Magler&amp;Ronny Archam",IF(A31="U9","Thomas Brandl&amp;Daniel Hofbauer",IF(A31="U8","Berger Tobias&amp;Sebastian Putric",IF(A31="U7","Türkes Ömer&amp;Mahsumi Taha",IF(A31="Camp","Berger Dieter",IF(A31="Turnier","Berger Dieter","FEHLER")))))))))))</f>
        <v>#REF!</v>
      </c>
      <c r="K31" t="e">
        <f>IF(A31="KM Neufeld","+43 664 415 99 09",IF(A31="U16 LL","+43 650 262 82 63",IF(A31="U15 LL Nord","+43 650 701 02 44",IF(A31="U14 - Nord","+43 676 401 09 13",IF(A31="U13 - Nord","+43 677 613 55 114 &amp; +43 664 114 43 52",IF(A31="U11 Nord D","+43 664 762 09 93 &amp; +43 699 111 93 828",IF(A31="U9","+43 676 377 16 30 &amp;  +43 399 197 871 81",IF(A31="U8","+43 660 199 13 52 &amp;  +43 660 914 92 36",IF(A31="U7","+43 676 661 62 26 &amp;  +43 681 208 115 99",IF(A31="Camp","+43 660 77 39 500",IF(A31="Turnier","+43 660 77 39 500","FEHLER")))))))))))</f>
        <v>#REF!</v>
      </c>
    </row>
    <row r="32" spans="1:11" hidden="1" x14ac:dyDescent="0.3">
      <c r="A32" t="e">
        <f>Heimspiele!C33</f>
        <v>#REF!</v>
      </c>
      <c r="B32" s="69" t="e">
        <f>Heimspiele!D33</f>
        <v>#REF!</v>
      </c>
      <c r="C32" s="69"/>
      <c r="D32" t="e">
        <f>Heimspiele!F33</f>
        <v>#REF!</v>
      </c>
      <c r="E32" t="e">
        <f>Heimspiele!G33</f>
        <v>#REF!</v>
      </c>
      <c r="F32" t="s">
        <v>18</v>
      </c>
      <c r="G32" t="str">
        <f t="shared" si="0"/>
        <v>Großfeld</v>
      </c>
      <c r="H32" t="str">
        <f t="shared" si="3"/>
        <v>7,32x2,44</v>
      </c>
      <c r="I32" t="str">
        <f t="shared" si="4"/>
        <v>5</v>
      </c>
      <c r="J32" t="e">
        <f>IF(A32="KM Neufeld","Pleninger Stefan",IF(A32="U16 LL","Josch Kögl",IF(A32="U15 LL Nord","Serdar Ekinci",IF(A32="U14 Nord","Gernot Servelda",IF(A32="U13 - Nord","Thomas Pöschl &amp; Lenz Honc",IF(A32="U11 Nord D","Mario Magler&amp;Ronny Archam",IF(A32="U9","Thomas Brandl&amp;Daniel Hofbauer",IF(A32="U8","Berger Tobias&amp;Sebastian Putric",IF(A32="U7","Türkes Ömer&amp;Mahsumi Taha",IF(A32="Camp","Berger Dieter",IF(A32="Turnier","Berger Dieter","FEHLER")))))))))))</f>
        <v>#REF!</v>
      </c>
      <c r="K32" t="e">
        <f>IF(A32="KM Neufeld","+43 664 415 99 09",IF(A32="U16 LL","+43 650 262 82 63",IF(A32="U15 LL Nord","+43 650 701 02 44",IF(A32="U14 - Nord","+43 676 401 09 13",IF(A32="U13 - Nord","+43 677 613 55 114 &amp; +43 664 114 43 52",IF(A32="U11 Nord D","+43 664 762 09 93 &amp; +43 699 111 93 828",IF(A32="U9","+43 676 377 16 30 &amp;  +43 399 197 871 81",IF(A32="U8","+43 660 199 13 52 &amp;  +43 660 914 92 36",IF(A32="U7","+43 676 661 62 26 &amp;  +43 681 208 115 99",IF(A32="Camp","+43 660 77 39 500",IF(A32="Turnier","+43 660 77 39 500","FEHLER")))))))))))</f>
        <v>#REF!</v>
      </c>
    </row>
    <row r="33" spans="1:11" hidden="1" x14ac:dyDescent="0.3">
      <c r="A33" t="e">
        <f>Heimspiele!C34</f>
        <v>#REF!</v>
      </c>
      <c r="B33" s="69" t="e">
        <f>Heimspiele!D34</f>
        <v>#REF!</v>
      </c>
      <c r="C33" s="69"/>
      <c r="D33" t="e">
        <f>Heimspiele!F34</f>
        <v>#REF!</v>
      </c>
      <c r="E33" t="e">
        <f>Heimspiele!G34</f>
        <v>#REF!</v>
      </c>
      <c r="F33" t="s">
        <v>18</v>
      </c>
      <c r="G33" t="str">
        <f t="shared" si="0"/>
        <v>Großfeld</v>
      </c>
      <c r="H33" t="str">
        <f t="shared" si="3"/>
        <v>7,32x2,44</v>
      </c>
      <c r="I33" t="str">
        <f t="shared" si="4"/>
        <v>5</v>
      </c>
      <c r="J33" t="e">
        <f>IF(A33="KM Neufeld","Pleninger Stefan",IF(A33="U16 LL","Josch Kögl",IF(A33="U15 LL Nord","Serdar Ekinci",IF(A33="U14 Nord","Gernot Servelda",IF(A33="U13 - Nord","Thomas Pöschl &amp; Lenz Honc",IF(A33="U11 Nord D","Mario Magler&amp;Ronny Archam",IF(A33="U9","Thomas Brandl&amp;Daniel Hofbauer",IF(A33="U8","Berger Tobias&amp;Sebastian Putric",IF(A33="U7","Türkes Ömer&amp;Mahsumi Taha",IF(A33="Camp","Berger Dieter",IF(A33="Turnier","Berger Dieter","FEHLER")))))))))))</f>
        <v>#REF!</v>
      </c>
      <c r="K33" t="e">
        <f>IF(A33="KM Neufeld","+43 664 415 99 09",IF(A33="U16 LL","+43 650 262 82 63",IF(A33="U15 LL Nord","+43 650 701 02 44",IF(A33="U14 - Nord","+43 676 401 09 13",IF(A33="U13 - Nord","+43 677 613 55 114 &amp; +43 664 114 43 52",IF(A33="U11 Nord D","+43 664 762 09 93 &amp; +43 699 111 93 828",IF(A33="U9","+43 676 377 16 30 &amp;  +43 399 197 871 81",IF(A33="U8","+43 660 199 13 52 &amp;  +43 660 914 92 36",IF(A33="U7","+43 676 661 62 26 &amp;  +43 681 208 115 99",IF(A33="Camp","+43 660 77 39 500",IF(A33="Turnier","+43 660 77 39 500","FEHLER")))))))))))</f>
        <v>#REF!</v>
      </c>
    </row>
    <row r="34" spans="1:11" ht="15.6" x14ac:dyDescent="0.3">
      <c r="A34" s="77" t="str">
        <f>Heimspiele!C18</f>
        <v>KM</v>
      </c>
      <c r="B34" s="78">
        <f>Heimspiele!D18</f>
        <v>46270</v>
      </c>
      <c r="C34" s="79">
        <f>Heimspiele!E18</f>
        <v>0.6875</v>
      </c>
      <c r="D34" s="77" t="str">
        <f>Heimspiele!F18</f>
        <v>Mönchhof</v>
      </c>
      <c r="E34" s="77" t="str">
        <f>Heimspiele!G18</f>
        <v>Mönchhof</v>
      </c>
      <c r="F34" s="77" t="s">
        <v>18</v>
      </c>
      <c r="G34" s="77" t="str">
        <f t="shared" ref="G34:G65" si="5">IF(F34="Großfeld","Großfeld",IF(F34="U16","Großfeld",IF(F34="U15","Großfeld",IF(F34="U14","Großfeld",IF(F34="U13","75x55",IF(F34="U11/U12","55x40",IF(F34="U9/U10","40x25",IF(F34="U8","29x22","25x20"))))))))</f>
        <v>Großfeld</v>
      </c>
      <c r="H34" s="77" t="str">
        <f t="shared" si="3"/>
        <v>7,32x2,44</v>
      </c>
      <c r="I34" s="77" t="str">
        <f t="shared" si="4"/>
        <v>5</v>
      </c>
      <c r="J34" s="77" t="str">
        <f>IF(A34="KM Neufeld","Pleninger Stefan",IF(A34="U16 LL","Josch Kögl",IF(A34="U15 LL Nord","Serdar Ekinci",IF(A34="U14 Nord","Gernot Servelda",IF(A34="U13 Nord","Thomas Pöschl &amp; Lenz Honc",IF(A34="U11 Nord D","Mario Magler&amp;Ronny Archam",IF(A34="U9","Thomas Brandl&amp;Daniel Hofbauer",IF(A34="U8","Berger Tobias&amp;Sebastian Putric",IF(A34="U7","Türkes Ömer&amp;Mahsumi Taha",IF(A34="Camp","Berger Dieter",IF(A34="Turnier","Berger Dieter","FEHLER")))))))))))</f>
        <v>FEHLER</v>
      </c>
      <c r="K34" s="77" t="str">
        <f>IF(A34="KM Neufeld","+43 664 415 99 09",IF(A34="U16 LL","+43 650 262 82 63",IF(A34="U15 LL Nord","+43 650 701 02 44",IF(A34="U14 Nord","+43 676 401 09 13",IF(A34="U13 Nord","+43 677 613 55 114 &amp; +43 664 114 43 52",IF(A34="U11 Nord D","+43 664 762 09 93 &amp; +43 699 111 93 828",IF(A34="U9","+43 676 377 16 30 &amp;  +43 399 197 871 81",IF(A34="U8","+43 660 199 13 52 &amp;  +43 660 914 92 36",IF(A34="U7","+43 676 661 62 26 &amp;  +43 681 208 115 99",IF(A34="Camp","+43 660 77 39 500",IF(A34="Turnier","+43 660 77 39 500","FEHLER")))))))))))</f>
        <v>FEHLER</v>
      </c>
    </row>
    <row r="35" spans="1:11" hidden="1" x14ac:dyDescent="0.3">
      <c r="A35" t="str">
        <f>Heimspiele!C36</f>
        <v>U14</v>
      </c>
      <c r="B35" s="69">
        <f>Heimspiele!D36</f>
        <v>46034</v>
      </c>
      <c r="C35" s="69"/>
      <c r="D35">
        <f>Heimspiele!F36</f>
        <v>0</v>
      </c>
      <c r="E35">
        <f>Heimspiele!G36</f>
        <v>0</v>
      </c>
      <c r="F35" t="s">
        <v>18</v>
      </c>
      <c r="G35" t="str">
        <f t="shared" si="5"/>
        <v>Großfeld</v>
      </c>
      <c r="H35" t="str">
        <f t="shared" si="3"/>
        <v>7,32x2,44</v>
      </c>
      <c r="I35" t="str">
        <f t="shared" si="4"/>
        <v>5</v>
      </c>
      <c r="J35" t="str">
        <f>IF(A35="KM Neufeld","Pleninger Stefan",IF(A35="U16 LL","Josch Kögl",IF(A35="U15 LL Nord","Serdar Ekinci",IF(A35="U14 Nord","Gernot Servelda",IF(A35="U13 - Nord","Thomas Pöschl &amp; Lenz Honc",IF(A35="U11 Nord D","Mario Magler&amp;Ronny Archam",IF(A35="U9","Thomas Brandl&amp;Daniel Hofbauer",IF(A35="U8","Berger Tobias&amp;Sebastian Putric",IF(A35="U7","Türkes Ömer&amp;Mahsumi Taha",IF(A35="Camp","Berger Dieter",IF(A35="Turnier","Berger Dieter","FEHLER")))))))))))</f>
        <v>FEHLER</v>
      </c>
      <c r="K35" t="str">
        <f>IF(A35="KM Neufeld","+43 664 415 99 09",IF(A35="U16 LL","+43 650 262 82 63",IF(A35="U15 LL Nord","+43 650 701 02 44",IF(A35="U14 - Nord","+43 676 401 09 13",IF(A35="U13 - Nord","+43 677 613 55 114 &amp; +43 664 114 43 52",IF(A35="U11 Nord D","+43 664 762 09 93 &amp; +43 699 111 93 828",IF(A35="U9","+43 676 377 16 30 &amp;  +43 399 197 871 81",IF(A35="U8","+43 660 199 13 52 &amp;  +43 660 914 92 36",IF(A35="U7","+43 676 661 62 26 &amp;  +43 681 208 115 99",IF(A35="Camp","+43 660 77 39 500",IF(A35="Turnier","+43 660 77 39 500","FEHLER")))))))))))</f>
        <v>FEHLER</v>
      </c>
    </row>
    <row r="36" spans="1:11" hidden="1" x14ac:dyDescent="0.3">
      <c r="A36" t="str">
        <f>Heimspiele!C37</f>
        <v>U14</v>
      </c>
      <c r="B36" s="69">
        <f>Heimspiele!D37</f>
        <v>46035</v>
      </c>
      <c r="C36" s="69"/>
      <c r="D36">
        <f>Heimspiele!F37</f>
        <v>0</v>
      </c>
      <c r="E36">
        <f>Heimspiele!G37</f>
        <v>0</v>
      </c>
      <c r="F36" t="s">
        <v>18</v>
      </c>
      <c r="G36" t="str">
        <f t="shared" si="5"/>
        <v>Großfeld</v>
      </c>
      <c r="H36" t="str">
        <f t="shared" si="3"/>
        <v>7,32x2,44</v>
      </c>
      <c r="I36" t="str">
        <f t="shared" si="4"/>
        <v>5</v>
      </c>
      <c r="J36" t="str">
        <f>IF(A36="KM Neufeld","Pleninger Stefan",IF(A36="U16 LL","Josch Kögl",IF(A36="U15 LL Nord","Serdar Ekinci",IF(A36="U14 Nord","Gernot Servelda",IF(A36="U13 - Nord","Thomas Pöschl &amp; Lenz Honc",IF(A36="U11 Nord D","Mario Magler&amp;Ronny Archam",IF(A36="U9","Thomas Brandl&amp;Daniel Hofbauer",IF(A36="U8","Berger Tobias&amp;Sebastian Putric",IF(A36="U7","Türkes Ömer&amp;Mahsumi Taha",IF(A36="Camp","Berger Dieter",IF(A36="Turnier","Berger Dieter","FEHLER")))))))))))</f>
        <v>FEHLER</v>
      </c>
      <c r="K36" t="str">
        <f>IF(A36="KM Neufeld","+43 664 415 99 09",IF(A36="U16 LL","+43 650 262 82 63",IF(A36="U15 LL Nord","+43 650 701 02 44",IF(A36="U14 - Nord","+43 676 401 09 13",IF(A36="U13 - Nord","+43 677 613 55 114 &amp; +43 664 114 43 52",IF(A36="U11 Nord D","+43 664 762 09 93 &amp; +43 699 111 93 828",IF(A36="U9","+43 676 377 16 30 &amp;  +43 399 197 871 81",IF(A36="U8","+43 660 199 13 52 &amp;  +43 660 914 92 36",IF(A36="U7","+43 676 661 62 26 &amp;  +43 681 208 115 99",IF(A36="Camp","+43 660 77 39 500",IF(A36="Turnier","+43 660 77 39 500","FEHLER")))))))))))</f>
        <v>FEHLER</v>
      </c>
    </row>
    <row r="37" spans="1:11" ht="15.6" x14ac:dyDescent="0.3">
      <c r="A37" s="77" t="str">
        <f>Heimspiele!C24</f>
        <v>U9</v>
      </c>
      <c r="B37" s="78">
        <f>Heimspiele!D24</f>
        <v>46078</v>
      </c>
      <c r="C37" s="79">
        <f>Heimspiele!E24</f>
        <v>0</v>
      </c>
      <c r="D37" s="77">
        <f>Heimspiele!F24</f>
        <v>0</v>
      </c>
      <c r="E37" s="77">
        <f>Heimspiele!G24</f>
        <v>0</v>
      </c>
      <c r="F37" s="77" t="s">
        <v>22</v>
      </c>
      <c r="G37" s="77" t="str">
        <f t="shared" si="5"/>
        <v>40x25</v>
      </c>
      <c r="H37" s="77" t="str">
        <f t="shared" si="3"/>
        <v>5x2</v>
      </c>
      <c r="I37" s="77" t="str">
        <f t="shared" si="4"/>
        <v>4</v>
      </c>
      <c r="J37" s="77" t="str">
        <f>IF(A37="KM Neufeld","Pleninger Stefan",IF(A37="U16 LL","Josch Kögl",IF(A37="U15 LL Nord","Serdar Ekinci",IF(A37="U14 Nord","Gernot Servelda",IF(A37="U13 Nord","Thomas Pöschl &amp; Lenz Honc",IF(A37="U11 Nord D","Mario Magler&amp;Ronny Archam",IF(A37="U9","Thomas Brandl&amp;Daniel Hofbauer",IF(A37="U8","Berger Tobias&amp;Sebastian Putric",IF(A37="U7","Türkes Ömer&amp;Mahsumi Taha",IF(A37="Camp","Berger Dieter",IF(A37="Turnier","Berger Dieter","FEHLER")))))))))))</f>
        <v>Thomas Brandl&amp;Daniel Hofbauer</v>
      </c>
      <c r="K37" s="77" t="str">
        <f>IF(A37="KM Neufeld","+43 664 415 99 09",IF(A37="U16 LL","+43 650 262 82 63",IF(A37="U15 LL Nord","+43 650 701 02 44",IF(A37="U14 Nord","+43 676 401 09 13",IF(A37="U13 Nord","+43 677 613 55 114 &amp; +43 664 114 43 52",IF(A37="U11 Nord D","+43 664 762 09 93 &amp; +43 699 111 93 828",IF(A37="U9","+43 676 377 16 30 &amp;  +43 399 197 871 81",IF(A37="U8","+43 660 199 13 52 &amp;  +43 660 914 92 36",IF(A37="U7","+43 676 661 62 26 &amp;  +43 681 208 115 99",IF(A37="Camp","+43 660 77 39 500",IF(A37="Turnier","+43 660 77 39 500","FEHLER")))))))))))</f>
        <v>+43 676 377 16 30 &amp;  +43 399 197 871 81</v>
      </c>
    </row>
    <row r="38" spans="1:11" hidden="1" x14ac:dyDescent="0.3">
      <c r="A38" t="e">
        <f>Heimspiele!C39</f>
        <v>#REF!</v>
      </c>
      <c r="B38" s="69" t="e">
        <f>Heimspiele!D39</f>
        <v>#REF!</v>
      </c>
      <c r="C38" s="69"/>
      <c r="D38" t="e">
        <f>Heimspiele!F39</f>
        <v>#REF!</v>
      </c>
      <c r="E38" t="e">
        <f>Heimspiele!G39</f>
        <v>#REF!</v>
      </c>
      <c r="F38" t="s">
        <v>18</v>
      </c>
      <c r="G38" t="str">
        <f t="shared" si="5"/>
        <v>Großfeld</v>
      </c>
      <c r="H38" t="str">
        <f t="shared" si="3"/>
        <v>7,32x2,44</v>
      </c>
      <c r="I38" t="str">
        <f t="shared" si="4"/>
        <v>5</v>
      </c>
      <c r="J38" t="e">
        <f>IF(A38="KM Neufeld","Pleninger Stefan",IF(A38="U16 LL","Josch Kögl",IF(A38="U15 LL Nord","Serdar Ekinci",IF(A38="U14 Nord","Gernot Servelda",IF(A38="U13 - Nord","Thomas Pöschl &amp; Lenz Honc",IF(A38="U11 Nord D","Mario Magler&amp;Ronny Archam",IF(A38="U9","Thomas Brandl&amp;Daniel Hofbauer",IF(A38="U8","Berger Tobias&amp;Sebastian Putric",IF(A38="U7","Türkes Ömer&amp;Mahsumi Taha",IF(A38="Camp","Berger Dieter",IF(A38="Turnier","Berger Dieter","FEHLER")))))))))))</f>
        <v>#REF!</v>
      </c>
      <c r="K38" t="e">
        <f>IF(A38="KM Neufeld","+43 664 415 99 09",IF(A38="U16 LL","+43 650 262 82 63",IF(A38="U15 LL Nord","+43 650 701 02 44",IF(A38="U14 - Nord","+43 676 401 09 13",IF(A38="U13 - Nord","+43 677 613 55 114 &amp; +43 664 114 43 52",IF(A38="U11 Nord D","+43 664 762 09 93 &amp; +43 699 111 93 828",IF(A38="U9","+43 676 377 16 30 &amp;  +43 399 197 871 81",IF(A38="U8","+43 660 199 13 52 &amp;  +43 660 914 92 36",IF(A38="U7","+43 676 661 62 26 &amp;  +43 681 208 115 99",IF(A38="Camp","+43 660 77 39 500",IF(A38="Turnier","+43 660 77 39 500","FEHLER")))))))))))</f>
        <v>#REF!</v>
      </c>
    </row>
    <row r="39" spans="1:11" hidden="1" x14ac:dyDescent="0.3">
      <c r="A39" t="str">
        <f>Heimspiele!C40</f>
        <v>U14</v>
      </c>
      <c r="B39" s="69">
        <f>Heimspiele!D40</f>
        <v>46037</v>
      </c>
      <c r="C39" s="69"/>
      <c r="D39">
        <f>Heimspiele!F40</f>
        <v>0</v>
      </c>
      <c r="E39">
        <f>Heimspiele!G40</f>
        <v>0</v>
      </c>
      <c r="F39" t="s">
        <v>18</v>
      </c>
      <c r="G39" t="str">
        <f t="shared" si="5"/>
        <v>Großfeld</v>
      </c>
      <c r="H39" t="str">
        <f t="shared" si="3"/>
        <v>7,32x2,44</v>
      </c>
      <c r="I39" t="str">
        <f t="shared" si="4"/>
        <v>5</v>
      </c>
      <c r="J39" t="str">
        <f>IF(A39="KM Neufeld","Pleninger Stefan",IF(A39="U16 LL","Josch Kögl",IF(A39="U15 LL Nord","Serdar Ekinci",IF(A39="U14 Nord","Gernot Servelda",IF(A39="U13 - Nord","Thomas Pöschl &amp; Lenz Honc",IF(A39="U11 Nord D","Mario Magler&amp;Ronny Archam",IF(A39="U9","Thomas Brandl&amp;Daniel Hofbauer",IF(A39="U8","Berger Tobias&amp;Sebastian Putric",IF(A39="U7","Türkes Ömer&amp;Mahsumi Taha",IF(A39="Camp","Berger Dieter",IF(A39="Turnier","Berger Dieter","FEHLER")))))))))))</f>
        <v>FEHLER</v>
      </c>
      <c r="K39" t="str">
        <f>IF(A39="KM Neufeld","+43 664 415 99 09",IF(A39="U16 LL","+43 650 262 82 63",IF(A39="U15 LL Nord","+43 650 701 02 44",IF(A39="U14 - Nord","+43 676 401 09 13",IF(A39="U13 - Nord","+43 677 613 55 114 &amp; +43 664 114 43 52",IF(A39="U11 Nord D","+43 664 762 09 93 &amp; +43 699 111 93 828",IF(A39="U9","+43 676 377 16 30 &amp;  +43 399 197 871 81",IF(A39="U8","+43 660 199 13 52 &amp;  +43 660 914 92 36",IF(A39="U7","+43 676 661 62 26 &amp;  +43 681 208 115 99",IF(A39="Camp","+43 660 77 39 500",IF(A39="Turnier","+43 660 77 39 500","FEHLER")))))))))))</f>
        <v>FEHLER</v>
      </c>
    </row>
    <row r="40" spans="1:11" ht="15.6" x14ac:dyDescent="0.3">
      <c r="A40" s="77" t="str">
        <f>Heimspiele!C26</f>
        <v>U8</v>
      </c>
      <c r="B40" s="78">
        <f>Heimspiele!D26</f>
        <v>46088</v>
      </c>
      <c r="C40" s="79">
        <f>Heimspiele!E26</f>
        <v>0</v>
      </c>
      <c r="D40" s="77">
        <f>Heimspiele!F26</f>
        <v>0</v>
      </c>
      <c r="E40" s="77">
        <f>Heimspiele!G26</f>
        <v>0</v>
      </c>
      <c r="F40" s="77" t="s">
        <v>21</v>
      </c>
      <c r="G40" s="77" t="str">
        <f t="shared" si="5"/>
        <v>29x22</v>
      </c>
      <c r="H40" s="77" t="str">
        <f t="shared" si="3"/>
        <v>4 Minitore</v>
      </c>
      <c r="I40" s="77" t="str">
        <f t="shared" si="4"/>
        <v>3</v>
      </c>
      <c r="J40" s="77" t="str">
        <f>IF(A40="KM Neufeld","Pleninger Stefan",IF(A40="U16 LL","Josch Kögl",IF(A40="U15 LL Nord","Serdar Ekinci",IF(A40="U14 Nord","Gernot Servelda",IF(A40="U13 Nord","Thomas Pöschl &amp; Lenz Honc",IF(A40="U11 Nord D","Mario Magler&amp;Ronny Archam",IF(A40="U9","Thomas Brandl&amp;Daniel Hofbauer",IF(A40="U8","Berger Tobias&amp;Sebastian Putric",IF(A40="U7","Türkes Ömer&amp;Mahsumi Taha",IF(A40="Camp","Berger Dieter",IF(A40="Turnier","Berger Dieter","FEHLER")))))))))))</f>
        <v>Berger Tobias&amp;Sebastian Putric</v>
      </c>
      <c r="K40" s="77" t="str">
        <f>IF(A40="KM Neufeld","+43 664 415 99 09",IF(A40="U16 LL","+43 650 262 82 63",IF(A40="U15 LL Nord","+43 650 701 02 44",IF(A40="U14 Nord","+43 676 401 09 13",IF(A40="U13 Nord","+43 677 613 55 114 &amp; +43 664 114 43 52",IF(A40="U11 Nord D","+43 664 762 09 93 &amp; +43 699 111 93 828",IF(A40="U9","+43 676 377 16 30 &amp;  +43 399 197 871 81",IF(A40="U8","+43 660 199 13 52 &amp;  +43 660 914 92 36",IF(A40="U7","+43 676 661 62 26 &amp;  +43 681 208 115 99",IF(A40="Camp","+43 660 77 39 500",IF(A40="Turnier","+43 660 77 39 500","FEHLER")))))))))))</f>
        <v>+43 660 199 13 52 &amp;  +43 660 914 92 36</v>
      </c>
    </row>
    <row r="41" spans="1:11" ht="15.6" x14ac:dyDescent="0.3">
      <c r="A41" s="77" t="str">
        <f>Heimspiele!C29</f>
        <v>U7</v>
      </c>
      <c r="B41" s="78">
        <f>Heimspiele!D29</f>
        <v>46093</v>
      </c>
      <c r="C41" s="79">
        <f>Heimspiele!E29</f>
        <v>0</v>
      </c>
      <c r="D41" s="77">
        <f>Heimspiele!F29</f>
        <v>0</v>
      </c>
      <c r="E41" s="77">
        <f>Heimspiele!G29</f>
        <v>0</v>
      </c>
      <c r="F41" s="77" t="s">
        <v>72</v>
      </c>
      <c r="G41" s="77" t="str">
        <f t="shared" si="5"/>
        <v>25x20</v>
      </c>
      <c r="H41" s="77" t="str">
        <f t="shared" si="3"/>
        <v>4 Minitore</v>
      </c>
      <c r="I41" s="77" t="str">
        <f t="shared" si="4"/>
        <v>3</v>
      </c>
      <c r="J41" s="77" t="str">
        <f>IF(A41="KM Neufeld","Pleninger Stefan",IF(A41="U16 LL","Josch Kögl",IF(A41="U15 LL Nord","Serdar Ekinci",IF(A41="U14 Nord","Gernot Servelda",IF(A41="U13 Nord","Thomas Pöschl &amp; Lenz Honc",IF(A41="U11 Nord D","Mario Magler&amp;Ronny Archam",IF(A41="U9","Thomas Brandl&amp;Daniel Hofbauer",IF(A41="U8","Berger Tobias&amp;Sebastian Putric",IF(A41="U7","Türkes Ömer&amp;Mahsumi Taha",IF(A41="Camp","Berger Dieter",IF(A41="Turnier","Berger Dieter","FEHLER")))))))))))</f>
        <v>Türkes Ömer&amp;Mahsumi Taha</v>
      </c>
      <c r="K41" s="77" t="str">
        <f>IF(A41="KM Neufeld","+43 664 415 99 09",IF(A41="U16 LL","+43 650 262 82 63",IF(A41="U15 LL Nord","+43 650 701 02 44",IF(A41="U14 Nord","+43 676 401 09 13",IF(A41="U13 Nord","+43 677 613 55 114 &amp; +43 664 114 43 52",IF(A41="U11 Nord D","+43 664 762 09 93 &amp; +43 699 111 93 828",IF(A41="U9","+43 676 377 16 30 &amp;  +43 399 197 871 81",IF(A41="U8","+43 660 199 13 52 &amp;  +43 660 914 92 36",IF(A41="U7","+43 676 661 62 26 &amp;  +43 681 208 115 99",IF(A41="Camp","+43 660 77 39 500",IF(A41="Turnier","+43 660 77 39 500","FEHLER")))))))))))</f>
        <v>+43 676 661 62 26 &amp;  +43 681 208 115 99</v>
      </c>
    </row>
    <row r="42" spans="1:11" hidden="1" x14ac:dyDescent="0.3">
      <c r="A42" t="str">
        <f>Heimspiele!C43</f>
        <v>U14</v>
      </c>
      <c r="B42" s="69">
        <f>Heimspiele!D43</f>
        <v>46042</v>
      </c>
      <c r="C42" s="69"/>
      <c r="D42">
        <f>Heimspiele!F43</f>
        <v>0</v>
      </c>
      <c r="E42">
        <f>Heimspiele!G43</f>
        <v>0</v>
      </c>
      <c r="F42" t="s">
        <v>18</v>
      </c>
      <c r="G42" t="str">
        <f t="shared" si="5"/>
        <v>Großfeld</v>
      </c>
      <c r="H42" t="str">
        <f t="shared" si="3"/>
        <v>7,32x2,44</v>
      </c>
      <c r="I42" t="str">
        <f t="shared" si="4"/>
        <v>5</v>
      </c>
      <c r="J42" t="str">
        <f>IF(A42="KM Neufeld","Pleninger Stefan",IF(A42="U16 LL","Josch Kögl",IF(A42="U15 LL Nord","Serdar Ekinci",IF(A42="U14 Nord","Gernot Servelda",IF(A42="U13 - Nord","Thomas Pöschl &amp; Lenz Honc",IF(A42="U11 Nord D","Mario Magler&amp;Ronny Archam",IF(A42="U9","Thomas Brandl&amp;Daniel Hofbauer",IF(A42="U8","Berger Tobias&amp;Sebastian Putric",IF(A42="U7","Türkes Ömer&amp;Mahsumi Taha",IF(A42="Camp","Berger Dieter",IF(A42="Turnier","Berger Dieter","FEHLER")))))))))))</f>
        <v>FEHLER</v>
      </c>
      <c r="K42" t="str">
        <f>IF(A42="KM Neufeld","+43 664 415 99 09",IF(A42="U16 LL","+43 650 262 82 63",IF(A42="U15 LL Nord","+43 650 701 02 44",IF(A42="U14 - Nord","+43 676 401 09 13",IF(A42="U13 - Nord","+43 677 613 55 114 &amp; +43 664 114 43 52",IF(A42="U11 Nord D","+43 664 762 09 93 &amp; +43 699 111 93 828",IF(A42="U9","+43 676 377 16 30 &amp;  +43 399 197 871 81",IF(A42="U8","+43 660 199 13 52 &amp;  +43 660 914 92 36",IF(A42="U7","+43 676 661 62 26 &amp;  +43 681 208 115 99",IF(A42="Camp","+43 660 77 39 500",IF(A42="Turnier","+43 660 77 39 500","FEHLER")))))))))))</f>
        <v>FEHLER</v>
      </c>
    </row>
    <row r="43" spans="1:11" ht="15.6" x14ac:dyDescent="0.3">
      <c r="A43" s="77" t="str">
        <f>Heimspiele!C35</f>
        <v>U11</v>
      </c>
      <c r="B43" s="78">
        <f>Heimspiele!D35</f>
        <v>46064</v>
      </c>
      <c r="C43" s="79">
        <f>Heimspiele!E35</f>
        <v>0</v>
      </c>
      <c r="D43" s="77">
        <f>Heimspiele!F35</f>
        <v>0</v>
      </c>
      <c r="E43" s="77">
        <f>Heimspiele!G35</f>
        <v>0</v>
      </c>
      <c r="F43" s="77" t="s">
        <v>19</v>
      </c>
      <c r="G43" s="77" t="str">
        <f t="shared" si="5"/>
        <v>55x40</v>
      </c>
      <c r="H43" s="77" t="str">
        <f t="shared" si="3"/>
        <v>5x2</v>
      </c>
      <c r="I43" s="77" t="str">
        <f t="shared" si="4"/>
        <v>4</v>
      </c>
      <c r="J43" s="77" t="str">
        <f>IF(A43="KM Neufeld","Pleninger Stefan",IF(A43="U16 LL","Josch Kögl",IF(A43="U15 LL Nord","Serdar Ekinci",IF(A43="U14 Nord","Gernot Servelda",IF(A43="U13 Nord","Thomas Pöschl &amp; Lenz Honc",IF(A43="U11 Nord D","Mario Magler&amp;Ronny Archam",IF(A43="U9","Thomas Brandl&amp;Daniel Hofbauer",IF(A43="U8","Berger Tobias&amp;Sebastian Putric",IF(A43="U7","Türkes Ömer&amp;Mahsumi Taha",IF(A43="Camp","Berger Dieter",IF(A43="Turnier","Berger Dieter","FEHLER")))))))))))</f>
        <v>FEHLER</v>
      </c>
      <c r="K43" s="77" t="str">
        <f>IF(A43="KM Neufeld","+43 664 415 99 09",IF(A43="U16 LL","+43 650 262 82 63",IF(A43="U15 LL Nord","+43 650 701 02 44",IF(A43="U14 Nord","+43 676 401 09 13",IF(A43="U13 Nord","+43 677 613 55 114 &amp; +43 664 114 43 52",IF(A43="U11 Nord D","+43 664 762 09 93 &amp; +43 699 111 93 828",IF(A43="U9","+43 676 377 16 30 &amp;  +43 399 197 871 81",IF(A43="U8","+43 660 199 13 52 &amp;  +43 660 914 92 36",IF(A43="U7","+43 676 661 62 26 &amp;  +43 681 208 115 99",IF(A43="Camp","+43 660 77 39 500",IF(A43="Turnier","+43 660 77 39 500","FEHLER")))))))))))</f>
        <v>FEHLER</v>
      </c>
    </row>
    <row r="44" spans="1:11" ht="15.6" x14ac:dyDescent="0.3">
      <c r="A44" s="77" t="e">
        <f>Heimspiele!C38</f>
        <v>#REF!</v>
      </c>
      <c r="B44" s="78" t="e">
        <f>Heimspiele!D38</f>
        <v>#REF!</v>
      </c>
      <c r="C44" s="79" t="e">
        <f>Heimspiele!E38</f>
        <v>#REF!</v>
      </c>
      <c r="D44" s="77" t="e">
        <f>Heimspiele!F38</f>
        <v>#REF!</v>
      </c>
      <c r="E44" s="77" t="e">
        <f>Heimspiele!G38</f>
        <v>#REF!</v>
      </c>
      <c r="F44" s="77" t="s">
        <v>26</v>
      </c>
      <c r="G44" s="77" t="str">
        <f t="shared" si="5"/>
        <v>Großfeld</v>
      </c>
      <c r="H44" s="77" t="str">
        <f t="shared" si="3"/>
        <v>7,32x2,44</v>
      </c>
      <c r="I44" s="77" t="str">
        <f t="shared" si="4"/>
        <v>5</v>
      </c>
      <c r="J44" s="77" t="e">
        <f>IF(A44="KM Neufeld","Pleninger Stefan",IF(A44="U16 LL","Josch Kögl",IF(A44="U15 LL Nord","Serdar Ekinci",IF(A44="U14 Nord","Gernot Servelda",IF(A44="U13 Nord","Thomas Pöschl &amp; Lenz Honc",IF(A44="U11 Nord D","Mario Magler&amp;Ronny Archam",IF(A44="U9","Thomas Brandl&amp;Daniel Hofbauer",IF(A44="U8","Berger Tobias&amp;Sebastian Putric",IF(A44="U7","Türkes Ömer&amp;Mahsumi Taha",IF(A44="Camp","Berger Dieter",IF(A44="Turnier","Berger Dieter","FEHLER")))))))))))</f>
        <v>#REF!</v>
      </c>
      <c r="K44" s="77" t="e">
        <f>IF(A44="KM Neufeld","+43 664 415 99 09",IF(A44="U16 LL","+43 650 262 82 63",IF(A44="U15 LL Nord","+43 650 701 02 44",IF(A44="U14 Nord","+43 676 401 09 13",IF(A44="U13 Nord","+43 677 613 55 114 &amp; +43 664 114 43 52",IF(A44="U11 Nord D","+43 664 762 09 93 &amp; +43 699 111 93 828",IF(A44="U9","+43 676 377 16 30 &amp;  +43 399 197 871 81",IF(A44="U8","+43 660 199 13 52 &amp;  +43 660 914 92 36",IF(A44="U7","+43 676 661 62 26 &amp;  +43 681 208 115 99",IF(A44="Camp","+43 660 77 39 500",IF(A44="Turnier","+43 660 77 39 500","FEHLER")))))))))))</f>
        <v>#REF!</v>
      </c>
    </row>
    <row r="45" spans="1:11" hidden="1" x14ac:dyDescent="0.3">
      <c r="A45" t="e">
        <f>Heimspiele!C46</f>
        <v>#REF!</v>
      </c>
      <c r="B45" s="69" t="e">
        <f>Heimspiele!D46</f>
        <v>#REF!</v>
      </c>
      <c r="C45" s="69"/>
      <c r="D45" t="e">
        <f>Heimspiele!F46</f>
        <v>#REF!</v>
      </c>
      <c r="E45" t="e">
        <f>Heimspiele!G46</f>
        <v>#REF!</v>
      </c>
      <c r="F45" t="s">
        <v>18</v>
      </c>
      <c r="G45" t="str">
        <f t="shared" si="5"/>
        <v>Großfeld</v>
      </c>
      <c r="H45" t="str">
        <f t="shared" si="3"/>
        <v>7,32x2,44</v>
      </c>
      <c r="I45" t="str">
        <f t="shared" si="4"/>
        <v>5</v>
      </c>
      <c r="J45" t="e">
        <f>IF(A45="KM Neufeld","Pleninger Stefan",IF(A45="U16 LL","Josch Kögl",IF(A45="U15 LL Nord","Serdar Ekinci",IF(A45="U14 Nord","Gernot Servelda",IF(A45="U13 - Nord","Thomas Pöschl &amp; Lenz Honc",IF(A45="U11 Nord D","Mario Magler&amp;Ronny Archam",IF(A45="U9","Thomas Brandl&amp;Daniel Hofbauer",IF(A45="U8","Berger Tobias&amp;Sebastian Putric",IF(A45="U7","Türkes Ömer&amp;Mahsumi Taha",IF(A45="Camp","Berger Dieter",IF(A45="Turnier","Berger Dieter","FEHLER")))))))))))</f>
        <v>#REF!</v>
      </c>
      <c r="K45" t="e">
        <f>IF(A45="KM Neufeld","+43 664 415 99 09",IF(A45="U16 LL","+43 650 262 82 63",IF(A45="U15 LL Nord","+43 650 701 02 44",IF(A45="U14 - Nord","+43 676 401 09 13",IF(A45="U13 - Nord","+43 677 613 55 114 &amp; +43 664 114 43 52",IF(A45="U11 Nord D","+43 664 762 09 93 &amp; +43 699 111 93 828",IF(A45="U9","+43 676 377 16 30 &amp;  +43 399 197 871 81",IF(A45="U8","+43 660 199 13 52 &amp;  +43 660 914 92 36",IF(A45="U7","+43 676 661 62 26 &amp;  +43 681 208 115 99",IF(A45="Camp","+43 660 77 39 500",IF(A45="Turnier","+43 660 77 39 500","FEHLER")))))))))))</f>
        <v>#REF!</v>
      </c>
    </row>
    <row r="46" spans="1:11" hidden="1" x14ac:dyDescent="0.3">
      <c r="A46" t="str">
        <f>Heimspiele!C47</f>
        <v>U12_1</v>
      </c>
      <c r="B46" s="69">
        <f>Heimspiele!D47</f>
        <v>46044</v>
      </c>
      <c r="C46" s="69"/>
      <c r="D46">
        <f>Heimspiele!F47</f>
        <v>0</v>
      </c>
      <c r="E46">
        <f>Heimspiele!G47</f>
        <v>0</v>
      </c>
      <c r="F46" t="s">
        <v>18</v>
      </c>
      <c r="G46" t="str">
        <f t="shared" si="5"/>
        <v>Großfeld</v>
      </c>
      <c r="H46" t="str">
        <f t="shared" si="3"/>
        <v>7,32x2,44</v>
      </c>
      <c r="I46" t="str">
        <f t="shared" si="4"/>
        <v>5</v>
      </c>
      <c r="J46" t="str">
        <f>IF(A46="KM Neufeld","Pleninger Stefan",IF(A46="U16 LL","Josch Kögl",IF(A46="U15 LL Nord","Serdar Ekinci",IF(A46="U14 Nord","Gernot Servelda",IF(A46="U13 - Nord","Thomas Pöschl &amp; Lenz Honc",IF(A46="U11 Nord D","Mario Magler&amp;Ronny Archam",IF(A46="U9","Thomas Brandl&amp;Daniel Hofbauer",IF(A46="U8","Berger Tobias&amp;Sebastian Putric",IF(A46="U7","Türkes Ömer&amp;Mahsumi Taha",IF(A46="Camp","Berger Dieter",IF(A46="Turnier","Berger Dieter","FEHLER")))))))))))</f>
        <v>FEHLER</v>
      </c>
      <c r="K46" t="str">
        <f>IF(A46="KM Neufeld","+43 664 415 99 09",IF(A46="U16 LL","+43 650 262 82 63",IF(A46="U15 LL Nord","+43 650 701 02 44",IF(A46="U14 - Nord","+43 676 401 09 13",IF(A46="U13 - Nord","+43 677 613 55 114 &amp; +43 664 114 43 52",IF(A46="U11 Nord D","+43 664 762 09 93 &amp; +43 699 111 93 828",IF(A46="U9","+43 676 377 16 30 &amp;  +43 399 197 871 81",IF(A46="U8","+43 660 199 13 52 &amp;  +43 660 914 92 36",IF(A46="U7","+43 676 661 62 26 &amp;  +43 681 208 115 99",IF(A46="Camp","+43 660 77 39 500",IF(A46="Turnier","+43 660 77 39 500","FEHLER")))))))))))</f>
        <v>FEHLER</v>
      </c>
    </row>
    <row r="47" spans="1:11" ht="15.6" x14ac:dyDescent="0.3">
      <c r="A47" s="77" t="str">
        <f>Heimspiele!C41</f>
        <v>KM</v>
      </c>
      <c r="B47" s="78">
        <f>Heimspiele!D41</f>
        <v>46284</v>
      </c>
      <c r="C47" s="79">
        <f>Heimspiele!E41</f>
        <v>0.66666666666666663</v>
      </c>
      <c r="D47" s="77" t="str">
        <f>Heimspiele!F41</f>
        <v>Gattendorf</v>
      </c>
      <c r="E47" s="77" t="str">
        <f>Heimspiele!G41</f>
        <v>Gattendorf</v>
      </c>
      <c r="F47" s="77" t="s">
        <v>18</v>
      </c>
      <c r="G47" s="77" t="str">
        <f t="shared" si="5"/>
        <v>Großfeld</v>
      </c>
      <c r="H47" s="77" t="str">
        <f t="shared" si="3"/>
        <v>7,32x2,44</v>
      </c>
      <c r="I47" s="77" t="str">
        <f t="shared" si="4"/>
        <v>5</v>
      </c>
      <c r="J47" s="77" t="str">
        <f>IF(A47="KM Neufeld","Pleninger Stefan",IF(A47="U16 LL","Josch Kögl",IF(A47="U15 LL Nord","Serdar Ekinci",IF(A47="U14 Nord","Gernot Servelda",IF(A47="U13 Nord","Thomas Pöschl &amp; Lenz Honc",IF(A47="U11 Nord D","Mario Magler&amp;Ronny Archam",IF(A47="U9","Thomas Brandl&amp;Daniel Hofbauer",IF(A47="U8","Berger Tobias&amp;Sebastian Putric",IF(A47="U7","Türkes Ömer&amp;Mahsumi Taha",IF(A47="Camp","Berger Dieter",IF(A47="Turnier","Berger Dieter","FEHLER")))))))))))</f>
        <v>FEHLER</v>
      </c>
      <c r="K47" s="77" t="str">
        <f>IF(A47="KM Neufeld","+43 664 415 99 09",IF(A47="U16 LL","+43 650 262 82 63",IF(A47="U15 LL Nord","+43 650 701 02 44",IF(A47="U14 Nord","+43 676 401 09 13",IF(A47="U13 Nord","+43 677 613 55 114 &amp; +43 664 114 43 52",IF(A47="U11 Nord D","+43 664 762 09 93 &amp; +43 699 111 93 828",IF(A47="U9","+43 676 377 16 30 &amp;  +43 399 197 871 81",IF(A47="U8","+43 660 199 13 52 &amp;  +43 660 914 92 36",IF(A47="U7","+43 676 661 62 26 &amp;  +43 681 208 115 99",IF(A47="Camp","+43 660 77 39 500",IF(A47="Turnier","+43 660 77 39 500","FEHLER")))))))))))</f>
        <v>FEHLER</v>
      </c>
    </row>
    <row r="48" spans="1:11" hidden="1" x14ac:dyDescent="0.3">
      <c r="A48" t="str">
        <f>Heimspiele!C49</f>
        <v>U12_1</v>
      </c>
      <c r="B48" s="69">
        <f>Heimspiele!D49</f>
        <v>46046</v>
      </c>
      <c r="C48" s="69"/>
      <c r="D48">
        <f>Heimspiele!F49</f>
        <v>0</v>
      </c>
      <c r="E48">
        <f>Heimspiele!G49</f>
        <v>0</v>
      </c>
      <c r="F48" t="s">
        <v>18</v>
      </c>
      <c r="G48" t="str">
        <f t="shared" si="5"/>
        <v>Großfeld</v>
      </c>
      <c r="H48" t="str">
        <f t="shared" si="3"/>
        <v>7,32x2,44</v>
      </c>
      <c r="I48" t="str">
        <f t="shared" si="4"/>
        <v>5</v>
      </c>
      <c r="J48" t="str">
        <f>IF(A48="KM Neufeld","Pleninger Stefan",IF(A48="U16 LL","Josch Kögl",IF(A48="U15 LL Nord","Serdar Ekinci",IF(A48="U14 Nord","Gernot Servelda",IF(A48="U13 - Nord","Thomas Pöschl &amp; Lenz Honc",IF(A48="U11 Nord D","Mario Magler&amp;Ronny Archam",IF(A48="U9","Thomas Brandl&amp;Daniel Hofbauer",IF(A48="U8","Berger Tobias&amp;Sebastian Putric",IF(A48="U7","Türkes Ömer&amp;Mahsumi Taha",IF(A48="Camp","Berger Dieter",IF(A48="Turnier","Berger Dieter","FEHLER")))))))))))</f>
        <v>FEHLER</v>
      </c>
      <c r="K48" t="str">
        <f>IF(A48="KM Neufeld","+43 664 415 99 09",IF(A48="U16 LL","+43 650 262 82 63",IF(A48="U15 LL Nord","+43 650 701 02 44",IF(A48="U14 - Nord","+43 676 401 09 13",IF(A48="U13 - Nord","+43 677 613 55 114 &amp; +43 664 114 43 52",IF(A48="U11 Nord D","+43 664 762 09 93 &amp; +43 699 111 93 828",IF(A48="U9","+43 676 377 16 30 &amp;  +43 399 197 871 81",IF(A48="U8","+43 660 199 13 52 &amp;  +43 660 914 92 36",IF(A48="U7","+43 676 661 62 26 &amp;  +43 681 208 115 99",IF(A48="Camp","+43 660 77 39 500",IF(A48="Turnier","+43 660 77 39 500","FEHLER")))))))))))</f>
        <v>FEHLER</v>
      </c>
    </row>
    <row r="49" spans="1:11" hidden="1" x14ac:dyDescent="0.3">
      <c r="A49" t="str">
        <f>Heimspiele!C50</f>
        <v>U12_1</v>
      </c>
      <c r="B49" s="69">
        <f>Heimspiele!D50</f>
        <v>46047</v>
      </c>
      <c r="C49" s="69"/>
      <c r="D49">
        <f>Heimspiele!F50</f>
        <v>0</v>
      </c>
      <c r="E49">
        <f>Heimspiele!G50</f>
        <v>0</v>
      </c>
      <c r="F49" t="s">
        <v>18</v>
      </c>
      <c r="G49" t="str">
        <f t="shared" si="5"/>
        <v>Großfeld</v>
      </c>
      <c r="H49" t="str">
        <f t="shared" si="3"/>
        <v>7,32x2,44</v>
      </c>
      <c r="I49" t="str">
        <f t="shared" si="4"/>
        <v>5</v>
      </c>
      <c r="J49" t="str">
        <f>IF(A49="KM Neufeld","Pleninger Stefan",IF(A49="U16 LL","Josch Kögl",IF(A49="U15 LL Nord","Serdar Ekinci",IF(A49="U14 Nord","Gernot Servelda",IF(A49="U13 - Nord","Thomas Pöschl &amp; Lenz Honc",IF(A49="U11 Nord D","Mario Magler&amp;Ronny Archam",IF(A49="U9","Thomas Brandl&amp;Daniel Hofbauer",IF(A49="U8","Berger Tobias&amp;Sebastian Putric",IF(A49="U7","Türkes Ömer&amp;Mahsumi Taha",IF(A49="Camp","Berger Dieter",IF(A49="Turnier","Berger Dieter","FEHLER")))))))))))</f>
        <v>FEHLER</v>
      </c>
      <c r="K49" t="str">
        <f>IF(A49="KM Neufeld","+43 664 415 99 09",IF(A49="U16 LL","+43 650 262 82 63",IF(A49="U15 LL Nord","+43 650 701 02 44",IF(A49="U14 - Nord","+43 676 401 09 13",IF(A49="U13 - Nord","+43 677 613 55 114 &amp; +43 664 114 43 52",IF(A49="U11 Nord D","+43 664 762 09 93 &amp; +43 699 111 93 828",IF(A49="U9","+43 676 377 16 30 &amp;  +43 399 197 871 81",IF(A49="U8","+43 660 199 13 52 &amp;  +43 660 914 92 36",IF(A49="U7","+43 676 661 62 26 &amp;  +43 681 208 115 99",IF(A49="Camp","+43 660 77 39 500",IF(A49="Turnier","+43 660 77 39 500","FEHLER")))))))))))</f>
        <v>FEHLER</v>
      </c>
    </row>
    <row r="50" spans="1:11" hidden="1" x14ac:dyDescent="0.3">
      <c r="A50" t="e">
        <f>Heimspiele!C51</f>
        <v>#REF!</v>
      </c>
      <c r="B50" s="69" t="e">
        <f>Heimspiele!D51</f>
        <v>#REF!</v>
      </c>
      <c r="C50" s="69"/>
      <c r="D50" t="e">
        <f>Heimspiele!F51</f>
        <v>#REF!</v>
      </c>
      <c r="E50" t="e">
        <f>Heimspiele!G51</f>
        <v>#REF!</v>
      </c>
      <c r="F50" t="s">
        <v>18</v>
      </c>
      <c r="G50" t="str">
        <f t="shared" si="5"/>
        <v>Großfeld</v>
      </c>
      <c r="H50" t="str">
        <f t="shared" si="3"/>
        <v>7,32x2,44</v>
      </c>
      <c r="I50" t="str">
        <f t="shared" si="4"/>
        <v>5</v>
      </c>
      <c r="J50" t="e">
        <f>IF(A50="KM Neufeld","Pleninger Stefan",IF(A50="U16 LL","Josch Kögl",IF(A50="U15 LL Nord","Serdar Ekinci",IF(A50="U14 Nord","Gernot Servelda",IF(A50="U13 - Nord","Thomas Pöschl &amp; Lenz Honc",IF(A50="U11 Nord D","Mario Magler&amp;Ronny Archam",IF(A50="U9","Thomas Brandl&amp;Daniel Hofbauer",IF(A50="U8","Berger Tobias&amp;Sebastian Putric",IF(A50="U7","Türkes Ömer&amp;Mahsumi Taha",IF(A50="Camp","Berger Dieter",IF(A50="Turnier","Berger Dieter","FEHLER")))))))))))</f>
        <v>#REF!</v>
      </c>
      <c r="K50" t="e">
        <f>IF(A50="KM Neufeld","+43 664 415 99 09",IF(A50="U16 LL","+43 650 262 82 63",IF(A50="U15 LL Nord","+43 650 701 02 44",IF(A50="U14 - Nord","+43 676 401 09 13",IF(A50="U13 - Nord","+43 677 613 55 114 &amp; +43 664 114 43 52",IF(A50="U11 Nord D","+43 664 762 09 93 &amp; +43 699 111 93 828",IF(A50="U9","+43 676 377 16 30 &amp;  +43 399 197 871 81",IF(A50="U8","+43 660 199 13 52 &amp;  +43 660 914 92 36",IF(A50="U7","+43 676 661 62 26 &amp;  +43 681 208 115 99",IF(A50="Camp","+43 660 77 39 500",IF(A50="Turnier","+43 660 77 39 500","FEHLER")))))))))))</f>
        <v>#REF!</v>
      </c>
    </row>
    <row r="51" spans="1:11" ht="15.6" x14ac:dyDescent="0.3">
      <c r="A51" s="77" t="str">
        <f>Heimspiele!C42</f>
        <v>U11</v>
      </c>
      <c r="B51" s="78">
        <f>Heimspiele!D42</f>
        <v>46068</v>
      </c>
      <c r="C51" s="79">
        <f>Heimspiele!E42</f>
        <v>0</v>
      </c>
      <c r="D51" s="77">
        <f>Heimspiele!F42</f>
        <v>0</v>
      </c>
      <c r="E51" s="77">
        <f>Heimspiele!G42</f>
        <v>0</v>
      </c>
      <c r="F51" s="77" t="s">
        <v>19</v>
      </c>
      <c r="G51" s="77" t="str">
        <f t="shared" si="5"/>
        <v>55x40</v>
      </c>
      <c r="H51" s="77" t="str">
        <f t="shared" si="3"/>
        <v>5x2</v>
      </c>
      <c r="I51" s="77" t="str">
        <f t="shared" si="4"/>
        <v>4</v>
      </c>
      <c r="J51" s="77" t="str">
        <f>IF(A51="KM Neufeld","Pleninger Stefan",IF(A51="U16 LL","Josch Kögl",IF(A51="U15 LL Nord","Serdar Ekinci",IF(A51="U14 Nord","Gernot Servelda",IF(A51="U13 Nord","Thomas Pöschl &amp; Lenz Honc",IF(A51="U11 Nord D","Mario Magler&amp;Ronny Archam",IF(A51="U9","Thomas Brandl&amp;Daniel Hofbauer",IF(A51="U8","Berger Tobias&amp;Sebastian Putric",IF(A51="U7","Türkes Ömer&amp;Mahsumi Taha",IF(A51="Camp","Berger Dieter",IF(A51="Turnier","Berger Dieter","FEHLER")))))))))))</f>
        <v>FEHLER</v>
      </c>
      <c r="K51" s="77" t="str">
        <f>IF(A51="KM Neufeld","+43 664 415 99 09",IF(A51="U16 LL","+43 650 262 82 63",IF(A51="U15 LL Nord","+43 650 701 02 44",IF(A51="U14 Nord","+43 676 401 09 13",IF(A51="U13 Nord","+43 677 613 55 114 &amp; +43 664 114 43 52",IF(A51="U11 Nord D","+43 664 762 09 93 &amp; +43 699 111 93 828",IF(A51="U9","+43 676 377 16 30 &amp;  +43 399 197 871 81",IF(A51="U8","+43 660 199 13 52 &amp;  +43 660 914 92 36",IF(A51="U7","+43 676 661 62 26 &amp;  +43 681 208 115 99",IF(A51="Camp","+43 660 77 39 500",IF(A51="Turnier","+43 660 77 39 500","FEHLER")))))))))))</f>
        <v>FEHLER</v>
      </c>
    </row>
    <row r="52" spans="1:11" hidden="1" x14ac:dyDescent="0.3">
      <c r="A52" t="str">
        <f>Heimspiele!C53</f>
        <v>U12_1</v>
      </c>
      <c r="B52" s="69">
        <f>Heimspiele!D53</f>
        <v>46049</v>
      </c>
      <c r="C52" s="69"/>
      <c r="D52">
        <f>Heimspiele!F53</f>
        <v>0</v>
      </c>
      <c r="E52">
        <f>Heimspiele!G53</f>
        <v>0</v>
      </c>
      <c r="F52" t="s">
        <v>18</v>
      </c>
      <c r="G52" t="str">
        <f t="shared" si="5"/>
        <v>Großfeld</v>
      </c>
      <c r="H52" t="str">
        <f t="shared" si="3"/>
        <v>7,32x2,44</v>
      </c>
      <c r="I52" t="str">
        <f t="shared" si="4"/>
        <v>5</v>
      </c>
      <c r="J52" t="str">
        <f>IF(A52="KM Neufeld","Pleninger Stefan",IF(A52="U16 LL","Josch Kögl",IF(A52="U15 LL Nord","Serdar Ekinci",IF(A52="U14 Nord","Gernot Servelda",IF(A52="U13 - Nord","Thomas Pöschl &amp; Lenz Honc",IF(A52="U11 Nord D","Mario Magler&amp;Ronny Archam",IF(A52="U9","Thomas Brandl&amp;Daniel Hofbauer",IF(A52="U8","Berger Tobias&amp;Sebastian Putric",IF(A52="U7","Türkes Ömer&amp;Mahsumi Taha",IF(A52="Camp","Berger Dieter",IF(A52="Turnier","Berger Dieter","FEHLER")))))))))))</f>
        <v>FEHLER</v>
      </c>
      <c r="K52" t="str">
        <f>IF(A52="KM Neufeld","+43 664 415 99 09",IF(A52="U16 LL","+43 650 262 82 63",IF(A52="U15 LL Nord","+43 650 701 02 44",IF(A52="U14 - Nord","+43 676 401 09 13",IF(A52="U13 - Nord","+43 677 613 55 114 &amp; +43 664 114 43 52",IF(A52="U11 Nord D","+43 664 762 09 93 &amp; +43 699 111 93 828",IF(A52="U9","+43 676 377 16 30 &amp;  +43 399 197 871 81",IF(A52="U8","+43 660 199 13 52 &amp;  +43 660 914 92 36",IF(A52="U7","+43 676 661 62 26 &amp;  +43 681 208 115 99",IF(A52="Camp","+43 660 77 39 500",IF(A52="Turnier","+43 660 77 39 500","FEHLER")))))))))))</f>
        <v>FEHLER</v>
      </c>
    </row>
    <row r="53" spans="1:11" ht="15.6" x14ac:dyDescent="0.3">
      <c r="A53" s="77" t="str">
        <f>Heimspiele!C45</f>
        <v>U14</v>
      </c>
      <c r="B53" s="78">
        <f>Heimspiele!D45</f>
        <v>46036</v>
      </c>
      <c r="C53" s="79">
        <f>Heimspiele!E45</f>
        <v>0</v>
      </c>
      <c r="D53" s="77">
        <f>Heimspiele!F45</f>
        <v>0</v>
      </c>
      <c r="E53" s="77">
        <f>Heimspiele!G45</f>
        <v>0</v>
      </c>
      <c r="F53" s="77" t="s">
        <v>27</v>
      </c>
      <c r="G53" s="77" t="str">
        <f t="shared" si="5"/>
        <v>Großfeld</v>
      </c>
      <c r="H53" s="77" t="str">
        <f t="shared" si="3"/>
        <v>7,32x2,44</v>
      </c>
      <c r="I53" s="77" t="str">
        <f t="shared" si="4"/>
        <v>4</v>
      </c>
      <c r="J53" s="77" t="str">
        <f>IF(A53="KM Neufeld","Pleninger Stefan",IF(A53="U16 LL","Josch Kögl",IF(A53="U15 LL Nord","Serdar Ekinci",IF(A53="U14 Nord","Gernot Servelda",IF(A53="U13 Nord","Thomas Pöschl &amp; Lenz Honc",IF(A53="U11 Nord D","Mario Magler&amp;Ronny Archam",IF(A53="U9","Thomas Brandl&amp;Daniel Hofbauer",IF(A53="U8","Berger Tobias&amp;Sebastian Putric",IF(A53="U7","Türkes Ömer&amp;Mahsumi Taha",IF(A53="Camp","Berger Dieter",IF(A53="Turnier","Berger Dieter","FEHLER")))))))))))</f>
        <v>FEHLER</v>
      </c>
      <c r="K53" s="77" t="str">
        <f>IF(A53="KM Neufeld","+43 664 415 99 09",IF(A53="U16 LL","+43 650 262 82 63",IF(A53="U15 LL Nord","+43 650 701 02 44",IF(A53="U14 Nord","+43 676 401 09 13",IF(A53="U13 Nord","+43 677 613 55 114 &amp; +43 664 114 43 52",IF(A53="U11 Nord D","+43 664 762 09 93 &amp; +43 699 111 93 828",IF(A53="U9","+43 676 377 16 30 &amp;  +43 399 197 871 81",IF(A53="U8","+43 660 199 13 52 &amp;  +43 660 914 92 36",IF(A53="U7","+43 676 661 62 26 &amp;  +43 681 208 115 99",IF(A53="Camp","+43 660 77 39 500",IF(A53="Turnier","+43 660 77 39 500","FEHLER")))))))))))</f>
        <v>FEHLER</v>
      </c>
    </row>
    <row r="54" spans="1:11" hidden="1" x14ac:dyDescent="0.3">
      <c r="A54" t="str">
        <f>Heimspiele!C55</f>
        <v>U11</v>
      </c>
      <c r="B54" s="69">
        <f>Heimspiele!D55</f>
        <v>46063</v>
      </c>
      <c r="C54" s="69"/>
      <c r="D54">
        <f>Heimspiele!F55</f>
        <v>0</v>
      </c>
      <c r="E54">
        <f>Heimspiele!G55</f>
        <v>0</v>
      </c>
      <c r="F54" t="s">
        <v>18</v>
      </c>
      <c r="G54" t="str">
        <f t="shared" si="5"/>
        <v>Großfeld</v>
      </c>
      <c r="H54" t="str">
        <f t="shared" si="3"/>
        <v>7,32x2,44</v>
      </c>
      <c r="I54" t="str">
        <f t="shared" si="4"/>
        <v>5</v>
      </c>
      <c r="J54" t="str">
        <f>IF(A54="KM Neufeld","Pleninger Stefan",IF(A54="U16 LL","Josch Kögl",IF(A54="U15 LL Nord","Serdar Ekinci",IF(A54="U14 Nord","Gernot Servelda",IF(A54="U13 - Nord","Thomas Pöschl &amp; Lenz Honc",IF(A54="U11 Nord D","Mario Magler&amp;Ronny Archam",IF(A54="U9","Thomas Brandl&amp;Daniel Hofbauer",IF(A54="U8","Berger Tobias&amp;Sebastian Putric",IF(A54="U7","Türkes Ömer&amp;Mahsumi Taha",IF(A54="Camp","Berger Dieter",IF(A54="Turnier","Berger Dieter","FEHLER")))))))))))</f>
        <v>FEHLER</v>
      </c>
      <c r="K54" t="str">
        <f>IF(A54="KM Neufeld","+43 664 415 99 09",IF(A54="U16 LL","+43 650 262 82 63",IF(A54="U15 LL Nord","+43 650 701 02 44",IF(A54="U14 - Nord","+43 676 401 09 13",IF(A54="U13 - Nord","+43 677 613 55 114 &amp; +43 664 114 43 52",IF(A54="U11 Nord D","+43 664 762 09 93 &amp; +43 699 111 93 828",IF(A54="U9","+43 676 377 16 30 &amp;  +43 399 197 871 81",IF(A54="U8","+43 660 199 13 52 &amp;  +43 660 914 92 36",IF(A54="U7","+43 676 661 62 26 &amp;  +43 681 208 115 99",IF(A54="Camp","+43 660 77 39 500",IF(A54="Turnier","+43 660 77 39 500","FEHLER")))))))))))</f>
        <v>FEHLER</v>
      </c>
    </row>
    <row r="55" spans="1:11" ht="15.6" x14ac:dyDescent="0.3">
      <c r="A55" s="77" t="str">
        <f>Heimspiele!C44</f>
        <v>U12_1</v>
      </c>
      <c r="B55" s="78">
        <f>Heimspiele!D44</f>
        <v>46045</v>
      </c>
      <c r="C55" s="79">
        <f>Heimspiele!E44</f>
        <v>0</v>
      </c>
      <c r="D55" s="77">
        <f>Heimspiele!F44</f>
        <v>0</v>
      </c>
      <c r="E55" s="77">
        <f>Heimspiele!G44</f>
        <v>0</v>
      </c>
      <c r="F55" s="77" t="s">
        <v>14</v>
      </c>
      <c r="G55" s="77" t="str">
        <f t="shared" si="5"/>
        <v>75x55</v>
      </c>
      <c r="H55" s="77" t="str">
        <f t="shared" si="3"/>
        <v>5x2</v>
      </c>
      <c r="I55" s="77" t="str">
        <f t="shared" si="4"/>
        <v>4</v>
      </c>
      <c r="J55" s="77" t="str">
        <f>IF(A55="KM Neufeld","Pleninger Stefan",IF(A55="U16 LL","Josch Kögl",IF(A55="U15 LL Nord","Serdar Ekinci",IF(A55="U14 Nord","Gernot Servelda",IF(A55="U13 Nord","Thomas Pöschl &amp; Lenz Honc",IF(A55="U11 Nord D","Mario Magler&amp;Ronny Archam",IF(A55="U9","Thomas Brandl&amp;Daniel Hofbauer",IF(A55="U8","Berger Tobias&amp;Sebastian Putric",IF(A55="U7","Türkes Ömer&amp;Mahsumi Taha",IF(A55="Camp","Berger Dieter",IF(A55="Turnier","Berger Dieter","FEHLER")))))))))))</f>
        <v>FEHLER</v>
      </c>
      <c r="K55" s="77" t="str">
        <f>IF(A55="KM Neufeld","+43 664 415 99 09",IF(A55="U16 LL","+43 650 262 82 63",IF(A55="U15 LL Nord","+43 650 701 02 44",IF(A55="U14 Nord","+43 676 401 09 13",IF(A55="U13 Nord","+43 677 613 55 114 &amp; +43 664 114 43 52",IF(A55="U11 Nord D","+43 664 762 09 93 &amp; +43 699 111 93 828",IF(A55="U9","+43 676 377 16 30 &amp;  +43 399 197 871 81",IF(A55="U8","+43 660 199 13 52 &amp;  +43 660 914 92 36",IF(A55="U7","+43 676 661 62 26 &amp;  +43 681 208 115 99",IF(A55="Camp","+43 660 77 39 500",IF(A55="Turnier","+43 660 77 39 500","FEHLER")))))))))))</f>
        <v>FEHLER</v>
      </c>
    </row>
    <row r="56" spans="1:11" hidden="1" x14ac:dyDescent="0.3">
      <c r="A56" t="str">
        <f>Heimspiele!C57</f>
        <v>U11</v>
      </c>
      <c r="B56" s="69">
        <f>Heimspiele!D57</f>
        <v>46066</v>
      </c>
      <c r="C56" s="69"/>
      <c r="D56">
        <f>Heimspiele!F57</f>
        <v>0</v>
      </c>
      <c r="E56">
        <f>Heimspiele!G57</f>
        <v>0</v>
      </c>
      <c r="F56" t="s">
        <v>18</v>
      </c>
      <c r="G56" t="str">
        <f t="shared" si="5"/>
        <v>Großfeld</v>
      </c>
      <c r="H56" t="str">
        <f t="shared" si="3"/>
        <v>7,32x2,44</v>
      </c>
      <c r="I56" t="str">
        <f t="shared" si="4"/>
        <v>5</v>
      </c>
      <c r="J56" t="str">
        <f>IF(A56="KM Neufeld","Pleninger Stefan",IF(A56="U16 LL","Josch Kögl",IF(A56="U15 LL Nord","Serdar Ekinci",IF(A56="U14 Nord","Gernot Servelda",IF(A56="U13 - Nord","Thomas Pöschl &amp; Lenz Honc",IF(A56="U11 Nord D","Mario Magler&amp;Ronny Archam",IF(A56="U9","Thomas Brandl&amp;Daniel Hofbauer",IF(A56="U8","Berger Tobias&amp;Sebastian Putric",IF(A56="U7","Türkes Ömer&amp;Mahsumi Taha",IF(A56="Camp","Berger Dieter",IF(A56="Turnier","Berger Dieter","FEHLER")))))))))))</f>
        <v>FEHLER</v>
      </c>
      <c r="K56" t="str">
        <f>IF(A56="KM Neufeld","+43 664 415 99 09",IF(A56="U16 LL","+43 650 262 82 63",IF(A56="U15 LL Nord","+43 650 701 02 44",IF(A56="U14 - Nord","+43 676 401 09 13",IF(A56="U13 - Nord","+43 677 613 55 114 &amp; +43 664 114 43 52",IF(A56="U11 Nord D","+43 664 762 09 93 &amp; +43 699 111 93 828",IF(A56="U9","+43 676 377 16 30 &amp;  +43 399 197 871 81",IF(A56="U8","+43 660 199 13 52 &amp;  +43 660 914 92 36",IF(A56="U7","+43 676 661 62 26 &amp;  +43 681 208 115 99",IF(A56="Camp","+43 660 77 39 500",IF(A56="Turnier","+43 660 77 39 500","FEHLER")))))))))))</f>
        <v>FEHLER</v>
      </c>
    </row>
    <row r="57" spans="1:11" ht="15.6" x14ac:dyDescent="0.3">
      <c r="A57" s="77" t="str">
        <f>Heimspiele!C48</f>
        <v>U16</v>
      </c>
      <c r="B57" s="78">
        <f>Heimspiele!D48</f>
        <v>46026</v>
      </c>
      <c r="C57" s="79">
        <f>Heimspiele!E48</f>
        <v>0</v>
      </c>
      <c r="D57" s="77">
        <f>Heimspiele!F48</f>
        <v>0</v>
      </c>
      <c r="E57" s="77">
        <f>Heimspiele!G48</f>
        <v>0</v>
      </c>
      <c r="F57" s="77" t="s">
        <v>48</v>
      </c>
      <c r="G57" s="77" t="str">
        <f t="shared" si="5"/>
        <v>Großfeld</v>
      </c>
      <c r="H57" s="77" t="str">
        <f t="shared" si="3"/>
        <v>7,32x2,44</v>
      </c>
      <c r="I57" s="77" t="str">
        <f t="shared" si="4"/>
        <v>5</v>
      </c>
      <c r="J57" s="77" t="str">
        <f>IF(A57="KM Neufeld","Pleninger Stefan",IF(A57="U16 LL","Josch Kögl",IF(A57="U15 LL Nord","Serdar Ekinci",IF(A57="U14 Nord","Gernot Servelda",IF(A57="U13 Nord","Thomas Pöschl &amp; Lenz Honc",IF(A57="U11 Nord D","Mario Magler&amp;Ronny Archam",IF(A57="U9","Thomas Brandl&amp;Daniel Hofbauer",IF(A57="U8","Berger Tobias&amp;Sebastian Putric",IF(A57="U7","Türkes Ömer&amp;Mahsumi Taha",IF(A57="Camp","Berger Dieter",IF(A57="Turnier","Berger Dieter","FEHLER")))))))))))</f>
        <v>FEHLER</v>
      </c>
      <c r="K57" s="77" t="str">
        <f>IF(A57="KM Neufeld","+43 664 415 99 09",IF(A57="U16 LL","+43 650 262 82 63",IF(A57="U15 LL Nord","+43 650 701 02 44",IF(A57="U14 Nord","+43 676 401 09 13",IF(A57="U13 Nord","+43 677 613 55 114 &amp; +43 664 114 43 52",IF(A57="U11 Nord D","+43 664 762 09 93 &amp; +43 699 111 93 828",IF(A57="U9","+43 676 377 16 30 &amp;  +43 399 197 871 81",IF(A57="U8","+43 660 199 13 52 &amp;  +43 660 914 92 36",IF(A57="U7","+43 676 661 62 26 &amp;  +43 681 208 115 99",IF(A57="Camp","+43 660 77 39 500",IF(A57="Turnier","+43 660 77 39 500","FEHLER")))))))))))</f>
        <v>FEHLER</v>
      </c>
    </row>
    <row r="58" spans="1:11" hidden="1" x14ac:dyDescent="0.3">
      <c r="A58" t="e">
        <f>Heimspiele!C59</f>
        <v>#REF!</v>
      </c>
      <c r="B58" s="69" t="e">
        <f>Heimspiele!D59</f>
        <v>#REF!</v>
      </c>
      <c r="C58" s="69"/>
      <c r="D58" t="e">
        <f>Heimspiele!F59</f>
        <v>#REF!</v>
      </c>
      <c r="E58" t="e">
        <f>Heimspiele!G59</f>
        <v>#REF!</v>
      </c>
      <c r="F58" t="s">
        <v>18</v>
      </c>
      <c r="G58" t="str">
        <f t="shared" si="5"/>
        <v>Großfeld</v>
      </c>
      <c r="H58" t="str">
        <f t="shared" si="3"/>
        <v>7,32x2,44</v>
      </c>
      <c r="I58" t="str">
        <f t="shared" si="4"/>
        <v>5</v>
      </c>
      <c r="J58" t="e">
        <f>IF(A58="KM Neufeld","Pleninger Stefan",IF(A58="U16 LL","Josch Kögl",IF(A58="U15 LL Nord","Serdar Ekinci",IF(A58="U14 Nord","Gernot Servelda",IF(A58="U13 - Nord","Thomas Pöschl &amp; Lenz Honc",IF(A58="U11 Nord D","Mario Magler&amp;Ronny Archam",IF(A58="U9","Thomas Brandl&amp;Daniel Hofbauer",IF(A58="U8","Berger Tobias&amp;Sebastian Putric",IF(A58="U7","Türkes Ömer&amp;Mahsumi Taha",IF(A58="Camp","Berger Dieter",IF(A58="Turnier","Berger Dieter","FEHLER")))))))))))</f>
        <v>#REF!</v>
      </c>
      <c r="K58" t="e">
        <f>IF(A58="KM Neufeld","+43 664 415 99 09",IF(A58="U16 LL","+43 650 262 82 63",IF(A58="U15 LL Nord","+43 650 701 02 44",IF(A58="U14 - Nord","+43 676 401 09 13",IF(A58="U13 - Nord","+43 677 613 55 114 &amp; +43 664 114 43 52",IF(A58="U11 Nord D","+43 664 762 09 93 &amp; +43 699 111 93 828",IF(A58="U9","+43 676 377 16 30 &amp;  +43 399 197 871 81",IF(A58="U8","+43 660 199 13 52 &amp;  +43 660 914 92 36",IF(A58="U7","+43 676 661 62 26 &amp;  +43 681 208 115 99",IF(A58="Camp","+43 660 77 39 500",IF(A58="Turnier","+43 660 77 39 500","FEHLER")))))))))))</f>
        <v>#REF!</v>
      </c>
    </row>
    <row r="59" spans="1:11" ht="15.6" x14ac:dyDescent="0.3">
      <c r="A59" s="77" t="str">
        <f>Heimspiele!C52</f>
        <v>KM</v>
      </c>
      <c r="B59" s="78">
        <f>Heimspiele!D52</f>
        <v>46297</v>
      </c>
      <c r="C59" s="79">
        <f>Heimspiele!E52</f>
        <v>0.79166666666666663</v>
      </c>
      <c r="D59" s="77" t="str">
        <f>Heimspiele!F52</f>
        <v>Siegendorf</v>
      </c>
      <c r="E59" s="77" t="str">
        <f>Heimspiele!G52</f>
        <v>Siegendorf</v>
      </c>
      <c r="F59" s="77" t="s">
        <v>18</v>
      </c>
      <c r="G59" s="77" t="str">
        <f t="shared" si="5"/>
        <v>Großfeld</v>
      </c>
      <c r="H59" s="77" t="str">
        <f t="shared" si="3"/>
        <v>7,32x2,44</v>
      </c>
      <c r="I59" s="77" t="str">
        <f t="shared" si="4"/>
        <v>5</v>
      </c>
      <c r="J59" s="77" t="str">
        <f>IF(A59="KM Neufeld","Pleninger Stefan",IF(A59="U16 LL","Josch Kögl",IF(A59="U15 LL Nord","Serdar Ekinci",IF(A59="U14 Nord","Gernot Servelda",IF(A59="U13 Nord","Thomas Pöschl &amp; Lenz Honc",IF(A59="U11 Nord D","Mario Magler&amp;Ronny Archam",IF(A59="U9","Thomas Brandl&amp;Daniel Hofbauer",IF(A59="U8","Berger Tobias&amp;Sebastian Putric",IF(A59="U7","Türkes Ömer&amp;Mahsumi Taha",IF(A59="Camp","Berger Dieter",IF(A59="Turnier","Berger Dieter","FEHLER")))))))))))</f>
        <v>FEHLER</v>
      </c>
      <c r="K59" s="77" t="str">
        <f>IF(A59="KM Neufeld","+43 664 415 99 09",IF(A59="U16 LL","+43 650 262 82 63",IF(A59="U15 LL Nord","+43 650 701 02 44",IF(A59="U14 Nord","+43 676 401 09 13",IF(A59="U13 Nord","+43 677 613 55 114 &amp; +43 664 114 43 52",IF(A59="U11 Nord D","+43 664 762 09 93 &amp; +43 699 111 93 828",IF(A59="U9","+43 676 377 16 30 &amp;  +43 399 197 871 81",IF(A59="U8","+43 660 199 13 52 &amp;  +43 660 914 92 36",IF(A59="U7","+43 676 661 62 26 &amp;  +43 681 208 115 99",IF(A59="Camp","+43 660 77 39 500",IF(A59="Turnier","+43 660 77 39 500","FEHLER")))))))))))</f>
        <v>FEHLER</v>
      </c>
    </row>
    <row r="60" spans="1:11" hidden="1" x14ac:dyDescent="0.3">
      <c r="A60" t="str">
        <f>Heimspiele!C61</f>
        <v>U11</v>
      </c>
      <c r="B60" s="69">
        <f>Heimspiele!D61</f>
        <v>46070</v>
      </c>
      <c r="C60" s="69"/>
      <c r="D60">
        <f>Heimspiele!F61</f>
        <v>0</v>
      </c>
      <c r="E60">
        <f>Heimspiele!G61</f>
        <v>0</v>
      </c>
      <c r="F60" t="s">
        <v>18</v>
      </c>
      <c r="G60" t="str">
        <f t="shared" si="5"/>
        <v>Großfeld</v>
      </c>
      <c r="H60" t="str">
        <f t="shared" si="3"/>
        <v>7,32x2,44</v>
      </c>
      <c r="I60" t="str">
        <f t="shared" si="4"/>
        <v>5</v>
      </c>
      <c r="J60" t="str">
        <f>IF(A60="KM Neufeld","Pleninger Stefan",IF(A60="U16 LL","Josch Kögl",IF(A60="U15 LL Nord","Serdar Ekinci",IF(A60="U14 Nord","Gernot Servelda",IF(A60="U13 - Nord","Thomas Pöschl &amp; Lenz Honc",IF(A60="U11 Nord D","Mario Magler&amp;Ronny Archam",IF(A60="U9","Thomas Brandl&amp;Daniel Hofbauer",IF(A60="U8","Berger Tobias&amp;Sebastian Putric",IF(A60="U7","Türkes Ömer&amp;Mahsumi Taha",IF(A60="Camp","Berger Dieter",IF(A60="Turnier","Berger Dieter","FEHLER")))))))))))</f>
        <v>FEHLER</v>
      </c>
      <c r="K60" t="str">
        <f>IF(A60="KM Neufeld","+43 664 415 99 09",IF(A60="U16 LL","+43 650 262 82 63",IF(A60="U15 LL Nord","+43 650 701 02 44",IF(A60="U14 - Nord","+43 676 401 09 13",IF(A60="U13 - Nord","+43 677 613 55 114 &amp; +43 664 114 43 52",IF(A60="U11 Nord D","+43 664 762 09 93 &amp; +43 699 111 93 828",IF(A60="U9","+43 676 377 16 30 &amp;  +43 399 197 871 81",IF(A60="U8","+43 660 199 13 52 &amp;  +43 660 914 92 36",IF(A60="U7","+43 676 661 62 26 &amp;  +43 681 208 115 99",IF(A60="Camp","+43 660 77 39 500",IF(A60="Turnier","+43 660 77 39 500","FEHLER")))))))))))</f>
        <v>FEHLER</v>
      </c>
    </row>
    <row r="61" spans="1:11" ht="15.6" x14ac:dyDescent="0.3">
      <c r="A61" s="77" t="e">
        <f>Heimspiele!C54</f>
        <v>#REF!</v>
      </c>
      <c r="B61" s="78" t="e">
        <f>Heimspiele!D54</f>
        <v>#REF!</v>
      </c>
      <c r="C61" s="79" t="e">
        <f>Heimspiele!E54</f>
        <v>#REF!</v>
      </c>
      <c r="D61" s="77" t="e">
        <f>Heimspiele!F54</f>
        <v>#REF!</v>
      </c>
      <c r="E61" s="77" t="e">
        <f>Heimspiele!G54</f>
        <v>#REF!</v>
      </c>
      <c r="F61" s="77" t="s">
        <v>26</v>
      </c>
      <c r="G61" s="77" t="str">
        <f t="shared" si="5"/>
        <v>Großfeld</v>
      </c>
      <c r="H61" s="77" t="str">
        <f t="shared" ref="H61:H85" si="6">IF(F61="Großfeld","7,32x2,44",IF(F61="U16","7,32x2,44",IF(F61="U15","7,32x2,44",IF(F61="U14","7,32x2,44",IF(F61="U13","5x2",IF(F61="U11/U12","5x2",IF(F61="U9/U10","5x2","4 Minitore")))))))</f>
        <v>7,32x2,44</v>
      </c>
      <c r="I61" s="77" t="str">
        <f t="shared" ref="I61:I87" si="7">IF(F61="Großfeld","5",IF(F61="U16","5",IF(F61="U15","5",IF(F61="U14","4",IF(F61="U13","4",IF(F61="U11/U12","4",IF(F61="U9/U10","4",IF(F61="U9","4","3"))))))))</f>
        <v>5</v>
      </c>
      <c r="J61" s="77" t="e">
        <f>IF(A61="KM Neufeld","Pleninger Stefan",IF(A61="U16 LL","Josch Kögl",IF(A61="U15 LL Nord","Serdar Ekinci",IF(A61="U14 Nord","Gernot Servelda",IF(A61="U13 Nord","Thomas Pöschl &amp; Lenz Honc",IF(A61="U11 Nord D","Mario Magler&amp;Ronny Archam",IF(A61="U9","Thomas Brandl&amp;Daniel Hofbauer",IF(A61="U8","Berger Tobias&amp;Sebastian Putric",IF(A61="U7","Türkes Ömer&amp;Mahsumi Taha",IF(A61="Camp","Berger Dieter",IF(A61="Turnier","Berger Dieter","FEHLER")))))))))))</f>
        <v>#REF!</v>
      </c>
      <c r="K61" s="77" t="e">
        <f>IF(A61="KM Neufeld","+43 664 415 99 09",IF(A61="U16 LL","+43 650 262 82 63",IF(A61="U15 LL Nord","+43 650 701 02 44",IF(A61="U14 Nord","+43 676 401 09 13",IF(A61="U13 Nord","+43 677 613 55 114 &amp; +43 664 114 43 52",IF(A61="U11 Nord D","+43 664 762 09 93 &amp; +43 699 111 93 828",IF(A61="U9","+43 676 377 16 30 &amp;  +43 399 197 871 81",IF(A61="U8","+43 660 199 13 52 &amp;  +43 660 914 92 36",IF(A61="U7","+43 676 661 62 26 &amp;  +43 681 208 115 99",IF(A61="Camp","+43 660 77 39 500",IF(A61="Turnier","+43 660 77 39 500","FEHLER")))))))))))</f>
        <v>#REF!</v>
      </c>
    </row>
    <row r="62" spans="1:11" hidden="1" x14ac:dyDescent="0.3">
      <c r="A62" t="str">
        <f>Heimspiele!C63</f>
        <v>U11</v>
      </c>
      <c r="B62" s="69">
        <f>Heimspiele!D63</f>
        <v>46072</v>
      </c>
      <c r="C62" s="69"/>
      <c r="D62">
        <f>Heimspiele!F63</f>
        <v>0</v>
      </c>
      <c r="E62">
        <f>Heimspiele!G63</f>
        <v>0</v>
      </c>
      <c r="F62" t="s">
        <v>18</v>
      </c>
      <c r="G62" t="str">
        <f t="shared" si="5"/>
        <v>Großfeld</v>
      </c>
      <c r="H62" t="str">
        <f t="shared" si="6"/>
        <v>7,32x2,44</v>
      </c>
      <c r="I62" t="str">
        <f t="shared" si="7"/>
        <v>5</v>
      </c>
      <c r="J62" t="str">
        <f>IF(A62="KM Neufeld","Pleninger Stefan",IF(A62="U16 LL","Josch Kögl",IF(A62="U15 LL Nord","Serdar Ekinci",IF(A62="U14 Nord","Gernot Servelda",IF(A62="U13 - Nord","Thomas Pöschl &amp; Lenz Honc",IF(A62="U11 Nord D","Mario Magler&amp;Ronny Archam",IF(A62="U9","Thomas Brandl&amp;Daniel Hofbauer",IF(A62="U8","Berger Tobias&amp;Sebastian Putric",IF(A62="U7","Türkes Ömer&amp;Mahsumi Taha",IF(A62="Camp","Berger Dieter",IF(A62="Turnier","Berger Dieter","FEHLER")))))))))))</f>
        <v>FEHLER</v>
      </c>
      <c r="K62" t="str">
        <f>IF(A62="KM Neufeld","+43 664 415 99 09",IF(A62="U16 LL","+43 650 262 82 63",IF(A62="U15 LL Nord","+43 650 701 02 44",IF(A62="U14 - Nord","+43 676 401 09 13",IF(A62="U13 - Nord","+43 677 613 55 114 &amp; +43 664 114 43 52",IF(A62="U11 Nord D","+43 664 762 09 93 &amp; +43 699 111 93 828",IF(A62="U9","+43 676 377 16 30 &amp;  +43 399 197 871 81",IF(A62="U8","+43 660 199 13 52 &amp;  +43 660 914 92 36",IF(A62="U7","+43 676 661 62 26 &amp;  +43 681 208 115 99",IF(A62="Camp","+43 660 77 39 500",IF(A62="Turnier","+43 660 77 39 500","FEHLER")))))))))))</f>
        <v>FEHLER</v>
      </c>
    </row>
    <row r="63" spans="1:11" hidden="1" x14ac:dyDescent="0.3">
      <c r="A63" t="e">
        <f>Heimspiele!C64</f>
        <v>#REF!</v>
      </c>
      <c r="B63" s="69" t="e">
        <f>Heimspiele!D64</f>
        <v>#REF!</v>
      </c>
      <c r="C63" s="69"/>
      <c r="D63" t="e">
        <f>Heimspiele!F64</f>
        <v>#REF!</v>
      </c>
      <c r="E63" t="e">
        <f>Heimspiele!G64</f>
        <v>#REF!</v>
      </c>
      <c r="F63" t="s">
        <v>18</v>
      </c>
      <c r="G63" t="str">
        <f t="shared" si="5"/>
        <v>Großfeld</v>
      </c>
      <c r="H63" t="str">
        <f t="shared" si="6"/>
        <v>7,32x2,44</v>
      </c>
      <c r="I63" t="str">
        <f t="shared" si="7"/>
        <v>5</v>
      </c>
      <c r="J63" t="e">
        <f>IF(A63="KM Neufeld","Pleninger Stefan",IF(A63="U16 LL","Josch Kögl",IF(A63="U15 LL Nord","Serdar Ekinci",IF(A63="U14 Nord","Gernot Servelda",IF(A63="U13 - Nord","Thomas Pöschl &amp; Lenz Honc",IF(A63="U11 Nord D","Mario Magler&amp;Ronny Archam",IF(A63="U9","Thomas Brandl&amp;Daniel Hofbauer",IF(A63="U8","Berger Tobias&amp;Sebastian Putric",IF(A63="U7","Türkes Ömer&amp;Mahsumi Taha",IF(A63="Camp","Berger Dieter",IF(A63="Turnier","Berger Dieter","FEHLER")))))))))))</f>
        <v>#REF!</v>
      </c>
      <c r="K63" t="e">
        <f>IF(A63="KM Neufeld","+43 664 415 99 09",IF(A63="U16 LL","+43 650 262 82 63",IF(A63="U15 LL Nord","+43 650 701 02 44",IF(A63="U14 - Nord","+43 676 401 09 13",IF(A63="U13 - Nord","+43 677 613 55 114 &amp; +43 664 114 43 52",IF(A63="U11 Nord D","+43 664 762 09 93 &amp; +43 699 111 93 828",IF(A63="U9","+43 676 377 16 30 &amp;  +43 399 197 871 81",IF(A63="U8","+43 660 199 13 52 &amp;  +43 660 914 92 36",IF(A63="U7","+43 676 661 62 26 &amp;  +43 681 208 115 99",IF(A63="Camp","+43 660 77 39 500",IF(A63="Turnier","+43 660 77 39 500","FEHLER")))))))))))</f>
        <v>#REF!</v>
      </c>
    </row>
    <row r="64" spans="1:11" ht="15.6" x14ac:dyDescent="0.3">
      <c r="A64" s="77" t="str">
        <f>Heimspiele!C56</f>
        <v>U11</v>
      </c>
      <c r="B64" s="78">
        <f>Heimspiele!D56</f>
        <v>46069</v>
      </c>
      <c r="C64" s="79">
        <f>Heimspiele!E56</f>
        <v>0</v>
      </c>
      <c r="D64" s="77">
        <f>Heimspiele!F56</f>
        <v>0</v>
      </c>
      <c r="E64" s="77">
        <f>Heimspiele!G56</f>
        <v>0</v>
      </c>
      <c r="F64" s="77" t="s">
        <v>19</v>
      </c>
      <c r="G64" s="77" t="str">
        <f t="shared" si="5"/>
        <v>55x40</v>
      </c>
      <c r="H64" s="77" t="str">
        <f t="shared" si="6"/>
        <v>5x2</v>
      </c>
      <c r="I64" s="77" t="str">
        <f t="shared" si="7"/>
        <v>4</v>
      </c>
      <c r="J64" s="77" t="str">
        <f>IF(A64="KM Neufeld","Pleninger Stefan",IF(A64="U16 LL","Josch Kögl",IF(A64="U15 LL Nord","Serdar Ekinci",IF(A64="U14 Nord","Gernot Servelda",IF(A64="U13 Nord","Thomas Pöschl &amp; Lenz Honc",IF(A64="U11 Nord D","Mario Magler&amp;Ronny Archam",IF(A64="U9","Thomas Brandl&amp;Daniel Hofbauer",IF(A64="U8","Berger Tobias&amp;Sebastian Putric",IF(A64="U7","Türkes Ömer&amp;Mahsumi Taha",IF(A64="Camp","Berger Dieter",IF(A64="Turnier","Berger Dieter","FEHLER")))))))))))</f>
        <v>FEHLER</v>
      </c>
      <c r="K64" s="77" t="str">
        <f>IF(A64="KM Neufeld","+43 664 415 99 09",IF(A64="U16 LL","+43 650 262 82 63",IF(A64="U15 LL Nord","+43 650 701 02 44",IF(A64="U14 Nord","+43 676 401 09 13",IF(A64="U13 Nord","+43 677 613 55 114 &amp; +43 664 114 43 52",IF(A64="U11 Nord D","+43 664 762 09 93 &amp; +43 699 111 93 828",IF(A64="U9","+43 676 377 16 30 &amp;  +43 399 197 871 81",IF(A64="U8","+43 660 199 13 52 &amp;  +43 660 914 92 36",IF(A64="U7","+43 676 661 62 26 &amp;  +43 681 208 115 99",IF(A64="Camp","+43 660 77 39 500",IF(A64="Turnier","+43 660 77 39 500","FEHLER")))))))))))</f>
        <v>FEHLER</v>
      </c>
    </row>
    <row r="65" spans="1:11" hidden="1" x14ac:dyDescent="0.3">
      <c r="A65" t="str">
        <f>Heimspiele!C66</f>
        <v>U9</v>
      </c>
      <c r="B65" s="69">
        <f>Heimspiele!D66</f>
        <v>46079</v>
      </c>
      <c r="C65" s="69"/>
      <c r="D65">
        <f>Heimspiele!F66</f>
        <v>0</v>
      </c>
      <c r="E65">
        <f>Heimspiele!G66</f>
        <v>0</v>
      </c>
      <c r="F65" t="s">
        <v>18</v>
      </c>
      <c r="G65" t="str">
        <f t="shared" si="5"/>
        <v>Großfeld</v>
      </c>
      <c r="H65" t="str">
        <f t="shared" si="6"/>
        <v>7,32x2,44</v>
      </c>
      <c r="I65" t="str">
        <f t="shared" si="7"/>
        <v>5</v>
      </c>
      <c r="J65" t="str">
        <f>IF(A65="KM Neufeld","Pleninger Stefan",IF(A65="U16 LL","Josch Kögl",IF(A65="U15 LL Nord","Serdar Ekinci",IF(A65="U14 Nord","Gernot Servelda",IF(A65="U13 - Nord","Thomas Pöschl &amp; Lenz Honc",IF(A65="U11 Nord D","Mario Magler&amp;Ronny Archam",IF(A65="U9","Thomas Brandl&amp;Daniel Hofbauer",IF(A65="U8","Berger Tobias&amp;Sebastian Putric",IF(A65="U7","Türkes Ömer&amp;Mahsumi Taha",IF(A65="Camp","Berger Dieter",IF(A65="Turnier","Berger Dieter","FEHLER")))))))))))</f>
        <v>Thomas Brandl&amp;Daniel Hofbauer</v>
      </c>
      <c r="K65" t="str">
        <f>IF(A65="KM Neufeld","+43 664 415 99 09",IF(A65="U16 LL","+43 650 262 82 63",IF(A65="U15 LL Nord","+43 650 701 02 44",IF(A65="U14 - Nord","+43 676 401 09 13",IF(A65="U13 - Nord","+43 677 613 55 114 &amp; +43 664 114 43 52",IF(A65="U11 Nord D","+43 664 762 09 93 &amp; +43 699 111 93 828",IF(A65="U9","+43 676 377 16 30 &amp;  +43 399 197 871 81",IF(A65="U8","+43 660 199 13 52 &amp;  +43 660 914 92 36",IF(A65="U7","+43 676 661 62 26 &amp;  +43 681 208 115 99",IF(A65="Camp","+43 660 77 39 500",IF(A65="Turnier","+43 660 77 39 500","FEHLER")))))))))))</f>
        <v>+43 676 377 16 30 &amp;  +43 399 197 871 81</v>
      </c>
    </row>
    <row r="66" spans="1:11" hidden="1" x14ac:dyDescent="0.3">
      <c r="A66" t="str">
        <f>Heimspiele!C67</f>
        <v>U9</v>
      </c>
      <c r="B66" s="69">
        <f>Heimspiele!D67</f>
        <v>46080</v>
      </c>
      <c r="C66" s="69"/>
      <c r="D66">
        <f>Heimspiele!F67</f>
        <v>0</v>
      </c>
      <c r="E66">
        <f>Heimspiele!G67</f>
        <v>0</v>
      </c>
      <c r="F66" t="s">
        <v>18</v>
      </c>
      <c r="G66" t="str">
        <f t="shared" ref="G66:G87" si="8">IF(F66="Großfeld","Großfeld",IF(F66="U16","Großfeld",IF(F66="U15","Großfeld",IF(F66="U14","Großfeld",IF(F66="U13","75x55",IF(F66="U11/U12","55x40",IF(F66="U9/U10","40x25",IF(F66="U8","29x22","25x20"))))))))</f>
        <v>Großfeld</v>
      </c>
      <c r="H66" t="str">
        <f t="shared" si="6"/>
        <v>7,32x2,44</v>
      </c>
      <c r="I66" t="str">
        <f t="shared" si="7"/>
        <v>5</v>
      </c>
      <c r="J66" t="str">
        <f>IF(A66="KM Neufeld","Pleninger Stefan",IF(A66="U16 LL","Josch Kögl",IF(A66="U15 LL Nord","Serdar Ekinci",IF(A66="U14 Nord","Gernot Servelda",IF(A66="U13 - Nord","Thomas Pöschl &amp; Lenz Honc",IF(A66="U11 Nord D","Mario Magler&amp;Ronny Archam",IF(A66="U9","Thomas Brandl&amp;Daniel Hofbauer",IF(A66="U8","Berger Tobias&amp;Sebastian Putric",IF(A66="U7","Türkes Ömer&amp;Mahsumi Taha",IF(A66="Camp","Berger Dieter",IF(A66="Turnier","Berger Dieter","FEHLER")))))))))))</f>
        <v>Thomas Brandl&amp;Daniel Hofbauer</v>
      </c>
      <c r="K66" t="str">
        <f>IF(A66="KM Neufeld","+43 664 415 99 09",IF(A66="U16 LL","+43 650 262 82 63",IF(A66="U15 LL Nord","+43 650 701 02 44",IF(A66="U14 - Nord","+43 676 401 09 13",IF(A66="U13 - Nord","+43 677 613 55 114 &amp; +43 664 114 43 52",IF(A66="U11 Nord D","+43 664 762 09 93 &amp; +43 699 111 93 828",IF(A66="U9","+43 676 377 16 30 &amp;  +43 399 197 871 81",IF(A66="U8","+43 660 199 13 52 &amp;  +43 660 914 92 36",IF(A66="U7","+43 676 661 62 26 &amp;  +43 681 208 115 99",IF(A66="Camp","+43 660 77 39 500",IF(A66="Turnier","+43 660 77 39 500","FEHLER")))))))))))</f>
        <v>+43 676 377 16 30 &amp;  +43 399 197 871 81</v>
      </c>
    </row>
    <row r="67" spans="1:11" hidden="1" x14ac:dyDescent="0.3">
      <c r="A67" t="str">
        <f>Heimspiele!C68</f>
        <v>U9</v>
      </c>
      <c r="B67" s="69">
        <f>Heimspiele!D68</f>
        <v>46081</v>
      </c>
      <c r="C67" s="69"/>
      <c r="D67">
        <f>Heimspiele!F68</f>
        <v>0</v>
      </c>
      <c r="E67">
        <f>Heimspiele!G68</f>
        <v>0</v>
      </c>
      <c r="F67" t="s">
        <v>18</v>
      </c>
      <c r="G67" t="str">
        <f t="shared" si="8"/>
        <v>Großfeld</v>
      </c>
      <c r="H67" t="str">
        <f t="shared" si="6"/>
        <v>7,32x2,44</v>
      </c>
      <c r="I67" t="str">
        <f t="shared" si="7"/>
        <v>5</v>
      </c>
      <c r="J67" t="str">
        <f>IF(A67="KM Neufeld","Pleninger Stefan",IF(A67="U16 LL","Josch Kögl",IF(A67="U15 LL Nord","Serdar Ekinci",IF(A67="U14 Nord","Gernot Servelda",IF(A67="U13 - Nord","Thomas Pöschl &amp; Lenz Honc",IF(A67="U11 Nord D","Mario Magler&amp;Ronny Archam",IF(A67="U9","Thomas Brandl&amp;Daniel Hofbauer",IF(A67="U8","Berger Tobias&amp;Sebastian Putric",IF(A67="U7","Türkes Ömer&amp;Mahsumi Taha",IF(A67="Camp","Berger Dieter",IF(A67="Turnier","Berger Dieter","FEHLER")))))))))))</f>
        <v>Thomas Brandl&amp;Daniel Hofbauer</v>
      </c>
      <c r="K67" t="str">
        <f>IF(A67="KM Neufeld","+43 664 415 99 09",IF(A67="U16 LL","+43 650 262 82 63",IF(A67="U15 LL Nord","+43 650 701 02 44",IF(A67="U14 - Nord","+43 676 401 09 13",IF(A67="U13 - Nord","+43 677 613 55 114 &amp; +43 664 114 43 52",IF(A67="U11 Nord D","+43 664 762 09 93 &amp; +43 699 111 93 828",IF(A67="U9","+43 676 377 16 30 &amp;  +43 399 197 871 81",IF(A67="U8","+43 660 199 13 52 &amp;  +43 660 914 92 36",IF(A67="U7","+43 676 661 62 26 &amp;  +43 681 208 115 99",IF(A67="Camp","+43 660 77 39 500",IF(A67="Turnier","+43 660 77 39 500","FEHLER")))))))))))</f>
        <v>+43 676 377 16 30 &amp;  +43 399 197 871 81</v>
      </c>
    </row>
    <row r="68" spans="1:11" hidden="1" x14ac:dyDescent="0.3">
      <c r="A68" t="str">
        <f>Heimspiele!C69</f>
        <v>U9</v>
      </c>
      <c r="B68" s="69">
        <f>Heimspiele!D69</f>
        <v>46087</v>
      </c>
      <c r="C68" s="69"/>
      <c r="D68">
        <f>Heimspiele!F69</f>
        <v>0</v>
      </c>
      <c r="E68">
        <f>Heimspiele!G69</f>
        <v>0</v>
      </c>
      <c r="F68" t="s">
        <v>18</v>
      </c>
      <c r="G68" t="str">
        <f t="shared" si="8"/>
        <v>Großfeld</v>
      </c>
      <c r="H68" t="str">
        <f t="shared" si="6"/>
        <v>7,32x2,44</v>
      </c>
      <c r="I68" t="str">
        <f t="shared" si="7"/>
        <v>5</v>
      </c>
      <c r="J68" t="str">
        <f>IF(A68="KM Neufeld","Pleninger Stefan",IF(A68="U16 LL","Josch Kögl",IF(A68="U15 LL Nord","Serdar Ekinci",IF(A68="U14 Nord","Gernot Servelda",IF(A68="U13 - Nord","Thomas Pöschl &amp; Lenz Honc",IF(A68="U11 Nord D","Mario Magler&amp;Ronny Archam",IF(A68="U9","Thomas Brandl&amp;Daniel Hofbauer",IF(A68="U8","Berger Tobias&amp;Sebastian Putric",IF(A68="U7","Türkes Ömer&amp;Mahsumi Taha",IF(A68="Camp","Berger Dieter",IF(A68="Turnier","Berger Dieter","FEHLER")))))))))))</f>
        <v>Thomas Brandl&amp;Daniel Hofbauer</v>
      </c>
      <c r="K68" t="str">
        <f>IF(A68="KM Neufeld","+43 664 415 99 09",IF(A68="U16 LL","+43 650 262 82 63",IF(A68="U15 LL Nord","+43 650 701 02 44",IF(A68="U14 - Nord","+43 676 401 09 13",IF(A68="U13 - Nord","+43 677 613 55 114 &amp; +43 664 114 43 52",IF(A68="U11 Nord D","+43 664 762 09 93 &amp; +43 699 111 93 828",IF(A68="U9","+43 676 377 16 30 &amp;  +43 399 197 871 81",IF(A68="U8","+43 660 199 13 52 &amp;  +43 660 914 92 36",IF(A68="U7","+43 676 661 62 26 &amp;  +43 681 208 115 99",IF(A68="Camp","+43 660 77 39 500",IF(A68="Turnier","+43 660 77 39 500","FEHLER")))))))))))</f>
        <v>+43 676 377 16 30 &amp;  +43 399 197 871 81</v>
      </c>
    </row>
    <row r="69" spans="1:11" ht="15.6" x14ac:dyDescent="0.3">
      <c r="A69" s="77" t="str">
        <f>Heimspiele!C58</f>
        <v>KM</v>
      </c>
      <c r="B69" s="78">
        <f>Heimspiele!D58</f>
        <v>46312</v>
      </c>
      <c r="C69" s="79">
        <f>Heimspiele!E58</f>
        <v>0.64583333333333337</v>
      </c>
      <c r="D69" s="77" t="str">
        <f>Heimspiele!F58</f>
        <v>Hornstein</v>
      </c>
      <c r="E69" s="77" t="str">
        <f>Heimspiele!G58</f>
        <v>Hornstein</v>
      </c>
      <c r="F69" s="77" t="s">
        <v>18</v>
      </c>
      <c r="G69" s="77" t="str">
        <f t="shared" si="8"/>
        <v>Großfeld</v>
      </c>
      <c r="H69" s="77" t="str">
        <f t="shared" si="6"/>
        <v>7,32x2,44</v>
      </c>
      <c r="I69" s="77" t="str">
        <f t="shared" si="7"/>
        <v>5</v>
      </c>
      <c r="J69" s="77" t="str">
        <f>IF(A69="KM Neufeld","Pleninger Stefan",IF(A69="U16 LL","Josch Kögl",IF(A69="U15 LL Nord","Serdar Ekinci",IF(A69="U14 Nord","Gernot Servelda",IF(A69="U13 Nord","Thomas Pöschl &amp; Lenz Honc",IF(A69="U11 Nord D","Mario Magler&amp;Ronny Archam",IF(A69="U9","Thomas Brandl&amp;Daniel Hofbauer",IF(A69="U8","Berger Tobias&amp;Sebastian Putric",IF(A69="U7","Türkes Ömer&amp;Mahsumi Taha",IF(A69="Camp","Berger Dieter",IF(A69="Turnier","Berger Dieter","FEHLER")))))))))))</f>
        <v>FEHLER</v>
      </c>
      <c r="K69" s="77" t="str">
        <f>IF(A69="KM Neufeld","+43 664 415 99 09",IF(A69="U16 LL","+43 650 262 82 63",IF(A69="U15 LL Nord","+43 650 701 02 44",IF(A69="U14 Nord","+43 676 401 09 13",IF(A69="U13 Nord","+43 677 613 55 114 &amp; +43 664 114 43 52",IF(A69="U11 Nord D","+43 664 762 09 93 &amp; +43 699 111 93 828",IF(A69="U9","+43 676 377 16 30 &amp;  +43 399 197 871 81",IF(A69="U8","+43 660 199 13 52 &amp;  +43 660 914 92 36",IF(A69="U7","+43 676 661 62 26 &amp;  +43 681 208 115 99",IF(A69="Camp","+43 660 77 39 500",IF(A69="Turnier","+43 660 77 39 500","FEHLER")))))))))))</f>
        <v>FEHLER</v>
      </c>
    </row>
    <row r="70" spans="1:11" hidden="1" x14ac:dyDescent="0.3">
      <c r="A70" t="str">
        <f>Heimspiele!C71</f>
        <v>U8</v>
      </c>
      <c r="B70" s="69">
        <f>Heimspiele!D71</f>
        <v>46089</v>
      </c>
      <c r="C70" s="69"/>
      <c r="D70">
        <f>Heimspiele!F71</f>
        <v>0</v>
      </c>
      <c r="E70">
        <f>Heimspiele!G71</f>
        <v>0</v>
      </c>
      <c r="F70" t="s">
        <v>18</v>
      </c>
      <c r="G70" t="str">
        <f t="shared" si="8"/>
        <v>Großfeld</v>
      </c>
      <c r="H70" t="str">
        <f t="shared" si="6"/>
        <v>7,32x2,44</v>
      </c>
      <c r="I70" t="str">
        <f t="shared" si="7"/>
        <v>5</v>
      </c>
      <c r="J70" t="str">
        <f>IF(A70="KM Neufeld","Pleninger Stefan",IF(A70="U16 LL","Josch Kögl",IF(A70="U15 LL Nord","Serdar Ekinci",IF(A70="U14 Nord","Gernot Servelda",IF(A70="U13 - Nord","Thomas Pöschl &amp; Lenz Honc",IF(A70="U11 Nord D","Mario Magler&amp;Ronny Archam",IF(A70="U9","Thomas Brandl&amp;Daniel Hofbauer",IF(A70="U8","Berger Tobias&amp;Sebastian Putric",IF(A70="U7","Türkes Ömer&amp;Mahsumi Taha",IF(A70="Camp","Berger Dieter",IF(A70="Turnier","Berger Dieter","FEHLER")))))))))))</f>
        <v>Berger Tobias&amp;Sebastian Putric</v>
      </c>
      <c r="K70" t="str">
        <f>IF(A70="KM Neufeld","+43 664 415 99 09",IF(A70="U16 LL","+43 650 262 82 63",IF(A70="U15 LL Nord","+43 650 701 02 44",IF(A70="U14 - Nord","+43 676 401 09 13",IF(A70="U13 - Nord","+43 677 613 55 114 &amp; +43 664 114 43 52",IF(A70="U11 Nord D","+43 664 762 09 93 &amp; +43 699 111 93 828",IF(A70="U9","+43 676 377 16 30 &amp;  +43 399 197 871 81",IF(A70="U8","+43 660 199 13 52 &amp;  +43 660 914 92 36",IF(A70="U7","+43 676 661 62 26 &amp;  +43 681 208 115 99",IF(A70="Camp","+43 660 77 39 500",IF(A70="Turnier","+43 660 77 39 500","FEHLER")))))))))))</f>
        <v>+43 660 199 13 52 &amp;  +43 660 914 92 36</v>
      </c>
    </row>
    <row r="71" spans="1:11" hidden="1" x14ac:dyDescent="0.3">
      <c r="A71" t="str">
        <f>Heimspiele!C72</f>
        <v>U8</v>
      </c>
      <c r="B71" s="69">
        <f>Heimspiele!D72</f>
        <v>46090</v>
      </c>
      <c r="C71" s="69"/>
      <c r="D71">
        <f>Heimspiele!F72</f>
        <v>0</v>
      </c>
      <c r="E71">
        <f>Heimspiele!G72</f>
        <v>0</v>
      </c>
      <c r="F71" t="s">
        <v>18</v>
      </c>
      <c r="G71" t="str">
        <f t="shared" si="8"/>
        <v>Großfeld</v>
      </c>
      <c r="H71" t="str">
        <f t="shared" si="6"/>
        <v>7,32x2,44</v>
      </c>
      <c r="I71" t="str">
        <f t="shared" si="7"/>
        <v>5</v>
      </c>
      <c r="J71" t="str">
        <f>IF(A71="KM Neufeld","Pleninger Stefan",IF(A71="U16 LL","Josch Kögl",IF(A71="U15 LL Nord","Serdar Ekinci",IF(A71="U14 Nord","Gernot Servelda",IF(A71="U13 - Nord","Thomas Pöschl &amp; Lenz Honc",IF(A71="U11 Nord D","Mario Magler&amp;Ronny Archam",IF(A71="U9","Thomas Brandl&amp;Daniel Hofbauer",IF(A71="U8","Berger Tobias&amp;Sebastian Putric",IF(A71="U7","Türkes Ömer&amp;Mahsumi Taha",IF(A71="Camp","Berger Dieter",IF(A71="Turnier","Berger Dieter","FEHLER")))))))))))</f>
        <v>Berger Tobias&amp;Sebastian Putric</v>
      </c>
      <c r="K71" t="str">
        <f>IF(A71="KM Neufeld","+43 664 415 99 09",IF(A71="U16 LL","+43 650 262 82 63",IF(A71="U15 LL Nord","+43 650 701 02 44",IF(A71="U14 - Nord","+43 676 401 09 13",IF(A71="U13 - Nord","+43 677 613 55 114 &amp; +43 664 114 43 52",IF(A71="U11 Nord D","+43 664 762 09 93 &amp; +43 699 111 93 828",IF(A71="U9","+43 676 377 16 30 &amp;  +43 399 197 871 81",IF(A71="U8","+43 660 199 13 52 &amp;  +43 660 914 92 36",IF(A71="U7","+43 676 661 62 26 &amp;  +43 681 208 115 99",IF(A71="Camp","+43 660 77 39 500",IF(A71="Turnier","+43 660 77 39 500","FEHLER")))))))))))</f>
        <v>+43 660 199 13 52 &amp;  +43 660 914 92 36</v>
      </c>
    </row>
    <row r="72" spans="1:11" hidden="1" x14ac:dyDescent="0.3">
      <c r="A72" t="str">
        <f>Heimspiele!C73</f>
        <v>U8</v>
      </c>
      <c r="B72" s="69">
        <f>Heimspiele!D73</f>
        <v>46091</v>
      </c>
      <c r="C72" s="69"/>
      <c r="D72">
        <f>Heimspiele!F73</f>
        <v>0</v>
      </c>
      <c r="E72">
        <f>Heimspiele!G73</f>
        <v>0</v>
      </c>
      <c r="F72" t="s">
        <v>18</v>
      </c>
      <c r="G72" t="str">
        <f t="shared" si="8"/>
        <v>Großfeld</v>
      </c>
      <c r="H72" t="str">
        <f t="shared" si="6"/>
        <v>7,32x2,44</v>
      </c>
      <c r="I72" t="str">
        <f t="shared" si="7"/>
        <v>5</v>
      </c>
      <c r="J72" t="str">
        <f>IF(A72="KM Neufeld","Pleninger Stefan",IF(A72="U16 LL","Josch Kögl",IF(A72="U15 LL Nord","Serdar Ekinci",IF(A72="U14 Nord","Gernot Servelda",IF(A72="U13 - Nord","Thomas Pöschl &amp; Lenz Honc",IF(A72="U11 Nord D","Mario Magler&amp;Ronny Archam",IF(A72="U9","Thomas Brandl&amp;Daniel Hofbauer",IF(A72="U8","Berger Tobias&amp;Sebastian Putric",IF(A72="U7","Türkes Ömer&amp;Mahsumi Taha",IF(A72="Camp","Berger Dieter",IF(A72="Turnier","Berger Dieter","FEHLER")))))))))))</f>
        <v>Berger Tobias&amp;Sebastian Putric</v>
      </c>
      <c r="K72" t="str">
        <f>IF(A72="KM Neufeld","+43 664 415 99 09",IF(A72="U16 LL","+43 650 262 82 63",IF(A72="U15 LL Nord","+43 650 701 02 44",IF(A72="U14 - Nord","+43 676 401 09 13",IF(A72="U13 - Nord","+43 677 613 55 114 &amp; +43 664 114 43 52",IF(A72="U11 Nord D","+43 664 762 09 93 &amp; +43 699 111 93 828",IF(A72="U9","+43 676 377 16 30 &amp;  +43 399 197 871 81",IF(A72="U8","+43 660 199 13 52 &amp;  +43 660 914 92 36",IF(A72="U7","+43 676 661 62 26 &amp;  +43 681 208 115 99",IF(A72="Camp","+43 660 77 39 500",IF(A72="Turnier","+43 660 77 39 500","FEHLER")))))))))))</f>
        <v>+43 660 199 13 52 &amp;  +43 660 914 92 36</v>
      </c>
    </row>
    <row r="73" spans="1:11" hidden="1" x14ac:dyDescent="0.3">
      <c r="A73" t="str">
        <f>Heimspiele!C74</f>
        <v>U8</v>
      </c>
      <c r="B73" s="69">
        <f>Heimspiele!D74</f>
        <v>46092</v>
      </c>
      <c r="C73" s="69"/>
      <c r="D73">
        <f>Heimspiele!F74</f>
        <v>0</v>
      </c>
      <c r="E73">
        <f>Heimspiele!G74</f>
        <v>0</v>
      </c>
      <c r="F73" t="s">
        <v>18</v>
      </c>
      <c r="G73" t="str">
        <f t="shared" si="8"/>
        <v>Großfeld</v>
      </c>
      <c r="H73" t="str">
        <f t="shared" si="6"/>
        <v>7,32x2,44</v>
      </c>
      <c r="I73" t="str">
        <f t="shared" si="7"/>
        <v>5</v>
      </c>
      <c r="J73" t="str">
        <f>IF(A73="KM Neufeld","Pleninger Stefan",IF(A73="U16 LL","Josch Kögl",IF(A73="U15 LL Nord","Serdar Ekinci",IF(A73="U14 Nord","Gernot Servelda",IF(A73="U13 - Nord","Thomas Pöschl &amp; Lenz Honc",IF(A73="U11 Nord D","Mario Magler&amp;Ronny Archam",IF(A73="U9","Thomas Brandl&amp;Daniel Hofbauer",IF(A73="U8","Berger Tobias&amp;Sebastian Putric",IF(A73="U7","Türkes Ömer&amp;Mahsumi Taha",IF(A73="Camp","Berger Dieter",IF(A73="Turnier","Berger Dieter","FEHLER")))))))))))</f>
        <v>Berger Tobias&amp;Sebastian Putric</v>
      </c>
      <c r="K73" t="str">
        <f>IF(A73="KM Neufeld","+43 664 415 99 09",IF(A73="U16 LL","+43 650 262 82 63",IF(A73="U15 LL Nord","+43 650 701 02 44",IF(A73="U14 - Nord","+43 676 401 09 13",IF(A73="U13 - Nord","+43 677 613 55 114 &amp; +43 664 114 43 52",IF(A73="U11 Nord D","+43 664 762 09 93 &amp; +43 699 111 93 828",IF(A73="U9","+43 676 377 16 30 &amp;  +43 399 197 871 81",IF(A73="U8","+43 660 199 13 52 &amp;  +43 660 914 92 36",IF(A73="U7","+43 676 661 62 26 &amp;  +43 681 208 115 99",IF(A73="Camp","+43 660 77 39 500",IF(A73="Turnier","+43 660 77 39 500","FEHLER")))))))))))</f>
        <v>+43 660 199 13 52 &amp;  +43 660 914 92 36</v>
      </c>
    </row>
    <row r="74" spans="1:11" ht="15.6" x14ac:dyDescent="0.3">
      <c r="A74" s="77" t="str">
        <f>Heimspiele!C60</f>
        <v>U14</v>
      </c>
      <c r="B74" s="78">
        <f>Heimspiele!D60</f>
        <v>46040</v>
      </c>
      <c r="C74" s="79">
        <f>Heimspiele!E60</f>
        <v>0</v>
      </c>
      <c r="D74" s="77">
        <f>Heimspiele!F60</f>
        <v>0</v>
      </c>
      <c r="E74" s="77">
        <f>Heimspiele!G60</f>
        <v>0</v>
      </c>
      <c r="F74" s="77" t="s">
        <v>27</v>
      </c>
      <c r="G74" s="77" t="str">
        <f t="shared" si="8"/>
        <v>Großfeld</v>
      </c>
      <c r="H74" s="77" t="str">
        <f t="shared" si="6"/>
        <v>7,32x2,44</v>
      </c>
      <c r="I74" s="77" t="str">
        <f t="shared" si="7"/>
        <v>4</v>
      </c>
      <c r="J74" s="77" t="str">
        <f>IF(A74="KM Neufeld","Pleninger Stefan",IF(A74="U16 LL","Josch Kögl",IF(A74="U15 LL Nord","Serdar Ekinci",IF(A74="U14 Nord","Gernot Servelda",IF(A74="U13 Nord","Thomas Pöschl &amp; Lenz Honc",IF(A74="U11 Nord D","Mario Magler&amp;Ronny Archam",IF(A74="U9","Thomas Brandl&amp;Daniel Hofbauer",IF(A74="U8","Berger Tobias&amp;Sebastian Putric",IF(A74="U7","Türkes Ömer&amp;Mahsumi Taha",IF(A74="Camp","Berger Dieter",IF(A74="Turnier","Berger Dieter","FEHLER")))))))))))</f>
        <v>FEHLER</v>
      </c>
      <c r="K74" s="77" t="str">
        <f>IF(A74="KM Neufeld","+43 664 415 99 09",IF(A74="U16 LL","+43 650 262 82 63",IF(A74="U15 LL Nord","+43 650 701 02 44",IF(A74="U14 Nord","+43 676 401 09 13",IF(A74="U13 Nord","+43 677 613 55 114 &amp; +43 664 114 43 52",IF(A74="U11 Nord D","+43 664 762 09 93 &amp; +43 699 111 93 828",IF(A74="U9","+43 676 377 16 30 &amp;  +43 399 197 871 81",IF(A74="U8","+43 660 199 13 52 &amp;  +43 660 914 92 36",IF(A74="U7","+43 676 661 62 26 &amp;  +43 681 208 115 99",IF(A74="Camp","+43 660 77 39 500",IF(A74="Turnier","+43 660 77 39 500","FEHLER")))))))))))</f>
        <v>FEHLER</v>
      </c>
    </row>
    <row r="75" spans="1:11" hidden="1" x14ac:dyDescent="0.3">
      <c r="A75" t="str">
        <f>Heimspiele!C76</f>
        <v>U7</v>
      </c>
      <c r="B75" s="69">
        <f>Heimspiele!D76</f>
        <v>46094</v>
      </c>
      <c r="C75" s="69"/>
      <c r="D75">
        <f>Heimspiele!F76</f>
        <v>0</v>
      </c>
      <c r="E75">
        <f>Heimspiele!G76</f>
        <v>0</v>
      </c>
      <c r="F75" t="s">
        <v>18</v>
      </c>
      <c r="G75" t="str">
        <f t="shared" si="8"/>
        <v>Großfeld</v>
      </c>
      <c r="H75" t="str">
        <f t="shared" si="6"/>
        <v>7,32x2,44</v>
      </c>
      <c r="I75" t="str">
        <f t="shared" si="7"/>
        <v>5</v>
      </c>
      <c r="J75" t="str">
        <f>IF(A75="KM Neufeld","Pleninger Stefan",IF(A75="U16 LL","Josch Kögl",IF(A75="U15 LL Nord","Serdar Ekinci",IF(A75="U14 Nord","Gernot Servelda",IF(A75="U13 - Nord","Thomas Pöschl &amp; Lenz Honc",IF(A75="U11 Nord D","Mario Magler&amp;Ronny Archam",IF(A75="U9","Thomas Brandl&amp;Daniel Hofbauer",IF(A75="U8","Berger Tobias&amp;Sebastian Putric",IF(A75="U7","Türkes Ömer&amp;Mahsumi Taha",IF(A75="Camp","Berger Dieter",IF(A75="Turnier","Berger Dieter","FEHLER")))))))))))</f>
        <v>Türkes Ömer&amp;Mahsumi Taha</v>
      </c>
      <c r="K75" t="str">
        <f>IF(A75="KM Neufeld","+43 664 415 99 09",IF(A75="U16 LL","+43 650 262 82 63",IF(A75="U15 LL Nord","+43 650 701 02 44",IF(A75="U14 - Nord","+43 676 401 09 13",IF(A75="U13 - Nord","+43 677 613 55 114 &amp; +43 664 114 43 52",IF(A75="U11 Nord D","+43 664 762 09 93 &amp; +43 699 111 93 828",IF(A75="U9","+43 676 377 16 30 &amp;  +43 399 197 871 81",IF(A75="U8","+43 660 199 13 52 &amp;  +43 660 914 92 36",IF(A75="U7","+43 676 661 62 26 &amp;  +43 681 208 115 99",IF(A75="Camp","+43 660 77 39 500",IF(A75="Turnier","+43 660 77 39 500","FEHLER")))))))))))</f>
        <v>+43 676 661 62 26 &amp;  +43 681 208 115 99</v>
      </c>
    </row>
    <row r="76" spans="1:11" hidden="1" x14ac:dyDescent="0.3">
      <c r="A76" t="str">
        <f>Heimspiele!C77</f>
        <v>U7</v>
      </c>
      <c r="B76" s="69">
        <f>Heimspiele!D77</f>
        <v>46095</v>
      </c>
      <c r="C76" s="69"/>
      <c r="D76">
        <f>Heimspiele!F77</f>
        <v>0</v>
      </c>
      <c r="E76">
        <f>Heimspiele!G77</f>
        <v>0</v>
      </c>
      <c r="F76" t="s">
        <v>18</v>
      </c>
      <c r="G76" t="str">
        <f t="shared" si="8"/>
        <v>Großfeld</v>
      </c>
      <c r="H76" t="str">
        <f t="shared" si="6"/>
        <v>7,32x2,44</v>
      </c>
      <c r="I76" t="str">
        <f t="shared" si="7"/>
        <v>5</v>
      </c>
      <c r="J76" t="str">
        <f>IF(A76="KM Neufeld","Pleninger Stefan",IF(A76="U16 LL","Josch Kögl",IF(A76="U15 LL Nord","Serdar Ekinci",IF(A76="U14 Nord","Gernot Servelda",IF(A76="U13 - Nord","Thomas Pöschl &amp; Lenz Honc",IF(A76="U11 Nord D","Mario Magler&amp;Ronny Archam",IF(A76="U9","Thomas Brandl&amp;Daniel Hofbauer",IF(A76="U8","Berger Tobias&amp;Sebastian Putric",IF(A76="U7","Türkes Ömer&amp;Mahsumi Taha",IF(A76="Camp","Berger Dieter",IF(A76="Turnier","Berger Dieter","FEHLER")))))))))))</f>
        <v>Türkes Ömer&amp;Mahsumi Taha</v>
      </c>
      <c r="K76" t="str">
        <f>IF(A76="KM Neufeld","+43 664 415 99 09",IF(A76="U16 LL","+43 650 262 82 63",IF(A76="U15 LL Nord","+43 650 701 02 44",IF(A76="U14 - Nord","+43 676 401 09 13",IF(A76="U13 - Nord","+43 677 613 55 114 &amp; +43 664 114 43 52",IF(A76="U11 Nord D","+43 664 762 09 93 &amp; +43 699 111 93 828",IF(A76="U9","+43 676 377 16 30 &amp;  +43 399 197 871 81",IF(A76="U8","+43 660 199 13 52 &amp;  +43 660 914 92 36",IF(A76="U7","+43 676 661 62 26 &amp;  +43 681 208 115 99",IF(A76="Camp","+43 660 77 39 500",IF(A76="Turnier","+43 660 77 39 500","FEHLER")))))))))))</f>
        <v>+43 676 661 62 26 &amp;  +43 681 208 115 99</v>
      </c>
    </row>
    <row r="77" spans="1:11" hidden="1" x14ac:dyDescent="0.3">
      <c r="A77" t="str">
        <f>Heimspiele!C78</f>
        <v>U7</v>
      </c>
      <c r="B77" s="69">
        <f>Heimspiele!D78</f>
        <v>46096</v>
      </c>
      <c r="C77" s="69"/>
      <c r="D77">
        <f>Heimspiele!F78</f>
        <v>0</v>
      </c>
      <c r="E77">
        <f>Heimspiele!G78</f>
        <v>0</v>
      </c>
      <c r="F77" t="s">
        <v>18</v>
      </c>
      <c r="G77" t="str">
        <f t="shared" si="8"/>
        <v>Großfeld</v>
      </c>
      <c r="H77" t="str">
        <f t="shared" si="6"/>
        <v>7,32x2,44</v>
      </c>
      <c r="I77" t="str">
        <f t="shared" si="7"/>
        <v>5</v>
      </c>
      <c r="J77" t="str">
        <f>IF(A77="KM Neufeld","Pleninger Stefan",IF(A77="U16 LL","Josch Kögl",IF(A77="U15 LL Nord","Serdar Ekinci",IF(A77="U14 Nord","Gernot Servelda",IF(A77="U13 - Nord","Thomas Pöschl &amp; Lenz Honc",IF(A77="U11 Nord D","Mario Magler&amp;Ronny Archam",IF(A77="U9","Thomas Brandl&amp;Daniel Hofbauer",IF(A77="U8","Berger Tobias&amp;Sebastian Putric",IF(A77="U7","Türkes Ömer&amp;Mahsumi Taha",IF(A77="Camp","Berger Dieter",IF(A77="Turnier","Berger Dieter","FEHLER")))))))))))</f>
        <v>Türkes Ömer&amp;Mahsumi Taha</v>
      </c>
      <c r="K77" t="str">
        <f>IF(A77="KM Neufeld","+43 664 415 99 09",IF(A77="U16 LL","+43 650 262 82 63",IF(A77="U15 LL Nord","+43 650 701 02 44",IF(A77="U14 - Nord","+43 676 401 09 13",IF(A77="U13 - Nord","+43 677 613 55 114 &amp; +43 664 114 43 52",IF(A77="U11 Nord D","+43 664 762 09 93 &amp; +43 699 111 93 828",IF(A77="U9","+43 676 377 16 30 &amp;  +43 399 197 871 81",IF(A77="U8","+43 660 199 13 52 &amp;  +43 660 914 92 36",IF(A77="U7","+43 676 661 62 26 &amp;  +43 681 208 115 99",IF(A77="Camp","+43 660 77 39 500",IF(A77="Turnier","+43 660 77 39 500","FEHLER")))))))))))</f>
        <v>+43 676 661 62 26 &amp;  +43 681 208 115 99</v>
      </c>
    </row>
    <row r="78" spans="1:11" hidden="1" x14ac:dyDescent="0.3">
      <c r="A78" t="str">
        <f>Heimspiele!C79</f>
        <v>U7</v>
      </c>
      <c r="B78" s="69">
        <f>Heimspiele!D79</f>
        <v>46097</v>
      </c>
      <c r="C78" s="69"/>
      <c r="D78">
        <f>Heimspiele!F79</f>
        <v>0</v>
      </c>
      <c r="E78">
        <f>Heimspiele!G79</f>
        <v>0</v>
      </c>
      <c r="F78" t="s">
        <v>18</v>
      </c>
      <c r="G78" t="str">
        <f t="shared" si="8"/>
        <v>Großfeld</v>
      </c>
      <c r="H78" t="str">
        <f t="shared" si="6"/>
        <v>7,32x2,44</v>
      </c>
      <c r="I78" t="str">
        <f t="shared" si="7"/>
        <v>5</v>
      </c>
      <c r="J78" t="str">
        <f>IF(A78="KM Neufeld","Pleninger Stefan",IF(A78="U16 LL","Josch Kögl",IF(A78="U15 LL Nord","Serdar Ekinci",IF(A78="U14 Nord","Gernot Servelda",IF(A78="U13 - Nord","Thomas Pöschl &amp; Lenz Honc",IF(A78="U11 Nord D","Mario Magler&amp;Ronny Archam",IF(A78="U9","Thomas Brandl&amp;Daniel Hofbauer",IF(A78="U8","Berger Tobias&amp;Sebastian Putric",IF(A78="U7","Türkes Ömer&amp;Mahsumi Taha",IF(A78="Camp","Berger Dieter",IF(A78="Turnier","Berger Dieter","FEHLER")))))))))))</f>
        <v>Türkes Ömer&amp;Mahsumi Taha</v>
      </c>
      <c r="K78" t="str">
        <f>IF(A78="KM Neufeld","+43 664 415 99 09",IF(A78="U16 LL","+43 650 262 82 63",IF(A78="U15 LL Nord","+43 650 701 02 44",IF(A78="U14 - Nord","+43 676 401 09 13",IF(A78="U13 - Nord","+43 677 613 55 114 &amp; +43 664 114 43 52",IF(A78="U11 Nord D","+43 664 762 09 93 &amp; +43 699 111 93 828",IF(A78="U9","+43 676 377 16 30 &amp;  +43 399 197 871 81",IF(A78="U8","+43 660 199 13 52 &amp;  +43 660 914 92 36",IF(A78="U7","+43 676 661 62 26 &amp;  +43 681 208 115 99",IF(A78="Camp","+43 660 77 39 500",IF(A78="Turnier","+43 660 77 39 500","FEHLER")))))))))))</f>
        <v>+43 676 661 62 26 &amp;  +43 681 208 115 99</v>
      </c>
    </row>
    <row r="79" spans="1:11" ht="15.6" x14ac:dyDescent="0.3">
      <c r="A79" s="77" t="str">
        <f>Heimspiele!C62</f>
        <v>U14</v>
      </c>
      <c r="B79" s="78">
        <f>Heimspiele!D62</f>
        <v>46041</v>
      </c>
      <c r="C79" s="79">
        <f>Heimspiele!E62</f>
        <v>0</v>
      </c>
      <c r="D79" s="77">
        <f>Heimspiele!F62</f>
        <v>0</v>
      </c>
      <c r="E79" s="77">
        <f>Heimspiele!G62</f>
        <v>0</v>
      </c>
      <c r="F79" s="77" t="s">
        <v>27</v>
      </c>
      <c r="G79" s="77" t="str">
        <f t="shared" si="8"/>
        <v>Großfeld</v>
      </c>
      <c r="H79" s="77" t="str">
        <f t="shared" si="6"/>
        <v>7,32x2,44</v>
      </c>
      <c r="I79" s="77" t="str">
        <f t="shared" si="7"/>
        <v>4</v>
      </c>
      <c r="J79" s="77" t="str">
        <f t="shared" ref="J79:J87" si="9">IF(A79="KM Neufeld","Pleninger Stefan",IF(A79="U16 LL","Josch Kögl",IF(A79="U15 LL Nord","Serdar Ekinci",IF(A79="U14 Nord","Gernot Servelda",IF(A79="U13 Nord","Thomas Pöschl &amp; Lenz Honc",IF(A79="U11 Nord D","Mario Magler&amp;Ronny Archam",IF(A79="U9","Thomas Brandl&amp;Daniel Hofbauer",IF(A79="U8","Berger Tobias&amp;Sebastian Putric",IF(A79="U7","Türkes Ömer&amp;Mahsumi Taha",IF(A79="Camp","Berger Dieter",IF(A79="Turnier","Berger Dieter","FEHLER")))))))))))</f>
        <v>FEHLER</v>
      </c>
      <c r="K79" s="77" t="str">
        <f t="shared" ref="K79:K87" si="10">IF(A79="KM Neufeld","+43 664 415 99 09",IF(A79="U16 LL","+43 650 262 82 63",IF(A79="U15 LL Nord","+43 650 701 02 44",IF(A79="U14 Nord","+43 676 401 09 13",IF(A79="U13 Nord","+43 677 613 55 114 &amp; +43 664 114 43 52",IF(A79="U11 Nord D","+43 664 762 09 93 &amp; +43 699 111 93 828",IF(A79="U9","+43 676 377 16 30 &amp;  +43 399 197 871 81",IF(A79="U8","+43 660 199 13 52 &amp;  +43 660 914 92 36",IF(A79="U7","+43 676 661 62 26 &amp;  +43 681 208 115 99",IF(A79="Camp","+43 660 77 39 500",IF(A79="Turnier","+43 660 77 39 500","FEHLER")))))))))))</f>
        <v>FEHLER</v>
      </c>
    </row>
    <row r="80" spans="1:11" ht="15.6" x14ac:dyDescent="0.3">
      <c r="A80" s="77" t="str">
        <f>Heimspiele!C65</f>
        <v>U11</v>
      </c>
      <c r="B80" s="78">
        <f>Heimspiele!D65</f>
        <v>46164</v>
      </c>
      <c r="C80" s="79">
        <f>Heimspiele!E65</f>
        <v>0.70833333333333337</v>
      </c>
      <c r="D80" s="77">
        <f>Heimspiele!F65</f>
        <v>0</v>
      </c>
      <c r="E80" s="77">
        <f>Heimspiele!G65</f>
        <v>0</v>
      </c>
      <c r="F80" s="77" t="s">
        <v>19</v>
      </c>
      <c r="G80" s="77" t="str">
        <f t="shared" si="8"/>
        <v>55x40</v>
      </c>
      <c r="H80" s="77" t="str">
        <f t="shared" si="6"/>
        <v>5x2</v>
      </c>
      <c r="I80" s="77" t="str">
        <f t="shared" si="7"/>
        <v>4</v>
      </c>
      <c r="J80" s="77" t="str">
        <f t="shared" si="9"/>
        <v>FEHLER</v>
      </c>
      <c r="K80" s="77" t="str">
        <f t="shared" si="10"/>
        <v>FEHLER</v>
      </c>
    </row>
    <row r="81" spans="1:11" ht="15.6" x14ac:dyDescent="0.3">
      <c r="A81" s="77" t="str">
        <f>Heimspiele!C70</f>
        <v>U12_1</v>
      </c>
      <c r="B81" s="78">
        <f>Heimspiele!D70</f>
        <v>46048</v>
      </c>
      <c r="C81" s="79">
        <f>Heimspiele!E70</f>
        <v>0</v>
      </c>
      <c r="D81" s="77">
        <f>Heimspiele!F70</f>
        <v>0</v>
      </c>
      <c r="E81" s="77">
        <f>Heimspiele!G70</f>
        <v>0</v>
      </c>
      <c r="F81" s="77" t="s">
        <v>14</v>
      </c>
      <c r="G81" s="77" t="str">
        <f t="shared" si="8"/>
        <v>75x55</v>
      </c>
      <c r="H81" s="77" t="str">
        <f t="shared" si="6"/>
        <v>5x2</v>
      </c>
      <c r="I81" s="77" t="str">
        <f t="shared" si="7"/>
        <v>4</v>
      </c>
      <c r="J81" s="77" t="str">
        <f t="shared" si="9"/>
        <v>FEHLER</v>
      </c>
      <c r="K81" s="77" t="str">
        <f t="shared" si="10"/>
        <v>FEHLER</v>
      </c>
    </row>
    <row r="82" spans="1:11" ht="15.6" x14ac:dyDescent="0.3">
      <c r="A82" s="77" t="str">
        <f>Heimspiele!C75</f>
        <v>KM</v>
      </c>
      <c r="B82" s="78">
        <f>Heimspiele!D75</f>
        <v>46333</v>
      </c>
      <c r="C82" s="79">
        <f>Heimspiele!E75</f>
        <v>0.58333333333333337</v>
      </c>
      <c r="D82" s="77" t="str">
        <f>Heimspiele!F75</f>
        <v>Neufeld</v>
      </c>
      <c r="E82" s="77" t="str">
        <f>Heimspiele!G75</f>
        <v>Andau</v>
      </c>
      <c r="F82" s="77" t="s">
        <v>18</v>
      </c>
      <c r="G82" s="77" t="str">
        <f t="shared" si="8"/>
        <v>Großfeld</v>
      </c>
      <c r="H82" s="77" t="str">
        <f t="shared" si="6"/>
        <v>7,32x2,44</v>
      </c>
      <c r="I82" s="77" t="str">
        <f t="shared" si="7"/>
        <v>5</v>
      </c>
      <c r="J82" s="77" t="str">
        <f t="shared" si="9"/>
        <v>FEHLER</v>
      </c>
      <c r="K82" s="77" t="str">
        <f t="shared" si="10"/>
        <v>FEHLER</v>
      </c>
    </row>
    <row r="83" spans="1:11" ht="15.6" x14ac:dyDescent="0.3">
      <c r="A83" s="77" t="str">
        <f>Heimspiele!C80</f>
        <v>U12_1</v>
      </c>
      <c r="B83" s="78">
        <f>Heimspiele!D80</f>
        <v>46050</v>
      </c>
      <c r="C83" s="79">
        <f>Heimspiele!E80</f>
        <v>0</v>
      </c>
      <c r="D83" s="77">
        <f>Heimspiele!F80</f>
        <v>0</v>
      </c>
      <c r="E83" s="77">
        <f>Heimspiele!G80</f>
        <v>0</v>
      </c>
      <c r="F83" s="77" t="s">
        <v>14</v>
      </c>
      <c r="G83" s="77" t="str">
        <f t="shared" si="8"/>
        <v>75x55</v>
      </c>
      <c r="H83" s="77" t="str">
        <f t="shared" si="6"/>
        <v>5x2</v>
      </c>
      <c r="I83" s="77" t="str">
        <f t="shared" si="7"/>
        <v>4</v>
      </c>
      <c r="J83" s="77" t="str">
        <f t="shared" si="9"/>
        <v>FEHLER</v>
      </c>
      <c r="K83" s="77" t="str">
        <f t="shared" si="10"/>
        <v>FEHLER</v>
      </c>
    </row>
    <row r="84" spans="1:11" ht="15.6" x14ac:dyDescent="0.3">
      <c r="A84" s="77" t="e">
        <f>Heimspiele!C81</f>
        <v>#REF!</v>
      </c>
      <c r="B84" s="78" t="e">
        <f>Heimspiele!D81</f>
        <v>#REF!</v>
      </c>
      <c r="C84" s="79" t="e">
        <f>Heimspiele!E81</f>
        <v>#REF!</v>
      </c>
      <c r="D84" s="77" t="e">
        <f>Heimspiele!F81</f>
        <v>#REF!</v>
      </c>
      <c r="E84" s="77" t="e">
        <f>Heimspiele!G81</f>
        <v>#REF!</v>
      </c>
      <c r="F84" s="77" t="s">
        <v>27</v>
      </c>
      <c r="G84" s="77" t="str">
        <f t="shared" si="8"/>
        <v>Großfeld</v>
      </c>
      <c r="H84" s="77" t="str">
        <f t="shared" si="6"/>
        <v>7,32x2,44</v>
      </c>
      <c r="I84" s="77" t="str">
        <f t="shared" si="7"/>
        <v>4</v>
      </c>
      <c r="J84" s="77" t="e">
        <f t="shared" si="9"/>
        <v>#REF!</v>
      </c>
      <c r="K84" s="77" t="e">
        <f t="shared" si="10"/>
        <v>#REF!</v>
      </c>
    </row>
    <row r="85" spans="1:11" ht="15.6" x14ac:dyDescent="0.3">
      <c r="A85" s="77" t="str">
        <f>Heimspiele!C82</f>
        <v>U16</v>
      </c>
      <c r="B85" s="78">
        <f>Heimspiele!D82</f>
        <v>46032</v>
      </c>
      <c r="C85" s="79">
        <f>Heimspiele!E82</f>
        <v>0</v>
      </c>
      <c r="D85" s="77">
        <f>Heimspiele!F82</f>
        <v>0</v>
      </c>
      <c r="E85" s="77">
        <f>Heimspiele!G82</f>
        <v>0</v>
      </c>
      <c r="F85" s="77" t="s">
        <v>48</v>
      </c>
      <c r="G85" s="77" t="str">
        <f t="shared" si="8"/>
        <v>Großfeld</v>
      </c>
      <c r="H85" s="77" t="str">
        <f t="shared" si="6"/>
        <v>7,32x2,44</v>
      </c>
      <c r="I85" s="77" t="str">
        <f t="shared" si="7"/>
        <v>5</v>
      </c>
      <c r="J85" s="77" t="str">
        <f t="shared" si="9"/>
        <v>FEHLER</v>
      </c>
      <c r="K85" s="77" t="str">
        <f t="shared" si="10"/>
        <v>FEHLER</v>
      </c>
    </row>
    <row r="86" spans="1:11" ht="15.6" x14ac:dyDescent="0.3">
      <c r="A86" s="74" t="e">
        <f>Heimspiele!C83</f>
        <v>#REF!</v>
      </c>
      <c r="B86" s="75" t="e">
        <f>Heimspiele!D83</f>
        <v>#REF!</v>
      </c>
      <c r="C86" s="76" t="e">
        <f>Heimspiele!E83</f>
        <v>#REF!</v>
      </c>
      <c r="D86" s="74" t="e">
        <f>Heimspiele!F83</f>
        <v>#REF!</v>
      </c>
      <c r="E86" s="74" t="e">
        <f>Heimspiele!G83</f>
        <v>#REF!</v>
      </c>
      <c r="F86" s="74" t="s">
        <v>80</v>
      </c>
      <c r="G86" s="74" t="str">
        <f t="shared" si="8"/>
        <v>25x20</v>
      </c>
      <c r="H86" s="74" t="str">
        <f>IF(F86="Großfeld","7,32x2,44",IF(F86="U16","7,32x2,44",IF(F86="U15","7,32x2,44",IF(F86="U14","7,32x2,44",IF(F86="U13","5x2",IF(F86="U11/U12","5x2",IF(F86="U9/U10","5x2",IF(F86="Turnier","5x2","4 Minitore"))))))))</f>
        <v>5x2</v>
      </c>
      <c r="I86" s="74" t="str">
        <f t="shared" si="7"/>
        <v>3</v>
      </c>
      <c r="J86" s="74" t="e">
        <f t="shared" si="9"/>
        <v>#REF!</v>
      </c>
      <c r="K86" s="74" t="e">
        <f t="shared" si="10"/>
        <v>#REF!</v>
      </c>
    </row>
    <row r="87" spans="1:11" ht="15.6" x14ac:dyDescent="0.3">
      <c r="A87" s="74" t="str">
        <f>Heimspiele!C84</f>
        <v>GGG</v>
      </c>
      <c r="B87" s="75">
        <f>Heimspiele!D84</f>
        <v>46256</v>
      </c>
      <c r="C87" s="76">
        <f>Heimspiele!E84</f>
        <v>0.375</v>
      </c>
      <c r="D87" s="74" t="str">
        <f>Heimspiele!F84</f>
        <v>Neufeld</v>
      </c>
      <c r="E87" s="74" t="str">
        <f>Heimspiele!G84</f>
        <v>viele Gegner</v>
      </c>
      <c r="F87" s="74" t="s">
        <v>80</v>
      </c>
      <c r="G87" s="74" t="str">
        <f t="shared" si="8"/>
        <v>25x20</v>
      </c>
      <c r="H87" s="74" t="str">
        <f>IF(F87="Großfeld","7,32x2,44",IF(F87="U16","7,32x2,44",IF(F87="U15","7,32x2,44",IF(F87="U14","7,32x2,44",IF(F87="U13","5x2",IF(F87="U11/U12","5x2",IF(F87="U9/U10","5x2",IF(F86="Turnier","5x2","4 Minitore"))))))))</f>
        <v>5x2</v>
      </c>
      <c r="I87" s="74" t="str">
        <f t="shared" si="7"/>
        <v>3</v>
      </c>
      <c r="J87" s="74" t="str">
        <f t="shared" si="9"/>
        <v>FEHLER</v>
      </c>
      <c r="K87" s="74" t="str">
        <f t="shared" si="10"/>
        <v>FEHLER</v>
      </c>
    </row>
  </sheetData>
  <autoFilter ref="A1:K83" xr:uid="{AB70293D-27F4-4BF1-B27D-4241A508821A}">
    <filterColumn colId="3">
      <filters>
        <filter val="Neufeld"/>
      </filters>
    </filterColumn>
    <sortState xmlns:xlrd2="http://schemas.microsoft.com/office/spreadsheetml/2017/richdata2" ref="A2:K87">
      <sortCondition ref="B1:B83"/>
    </sortState>
  </autoFilter>
  <pageMargins left="3.937007874015748E-2" right="3.937007874015748E-2" top="1.3385826771653544" bottom="0.74803149606299213" header="0.31496062992125984" footer="0.31496062992125984"/>
  <pageSetup paperSize="8" scale="76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65EA26-3DBC-4E60-A609-E8FEDD19B7F6}">
  <dimension ref="A1"/>
  <sheetViews>
    <sheetView workbookViewId="0">
      <selection activeCell="A654" sqref="A1:B654"/>
    </sheetView>
  </sheetViews>
  <sheetFormatPr baseColWidth="10" defaultRowHeight="14.4" x14ac:dyDescent="0.3"/>
  <sheetData/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8</vt:i4>
      </vt:variant>
    </vt:vector>
  </HeadingPairs>
  <TitlesOfParts>
    <vt:vector size="8" baseType="lpstr">
      <vt:lpstr>Nach Mannschaften sortiert</vt:lpstr>
      <vt:lpstr>ICS2</vt:lpstr>
      <vt:lpstr>Kalendernamen</vt:lpstr>
      <vt:lpstr>Trainingsplan</vt:lpstr>
      <vt:lpstr>Heimspiele</vt:lpstr>
      <vt:lpstr>Tabelle1</vt:lpstr>
      <vt:lpstr>Stefans Liste 2026</vt:lpstr>
      <vt:lpstr>Tabelle2</vt:lpstr>
    </vt:vector>
  </TitlesOfParts>
  <Company>BRZ GmbH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Berger Dieter</dc:creator>
  <cp:lastModifiedBy>dieter berger</cp:lastModifiedBy>
  <cp:lastPrinted>2026-03-11T14:46:58Z</cp:lastPrinted>
  <dcterms:created xsi:type="dcterms:W3CDTF">2017-08-10T11:50:27Z</dcterms:created>
  <dcterms:modified xsi:type="dcterms:W3CDTF">2026-07-01T11:17:28Z</dcterms:modified>
</cp:coreProperties>
</file>
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10-09-02 Finanz- &amp; Kontrollanwendungen\Benutzer\Berger\ASVNeufeld\2026_27\"/>
    </mc:Choice>
  </mc:AlternateContent>
  <xr:revisionPtr revIDLastSave="0" documentId="13_ncr:1_{71834DE2-1223-4CEC-998B-D7C46694909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B 2026_27" sheetId="6" r:id="rId1"/>
    <sheet name="Trainingsplan" sheetId="19" r:id="rId2"/>
    <sheet name="Trainer-Entgelt 2026_27" sheetId="7" r:id="rId3"/>
    <sheet name="TECO7-Camp Herbst" sheetId="1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8" i="6" l="1"/>
  <c r="J137" i="6"/>
  <c r="S26" i="6"/>
  <c r="O26" i="6"/>
  <c r="S25" i="6"/>
  <c r="O25" i="6"/>
  <c r="S24" i="6"/>
  <c r="O24" i="6"/>
  <c r="S23" i="6"/>
  <c r="O23" i="6"/>
  <c r="S22" i="6"/>
  <c r="O22" i="6"/>
  <c r="S21" i="6"/>
  <c r="O21" i="6"/>
  <c r="S20" i="6"/>
  <c r="O20" i="6"/>
  <c r="S19" i="6"/>
  <c r="O19" i="6"/>
  <c r="S18" i="6"/>
  <c r="O18" i="6"/>
  <c r="S17" i="6"/>
  <c r="O17" i="6"/>
  <c r="S16" i="6"/>
  <c r="O16" i="6"/>
  <c r="S15" i="6"/>
  <c r="O15" i="6"/>
  <c r="S14" i="6"/>
  <c r="O14" i="6"/>
  <c r="S13" i="6"/>
  <c r="O13" i="6"/>
  <c r="O3" i="6"/>
  <c r="O4" i="6"/>
  <c r="O5" i="6"/>
  <c r="O6" i="6"/>
  <c r="O7" i="6"/>
  <c r="O8" i="6"/>
  <c r="O9" i="6"/>
  <c r="O10" i="6"/>
  <c r="O11" i="6"/>
  <c r="O12" i="6"/>
  <c r="S3" i="6"/>
  <c r="S4" i="6"/>
  <c r="S5" i="6"/>
  <c r="S6" i="6"/>
  <c r="S7" i="6"/>
  <c r="S8" i="6"/>
  <c r="S9" i="6"/>
  <c r="S10" i="6"/>
  <c r="S11" i="6"/>
  <c r="S12" i="6"/>
  <c r="P130" i="6"/>
  <c r="Q130" i="6"/>
  <c r="S43" i="6"/>
  <c r="S30" i="6"/>
  <c r="S31" i="6"/>
  <c r="S32" i="6"/>
  <c r="S33" i="6"/>
  <c r="S34" i="6"/>
  <c r="S35" i="6"/>
  <c r="S129" i="6"/>
  <c r="O129" i="6"/>
  <c r="S105" i="6"/>
  <c r="O105" i="6"/>
  <c r="L105" i="6"/>
  <c r="O27" i="6"/>
  <c r="O28" i="6"/>
  <c r="O29" i="6"/>
  <c r="O30" i="6"/>
  <c r="O31" i="6"/>
  <c r="O32" i="6"/>
  <c r="O33" i="6"/>
  <c r="O34" i="6"/>
  <c r="O35" i="6"/>
  <c r="O36" i="6"/>
  <c r="O37" i="6"/>
  <c r="O43" i="6"/>
  <c r="S84" i="6"/>
  <c r="O84" i="6"/>
  <c r="L84" i="6"/>
  <c r="S83" i="6"/>
  <c r="O83" i="6"/>
  <c r="L83" i="6"/>
  <c r="S82" i="6"/>
  <c r="O82" i="6"/>
  <c r="L82" i="6"/>
  <c r="S93" i="6"/>
  <c r="O93" i="6"/>
  <c r="L93" i="6"/>
  <c r="S92" i="6"/>
  <c r="O92" i="6"/>
  <c r="S91" i="6"/>
  <c r="O91" i="6"/>
  <c r="S90" i="6"/>
  <c r="O90" i="6"/>
  <c r="L90" i="6"/>
  <c r="S89" i="6"/>
  <c r="O89" i="6"/>
  <c r="L89" i="6"/>
  <c r="S63" i="6"/>
  <c r="O63" i="6"/>
  <c r="L63" i="6"/>
  <c r="S37" i="6"/>
  <c r="S29" i="6"/>
  <c r="O104" i="6"/>
  <c r="S104" i="6"/>
  <c r="O38" i="6"/>
  <c r="O39" i="6"/>
  <c r="O40" i="6"/>
  <c r="O41" i="6"/>
  <c r="O42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5" i="6"/>
  <c r="O86" i="6"/>
  <c r="O87" i="6"/>
  <c r="O88" i="6"/>
  <c r="O94" i="6"/>
  <c r="O95" i="6"/>
  <c r="O96" i="6"/>
  <c r="O98" i="6"/>
  <c r="O99" i="6"/>
  <c r="O100" i="6"/>
  <c r="O101" i="6"/>
  <c r="O102" i="6"/>
  <c r="O103" i="6"/>
  <c r="O97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F14" i="7"/>
  <c r="F15" i="7"/>
  <c r="F17" i="7"/>
  <c r="F18" i="7"/>
  <c r="S44" i="6"/>
  <c r="S49" i="6"/>
  <c r="O130" i="6" l="1"/>
  <c r="S28" i="6"/>
  <c r="S36" i="6"/>
  <c r="S38" i="6"/>
  <c r="S39" i="6"/>
  <c r="S40" i="6"/>
  <c r="S41" i="6"/>
  <c r="S42" i="6"/>
  <c r="S45" i="6"/>
  <c r="S46" i="6"/>
  <c r="S47" i="6"/>
  <c r="S48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4" i="6"/>
  <c r="S65" i="6"/>
  <c r="S66" i="6"/>
  <c r="S67" i="6"/>
  <c r="S68" i="6"/>
  <c r="S69" i="6"/>
  <c r="S70" i="6"/>
  <c r="S71" i="6"/>
  <c r="S72" i="6"/>
  <c r="S73" i="6"/>
  <c r="S74" i="6"/>
  <c r="S80" i="6"/>
  <c r="S75" i="6"/>
  <c r="S76" i="6"/>
  <c r="S77" i="6"/>
  <c r="S78" i="6"/>
  <c r="S79" i="6"/>
  <c r="S81" i="6"/>
  <c r="S85" i="6"/>
  <c r="S86" i="6"/>
  <c r="S87" i="6"/>
  <c r="S88" i="6"/>
  <c r="S94" i="6"/>
  <c r="S95" i="6"/>
  <c r="S96" i="6"/>
  <c r="S98" i="6"/>
  <c r="S99" i="6"/>
  <c r="S100" i="6"/>
  <c r="S101" i="6"/>
  <c r="S102" i="6"/>
  <c r="S103" i="6"/>
  <c r="S97" i="6"/>
  <c r="S106" i="6"/>
  <c r="S107" i="6"/>
  <c r="S108" i="6"/>
  <c r="S109" i="6"/>
  <c r="S110" i="6"/>
  <c r="S111" i="6"/>
  <c r="S112" i="6"/>
  <c r="S113" i="6"/>
  <c r="S114" i="6"/>
  <c r="S115" i="6"/>
  <c r="S117" i="6"/>
  <c r="S118" i="6"/>
  <c r="S119" i="6"/>
  <c r="S120" i="6"/>
  <c r="S121" i="6"/>
  <c r="S122" i="6"/>
  <c r="S123" i="6"/>
  <c r="S124" i="6"/>
  <c r="S116" i="6"/>
  <c r="S125" i="6"/>
  <c r="S126" i="6"/>
  <c r="S127" i="6"/>
  <c r="S128" i="6"/>
  <c r="S27" i="6"/>
  <c r="L69" i="6"/>
  <c r="L81" i="6"/>
  <c r="M21" i="7"/>
  <c r="E14" i="7"/>
  <c r="E15" i="7"/>
  <c r="E16" i="7"/>
  <c r="E17" i="7"/>
  <c r="E18" i="7"/>
  <c r="F2" i="7"/>
  <c r="F30" i="7" s="1"/>
  <c r="F31" i="7" s="1"/>
  <c r="E2" i="7"/>
  <c r="E32" i="7"/>
  <c r="L128" i="6"/>
  <c r="L127" i="6"/>
  <c r="L126" i="6"/>
  <c r="L125" i="6"/>
  <c r="L116" i="6"/>
  <c r="L124" i="6"/>
  <c r="L123" i="6"/>
  <c r="L122" i="6"/>
  <c r="L121" i="6"/>
  <c r="L120" i="6"/>
  <c r="L119" i="6"/>
  <c r="L117" i="6"/>
  <c r="L113" i="6"/>
  <c r="L112" i="6"/>
  <c r="L111" i="6"/>
  <c r="L110" i="6"/>
  <c r="L109" i="6"/>
  <c r="L108" i="6"/>
  <c r="L107" i="6"/>
  <c r="L106" i="6"/>
  <c r="L97" i="6"/>
  <c r="L103" i="6"/>
  <c r="L102" i="6"/>
  <c r="L101" i="6"/>
  <c r="L100" i="6"/>
  <c r="L99" i="6"/>
  <c r="L98" i="6"/>
  <c r="L96" i="6"/>
  <c r="L95" i="6"/>
  <c r="L94" i="6"/>
  <c r="L88" i="6"/>
  <c r="L87" i="6"/>
  <c r="L86" i="6"/>
  <c r="L85" i="6"/>
  <c r="L79" i="6"/>
  <c r="L78" i="6"/>
  <c r="L77" i="6"/>
  <c r="L76" i="6"/>
  <c r="L80" i="6"/>
  <c r="L74" i="6"/>
  <c r="L71" i="6"/>
  <c r="L70" i="6"/>
  <c r="L68" i="6"/>
  <c r="L65" i="6"/>
  <c r="L64" i="6"/>
  <c r="L62" i="6"/>
  <c r="L61" i="6"/>
  <c r="L59" i="6"/>
  <c r="L57" i="6"/>
  <c r="L56" i="6"/>
  <c r="L55" i="6"/>
  <c r="L54" i="6"/>
  <c r="S130" i="6" l="1"/>
  <c r="E30" i="7"/>
  <c r="E31" i="7" s="1"/>
  <c r="F32" i="7"/>
  <c r="F33" i="7" s="1"/>
  <c r="F34" i="7" s="1"/>
  <c r="F35" i="7" s="1"/>
  <c r="F36" i="7" s="1"/>
  <c r="C130" i="6" l="1"/>
</calcChain>
</file>

<file path=xl/sharedStrings.xml><?xml version="1.0" encoding="utf-8"?>
<sst xmlns="http://schemas.openxmlformats.org/spreadsheetml/2006/main" count="971" uniqueCount="601">
  <si>
    <t>U</t>
  </si>
  <si>
    <t>Vorname</t>
  </si>
  <si>
    <t>Nachname</t>
  </si>
  <si>
    <t>Geburtstag</t>
  </si>
  <si>
    <t>Wohnort</t>
  </si>
  <si>
    <t>Straße</t>
  </si>
  <si>
    <t>Tel.</t>
  </si>
  <si>
    <t>E-Mail</t>
  </si>
  <si>
    <t>Julian</t>
  </si>
  <si>
    <t>Putric</t>
  </si>
  <si>
    <t>Neufeld</t>
  </si>
  <si>
    <t>Am Stadtpark 10</t>
  </si>
  <si>
    <t>0664 5401305</t>
  </si>
  <si>
    <t>andrea.haidvogl@gmx.at</t>
  </si>
  <si>
    <t>Hauptstraße 64a</t>
  </si>
  <si>
    <t>0664 5337293</t>
  </si>
  <si>
    <t>frass.m@aon.at</t>
  </si>
  <si>
    <t xml:space="preserve">david </t>
  </si>
  <si>
    <t>Mircionia</t>
  </si>
  <si>
    <t>Schillerstraße 11|1</t>
  </si>
  <si>
    <t>0676 6500996</t>
  </si>
  <si>
    <t>anka_bruny@yahoo.de</t>
  </si>
  <si>
    <t>Marincic</t>
  </si>
  <si>
    <t>Dr. Karl Renner Straße 62</t>
  </si>
  <si>
    <t>0676 6449642</t>
  </si>
  <si>
    <t>magdalena.blazevic1986@gmail.com</t>
  </si>
  <si>
    <t>Zillingdorf/Werk</t>
  </si>
  <si>
    <t>Ghanem</t>
  </si>
  <si>
    <t>Steinbrunn</t>
  </si>
  <si>
    <t xml:space="preserve">Leon </t>
  </si>
  <si>
    <t>Schopf</t>
  </si>
  <si>
    <t>Hauptstraße 116e</t>
  </si>
  <si>
    <t>0699 19239516</t>
  </si>
  <si>
    <t>sandra.stransky@gmx.at</t>
  </si>
  <si>
    <t>Ilyas Nuri</t>
  </si>
  <si>
    <t>Özdemir</t>
  </si>
  <si>
    <t>Wohnpark theodor kery 15/4</t>
  </si>
  <si>
    <t>0660 7737771</t>
  </si>
  <si>
    <t>Nicole_oezdemir@gmx.at</t>
  </si>
  <si>
    <t xml:space="preserve">Adrian </t>
  </si>
  <si>
    <t>Lang</t>
  </si>
  <si>
    <t>Dr. Karl Renner Straße 92</t>
  </si>
  <si>
    <t>0676 4455234</t>
  </si>
  <si>
    <t>tobiaslang1911@gmail.com</t>
  </si>
  <si>
    <t xml:space="preserve">Nils </t>
  </si>
  <si>
    <t>Eitler</t>
  </si>
  <si>
    <t>Landeseggerstraße 5b/1/8</t>
  </si>
  <si>
    <t>0664 1677736</t>
  </si>
  <si>
    <t>Bspanring@gmx.at</t>
  </si>
  <si>
    <t>U8</t>
  </si>
  <si>
    <t>Luca</t>
  </si>
  <si>
    <t>Brandl</t>
  </si>
  <si>
    <t>Neufeld an der Leitha</t>
  </si>
  <si>
    <t>Jutesiedlung 22</t>
  </si>
  <si>
    <t>th.brandl1984@icloud.com</t>
  </si>
  <si>
    <t>Kilian</t>
  </si>
  <si>
    <t>Bernegger</t>
  </si>
  <si>
    <t>Grenzhäuser 2</t>
  </si>
  <si>
    <t>grenzjoe@gmx.at</t>
  </si>
  <si>
    <t>Valentin</t>
  </si>
  <si>
    <t>Hofbauer</t>
  </si>
  <si>
    <t>Jutesiedlung 29</t>
  </si>
  <si>
    <t>danielhofbauer@gmx.at</t>
  </si>
  <si>
    <t>Selina</t>
  </si>
  <si>
    <t>Sevelda</t>
  </si>
  <si>
    <t>Schubertgasse 9</t>
  </si>
  <si>
    <t>cornelia.sevelda@gmail.com</t>
  </si>
  <si>
    <t>Frania</t>
  </si>
  <si>
    <t>Linke Bahngasse 1c</t>
  </si>
  <si>
    <t>franias@hotmail.com</t>
  </si>
  <si>
    <t>Marko</t>
  </si>
  <si>
    <t>Petreski</t>
  </si>
  <si>
    <t>Steinbrunner Straße 11/2/3</t>
  </si>
  <si>
    <t>krispp02@gmail.com</t>
  </si>
  <si>
    <t>Niklas</t>
  </si>
  <si>
    <t>Pottendorf</t>
  </si>
  <si>
    <t>Paul</t>
  </si>
  <si>
    <t>Gruber</t>
  </si>
  <si>
    <t>Ebenfurth</t>
  </si>
  <si>
    <t>Leithastraße 12</t>
  </si>
  <si>
    <t>alexander.gruber@oefb.at</t>
  </si>
  <si>
    <t>U9</t>
  </si>
  <si>
    <t xml:space="preserve">Neufeld </t>
  </si>
  <si>
    <t>Jakov</t>
  </si>
  <si>
    <t xml:space="preserve">Marinčić </t>
  </si>
  <si>
    <t xml:space="preserve">Neufeld an der Leitha </t>
  </si>
  <si>
    <t>Dr. Karl Renner Str. 62</t>
  </si>
  <si>
    <t>0676/6449642</t>
  </si>
  <si>
    <t>Ceri</t>
  </si>
  <si>
    <t>Hauptstraße 5/6/5</t>
  </si>
  <si>
    <t>ebruceri2@gmail.com</t>
  </si>
  <si>
    <t xml:space="preserve">Noah </t>
  </si>
  <si>
    <t xml:space="preserve">Heinrich </t>
  </si>
  <si>
    <t>Hauptstraße 5/6/4</t>
  </si>
  <si>
    <t>0676/4953672</t>
  </si>
  <si>
    <t>sabrina.feik@gmx.at</t>
  </si>
  <si>
    <t>Artner</t>
  </si>
  <si>
    <t>Dr.Stefan-Lehner-Gasse 4</t>
  </si>
  <si>
    <t>066/3333105</t>
  </si>
  <si>
    <t>tanjaartner@gmx.at</t>
  </si>
  <si>
    <t>Finn</t>
  </si>
  <si>
    <t>Leser</t>
  </si>
  <si>
    <t>Gartengasse 20</t>
  </si>
  <si>
    <t>0699/11446804</t>
  </si>
  <si>
    <t>romi.leser@gmx.at</t>
  </si>
  <si>
    <t>Zsombor</t>
  </si>
  <si>
    <t>Ambrus</t>
  </si>
  <si>
    <t>Lenaugasse 13/2</t>
  </si>
  <si>
    <t>0660/3177095</t>
  </si>
  <si>
    <t>ambrus.daniel@gmail.com</t>
  </si>
  <si>
    <t>David</t>
  </si>
  <si>
    <t>Magler</t>
  </si>
  <si>
    <t>Jutesiedlung 32</t>
  </si>
  <si>
    <t>0664/7620993 oder 0664/4405364</t>
  </si>
  <si>
    <t>barbara.magler@hotmail.com</t>
  </si>
  <si>
    <t>Alexander</t>
  </si>
  <si>
    <t>Luzija</t>
  </si>
  <si>
    <t>0660/2001988</t>
  </si>
  <si>
    <t>Felix</t>
  </si>
  <si>
    <t xml:space="preserve">Krautschneider </t>
  </si>
  <si>
    <t>Anton Proksch-Gasse 8</t>
  </si>
  <si>
    <t>0699/10506940</t>
  </si>
  <si>
    <t>michael.krautschneider@stachristiana.at</t>
  </si>
  <si>
    <t xml:space="preserve">Steinbrunn </t>
  </si>
  <si>
    <t>U10</t>
  </si>
  <si>
    <t>Elias</t>
  </si>
  <si>
    <t>Maximilian</t>
  </si>
  <si>
    <t>Markovits</t>
  </si>
  <si>
    <t>Lenaugasse 6
Kolonie 197/13</t>
  </si>
  <si>
    <t>+436641077951
+436641014205</t>
  </si>
  <si>
    <t>s.markovits@huthgastronomie.at
mail@catharinaflieger.com</t>
  </si>
  <si>
    <t xml:space="preserve">Luca </t>
  </si>
  <si>
    <t>Innthaler</t>
  </si>
  <si>
    <t>Hauptstraße 86/2/9</t>
  </si>
  <si>
    <t>06503920167 oder 06503070472</t>
  </si>
  <si>
    <t>ingrid.innthaler@hotmail.com</t>
  </si>
  <si>
    <t>Danin</t>
  </si>
  <si>
    <t>Emurli</t>
  </si>
  <si>
    <t>Dr. Thomas Klestil Straße 13</t>
  </si>
  <si>
    <t>0676/4048745</t>
  </si>
  <si>
    <t>emurli.asmir@gmx.at</t>
  </si>
  <si>
    <t>Stanek</t>
  </si>
  <si>
    <t xml:space="preserve">Taha </t>
  </si>
  <si>
    <t>Özmen</t>
  </si>
  <si>
    <t>Dr.Rudolfkirchkirchschlägerstrasse 7</t>
  </si>
  <si>
    <t>0676/5190759</t>
  </si>
  <si>
    <t>ercanoezmen@hotmail.com</t>
  </si>
  <si>
    <t>Archam</t>
  </si>
  <si>
    <t>Prof. Franz Erntlsiedlung 23b</t>
  </si>
  <si>
    <t>0699/11193828</t>
  </si>
  <si>
    <t>ronny.archam@gmail.com</t>
  </si>
  <si>
    <t>Fabio</t>
  </si>
  <si>
    <t>Hackl</t>
  </si>
  <si>
    <t>Am Föhrenwald 42</t>
  </si>
  <si>
    <t>0650/6283026</t>
  </si>
  <si>
    <t>Christiane_iris@hotmail.com</t>
  </si>
  <si>
    <t>U11</t>
  </si>
  <si>
    <t>2491 Neufeld</t>
  </si>
  <si>
    <t>Berger</t>
  </si>
  <si>
    <t>Theodor-Kery Wohnpark 15/5</t>
  </si>
  <si>
    <t>frisch_eva@gmx.at</t>
  </si>
  <si>
    <t>Utku</t>
  </si>
  <si>
    <t>Cavush</t>
  </si>
  <si>
    <t>2490 Ebenfurth</t>
  </si>
  <si>
    <t>Hauptstraße 65/1/5</t>
  </si>
  <si>
    <t>idris2909@hotmail.com</t>
  </si>
  <si>
    <t>Leon</t>
  </si>
  <si>
    <t>Ingrid.innthaler@hotmail.com</t>
  </si>
  <si>
    <t>Marcel de Jesus</t>
  </si>
  <si>
    <t>Kain Fernandez</t>
  </si>
  <si>
    <t>WP. Theodor Kery 4/15</t>
  </si>
  <si>
    <t>waka106@outlook.com</t>
  </si>
  <si>
    <t>Yannik Maximilian</t>
  </si>
  <si>
    <t>Petsch</t>
  </si>
  <si>
    <t xml:space="preserve">2490 Haschendorf </t>
  </si>
  <si>
    <t>Föhrenstraße 9</t>
  </si>
  <si>
    <t>karstenpetsch@gmail.com</t>
  </si>
  <si>
    <t>U12</t>
  </si>
  <si>
    <t>Lampel</t>
  </si>
  <si>
    <t>Waldgasse 8/7</t>
  </si>
  <si>
    <t>0676/4446974</t>
  </si>
  <si>
    <t>Jennifer.lampel@asvneufeld.at</t>
  </si>
  <si>
    <t>danielhackl@gmx.at</t>
  </si>
  <si>
    <t xml:space="preserve">Sebastian </t>
  </si>
  <si>
    <t>0676/4010913</t>
  </si>
  <si>
    <t>Gernot.sevelda@gmail.com</t>
  </si>
  <si>
    <t>Florian</t>
  </si>
  <si>
    <t>Stadler</t>
  </si>
  <si>
    <t>Professor Franz Erntl Siedlung 18</t>
  </si>
  <si>
    <t>0699/17129996</t>
  </si>
  <si>
    <t>Christoph.stadler@sportlicher.at</t>
  </si>
  <si>
    <t>Jovan</t>
  </si>
  <si>
    <t xml:space="preserve">Cvetanovic </t>
  </si>
  <si>
    <t>Dr. Theodor Körner Gasse 14</t>
  </si>
  <si>
    <t>0681/10751772</t>
  </si>
  <si>
    <t>aradeta@yahoo.at</t>
  </si>
  <si>
    <t>Anton Proksch Gasse 12</t>
  </si>
  <si>
    <t>0664/5236281</t>
  </si>
  <si>
    <t>Barbara.stanek@gmx.at</t>
  </si>
  <si>
    <t>Livio</t>
  </si>
  <si>
    <t>Korp</t>
  </si>
  <si>
    <t>Reitschulweg 6/1</t>
  </si>
  <si>
    <t>0677/63820829</t>
  </si>
  <si>
    <t>korp@kabelplus.at</t>
  </si>
  <si>
    <t xml:space="preserve">Jambrich </t>
  </si>
  <si>
    <t>An der Kipp 24</t>
  </si>
  <si>
    <t>0650/5101028</t>
  </si>
  <si>
    <t>m.vuerth@gmail.com</t>
  </si>
  <si>
    <t>Sinan</t>
  </si>
  <si>
    <t xml:space="preserve">Demirdas </t>
  </si>
  <si>
    <t>Neue Hutweide 28</t>
  </si>
  <si>
    <t>0664/3163406</t>
  </si>
  <si>
    <t>cete@gmx.at</t>
  </si>
  <si>
    <t>U13</t>
  </si>
  <si>
    <t>0676/9593450</t>
  </si>
  <si>
    <t>Dominic</t>
  </si>
  <si>
    <t>Oberhofer</t>
  </si>
  <si>
    <t>Josef Csech Straße 21</t>
  </si>
  <si>
    <t>0699/18168504</t>
  </si>
  <si>
    <t>hubi.oberhofer@gmx.at</t>
  </si>
  <si>
    <t xml:space="preserve">Jamie </t>
  </si>
  <si>
    <t>Böhm</t>
  </si>
  <si>
    <t>Landegg</t>
  </si>
  <si>
    <t>Seesiedlung 42</t>
  </si>
  <si>
    <t>0660/4262466</t>
  </si>
  <si>
    <t>andi.boehm1@gmail.com</t>
  </si>
  <si>
    <t>Tarik</t>
  </si>
  <si>
    <t>Pasic</t>
  </si>
  <si>
    <t>Hornstein/Sees.</t>
  </si>
  <si>
    <t>Seestraße 160</t>
  </si>
  <si>
    <t>0699/11595214</t>
  </si>
  <si>
    <t>Yakup</t>
  </si>
  <si>
    <t>0660/1202007</t>
  </si>
  <si>
    <t>Lenny</t>
  </si>
  <si>
    <t>Cerny</t>
  </si>
  <si>
    <t>Stollenbachgasse 35</t>
  </si>
  <si>
    <t>0664/2124246</t>
  </si>
  <si>
    <t>Babic</t>
  </si>
  <si>
    <t>Lindengasse 8</t>
  </si>
  <si>
    <t>0676/4017018</t>
  </si>
  <si>
    <t>frankababic@gmail.com</t>
  </si>
  <si>
    <t>Pajak</t>
  </si>
  <si>
    <t>Dr. Kraitschek Wohnpark 4/2</t>
  </si>
  <si>
    <t>0676/4021882</t>
  </si>
  <si>
    <t>anna.pajak0206@gmail.com</t>
  </si>
  <si>
    <t>Dominik</t>
  </si>
  <si>
    <t>Moos</t>
  </si>
  <si>
    <t>Hauptstraße 30A</t>
  </si>
  <si>
    <t>0699/11278661</t>
  </si>
  <si>
    <t>susimausi20@hotmail.com</t>
  </si>
  <si>
    <t>U14</t>
  </si>
  <si>
    <t>Luz</t>
  </si>
  <si>
    <t xml:space="preserve">Fischlein </t>
  </si>
  <si>
    <t>7035 Steinbrunn</t>
  </si>
  <si>
    <t>Tannengasse 26</t>
  </si>
  <si>
    <t>michlfischlein@gmail.com</t>
  </si>
  <si>
    <t>Jutesiedlung 9</t>
  </si>
  <si>
    <t>Noah</t>
  </si>
  <si>
    <t>Kriegel</t>
  </si>
  <si>
    <t>Schubertgasse 6</t>
  </si>
  <si>
    <t>norbert.kriegel@gmx.at</t>
  </si>
  <si>
    <t xml:space="preserve">7034 Zillingtal </t>
  </si>
  <si>
    <t xml:space="preserve">Jakob </t>
  </si>
  <si>
    <t xml:space="preserve">Pammer </t>
  </si>
  <si>
    <t>Schulgasse 14</t>
  </si>
  <si>
    <t>pammer.doris@gmail.com</t>
  </si>
  <si>
    <t>Petar</t>
  </si>
  <si>
    <t>U7</t>
  </si>
  <si>
    <t>Thiel</t>
  </si>
  <si>
    <t>U15</t>
  </si>
  <si>
    <t>Denis</t>
  </si>
  <si>
    <t>Creciunesc</t>
  </si>
  <si>
    <t>FK</t>
  </si>
  <si>
    <t>Timo</t>
  </si>
  <si>
    <t>Sophie</t>
  </si>
  <si>
    <t>Sonstiges</t>
  </si>
  <si>
    <t>Benjamin</t>
  </si>
  <si>
    <t>Mateyka</t>
  </si>
  <si>
    <t>Lichtenwörther</t>
  </si>
  <si>
    <t>Forsthuber</t>
  </si>
  <si>
    <t>Marc</t>
  </si>
  <si>
    <t>Filip</t>
  </si>
  <si>
    <t>Moritz</t>
  </si>
  <si>
    <t>Makivic</t>
  </si>
  <si>
    <t>Valenta</t>
  </si>
  <si>
    <t>Rieder</t>
  </si>
  <si>
    <t>Emilio</t>
  </si>
  <si>
    <t>Biermaier</t>
  </si>
  <si>
    <t>Frass</t>
  </si>
  <si>
    <t>Darius</t>
  </si>
  <si>
    <t>Goga</t>
  </si>
  <si>
    <t>Karl</t>
  </si>
  <si>
    <t>Horwath</t>
  </si>
  <si>
    <t>Manuel</t>
  </si>
  <si>
    <t>Offen</t>
  </si>
  <si>
    <t>Bezahlt 1.TB</t>
  </si>
  <si>
    <t>Bezahlt 2.TB</t>
  </si>
  <si>
    <t>Dimitri</t>
  </si>
  <si>
    <t>Cojan</t>
  </si>
  <si>
    <t>Mitgliedsbeitrag 09/2024-06/2025</t>
  </si>
  <si>
    <t>Schwarz</t>
  </si>
  <si>
    <t>Joszt</t>
  </si>
  <si>
    <t>Habeler</t>
  </si>
  <si>
    <t xml:space="preserve">Stand </t>
  </si>
  <si>
    <t>Mitgleidsbeitrag 09/2023-06/2024</t>
  </si>
  <si>
    <t>Bezahlt</t>
  </si>
  <si>
    <t>offen</t>
  </si>
  <si>
    <t>Mein Kommentar</t>
  </si>
  <si>
    <t>Gebdatum</t>
  </si>
  <si>
    <t>Kozicic</t>
  </si>
  <si>
    <t>König</t>
  </si>
  <si>
    <t>Lucas</t>
  </si>
  <si>
    <t>MB - 2025/26</t>
  </si>
  <si>
    <t>7053 Hornstein</t>
  </si>
  <si>
    <t>Graben 50</t>
  </si>
  <si>
    <t>U16</t>
  </si>
  <si>
    <t>Zagersdorf</t>
  </si>
  <si>
    <t>Draßburger Straße 25</t>
  </si>
  <si>
    <t>Fix -aber Freigabe bei jedem Transferwechsel</t>
  </si>
  <si>
    <t>ausgeliehen von Wimpassing bis 30.06.2026</t>
  </si>
  <si>
    <t>Wimmer</t>
  </si>
  <si>
    <t>Wimpassing</t>
  </si>
  <si>
    <t>Fussballkindergarten</t>
  </si>
  <si>
    <t>Ronny Archam</t>
  </si>
  <si>
    <t>keiner</t>
  </si>
  <si>
    <t>Tobias Berger</t>
  </si>
  <si>
    <t>Thomas Brandl</t>
  </si>
  <si>
    <t>Daniel Hofbauer</t>
  </si>
  <si>
    <t>Mario Magler</t>
  </si>
  <si>
    <t>Thomas Pöschl</t>
  </si>
  <si>
    <t>Lenz Honc</t>
  </si>
  <si>
    <t>Gernot Sevelda</t>
  </si>
  <si>
    <t>Serdar Ekinci</t>
  </si>
  <si>
    <t>Hubsi Oberhofer</t>
  </si>
  <si>
    <t>Josch Kögl</t>
  </si>
  <si>
    <t>Trainer im ersten Halbjahr</t>
  </si>
  <si>
    <t>Fussballkategorie</t>
  </si>
  <si>
    <t>Trainer</t>
  </si>
  <si>
    <t>monatlich</t>
  </si>
  <si>
    <t>jährlich</t>
  </si>
  <si>
    <t>bezahlt</t>
  </si>
  <si>
    <t>ID</t>
  </si>
  <si>
    <t xml:space="preserve">Lorenz Emil </t>
  </si>
  <si>
    <t>Zehetner</t>
  </si>
  <si>
    <t>Einnahmen durch Mitgliedsbeiträgen</t>
  </si>
  <si>
    <t>Haupttrainer/Co-Trainer/ Fussballkindergarten bis 2025</t>
  </si>
  <si>
    <t>Haupttrainer/Co-Trainer/ Fussballkindergarten ab 2026</t>
  </si>
  <si>
    <t>Haupttrainer ab U13</t>
  </si>
  <si>
    <t>Haupttrainer bis U12</t>
  </si>
  <si>
    <t>Co-Trainer bis U12</t>
  </si>
  <si>
    <t>Sebastian Putric</t>
  </si>
  <si>
    <t>Name</t>
  </si>
  <si>
    <t>Betrag</t>
  </si>
  <si>
    <t>IBAN</t>
  </si>
  <si>
    <t>bekannt</t>
  </si>
  <si>
    <t>AT07 2011 1285 3581 3700</t>
  </si>
  <si>
    <t>AT54 3293 7000 0001 1692</t>
  </si>
  <si>
    <t>AT92 3300 0000 0121 7470</t>
  </si>
  <si>
    <t>AT44 3300 0000 0124 8210</t>
  </si>
  <si>
    <t>Einnahmen durch GGG - fix</t>
  </si>
  <si>
    <t>Einnahmen durch Real Madrid Camp - fix</t>
  </si>
  <si>
    <t>Einnahmen durch Matchspenden - fix erstes Halbjahr</t>
  </si>
  <si>
    <t>Prof. Franz Erntl Siedlung 1/1</t>
  </si>
  <si>
    <t>Kuzey</t>
  </si>
  <si>
    <t>Özgün</t>
  </si>
  <si>
    <t>Wohnpark Theodor Kery 13/8</t>
  </si>
  <si>
    <t>Güney Asaf</t>
  </si>
  <si>
    <t>Seesiedlung Ufer 58</t>
  </si>
  <si>
    <t>Rayan</t>
  </si>
  <si>
    <t>Luka</t>
  </si>
  <si>
    <t>Cvetkovic</t>
  </si>
  <si>
    <t>Levi</t>
  </si>
  <si>
    <t>Alp Ömer</t>
  </si>
  <si>
    <t>Akay</t>
  </si>
  <si>
    <t>Pratl</t>
  </si>
  <si>
    <t>Huber</t>
  </si>
  <si>
    <t>Zax</t>
  </si>
  <si>
    <t>Arthur</t>
  </si>
  <si>
    <t>Schuster</t>
  </si>
  <si>
    <t>Novosze</t>
  </si>
  <si>
    <t xml:space="preserve">Ben </t>
  </si>
  <si>
    <t>Vincent</t>
  </si>
  <si>
    <t>Rac</t>
  </si>
  <si>
    <t>Martin</t>
  </si>
  <si>
    <t>Sator</t>
  </si>
  <si>
    <t>Kovotatschnik</t>
  </si>
  <si>
    <t>Luis Maell</t>
  </si>
  <si>
    <t>Bas</t>
  </si>
  <si>
    <t>Tormanntrainer</t>
  </si>
  <si>
    <t>Robert Gregul</t>
  </si>
  <si>
    <t>Lukas Graser</t>
  </si>
  <si>
    <t>Co-Trainer der KM ??</t>
  </si>
  <si>
    <t>Matthias Wachter</t>
  </si>
  <si>
    <t>offen GGG-Quali Turnier 2025</t>
  </si>
  <si>
    <t>offen GGG-Quali Turnier 2026</t>
  </si>
  <si>
    <t>offen Kantineneinnahmen</t>
  </si>
  <si>
    <t>offen SR-Kosten</t>
  </si>
  <si>
    <t>Sascha</t>
  </si>
  <si>
    <t>Ciocheltca</t>
  </si>
  <si>
    <t>Lina</t>
  </si>
  <si>
    <t>Vorgabe</t>
  </si>
  <si>
    <t>verletzt</t>
  </si>
  <si>
    <t>Strobl</t>
  </si>
  <si>
    <t xml:space="preserve">Einnahmen durch Hallenturniere </t>
  </si>
  <si>
    <t>Ömer Türkes</t>
  </si>
  <si>
    <t>Taha Mahsumi</t>
  </si>
  <si>
    <t>Koca-Gröber</t>
  </si>
  <si>
    <t>Kategorie</t>
  </si>
  <si>
    <t>Philip</t>
  </si>
  <si>
    <t>Hornbeck</t>
  </si>
  <si>
    <t xml:space="preserve">Hornstein </t>
  </si>
  <si>
    <t>spielt jetzt in eggendorf scheinbar</t>
  </si>
  <si>
    <t>Karl Horwath</t>
  </si>
  <si>
    <t>Dominik König</t>
  </si>
  <si>
    <t>???</t>
  </si>
  <si>
    <t>Mädchen</t>
  </si>
  <si>
    <t>Lilly Cerny</t>
  </si>
  <si>
    <t>Mara Thiel</t>
  </si>
  <si>
    <t>Leonie Lampel</t>
  </si>
  <si>
    <t>Entgeld bis März 2026</t>
  </si>
  <si>
    <t>Mitgliedsbeitrag 300</t>
  </si>
  <si>
    <t>Fussballkindergarten: 120</t>
  </si>
  <si>
    <t>Spieler die sich selbst gehören:+125€</t>
  </si>
  <si>
    <t>Jürgen Joszt</t>
  </si>
  <si>
    <t>Kevin Zax</t>
  </si>
  <si>
    <t>Entgeld ab März 2027</t>
  </si>
  <si>
    <t>Ehold</t>
  </si>
  <si>
    <t>Ben</t>
  </si>
  <si>
    <t>Schlögl</t>
  </si>
  <si>
    <t>Knezevic</t>
  </si>
  <si>
    <t>Eder-Leitgeb</t>
  </si>
  <si>
    <t>Mijat</t>
  </si>
  <si>
    <t>Randjelovic</t>
  </si>
  <si>
    <t>Dratva</t>
  </si>
  <si>
    <t>Frederic</t>
  </si>
  <si>
    <t>Pichler</t>
  </si>
  <si>
    <t>fängt vielleicht wieder an</t>
  </si>
  <si>
    <t>2486 Pottendorf</t>
  </si>
  <si>
    <t>Otto-Glöckelstrasse 44</t>
  </si>
  <si>
    <t>gehört sich selbst</t>
  </si>
  <si>
    <t>Haupttrainer U16</t>
  </si>
  <si>
    <t>Co-Trainer U16</t>
  </si>
  <si>
    <t>Mit Ausbildung</t>
  </si>
  <si>
    <t>Ausbildungskosten D-Diplom</t>
  </si>
  <si>
    <t>Ausbildungskosten C-Diplom</t>
  </si>
  <si>
    <t>Rückzahlung der Ausbildungskosten auf 4 Jahre in 2 Zahlungen pro Jahr</t>
  </si>
  <si>
    <t>MM</t>
  </si>
  <si>
    <t>Klara</t>
  </si>
  <si>
    <t>Lea</t>
  </si>
  <si>
    <t>Anna</t>
  </si>
  <si>
    <t>Mila</t>
  </si>
  <si>
    <t>Marlena</t>
  </si>
  <si>
    <t>Samara</t>
  </si>
  <si>
    <t>Elena</t>
  </si>
  <si>
    <t>Lisa</t>
  </si>
  <si>
    <t>Vanessa</t>
  </si>
  <si>
    <t>Eleanor</t>
  </si>
  <si>
    <t>Johanna</t>
  </si>
  <si>
    <t>Hannah</t>
  </si>
  <si>
    <t>Nora</t>
  </si>
  <si>
    <t>Kristin</t>
  </si>
  <si>
    <t>Felicitas</t>
  </si>
  <si>
    <t>Miriam</t>
  </si>
  <si>
    <t>Mia</t>
  </si>
  <si>
    <t>Simone</t>
  </si>
  <si>
    <t>Mina</t>
  </si>
  <si>
    <t>Pia</t>
  </si>
  <si>
    <t>Olivia</t>
  </si>
  <si>
    <t>Peck</t>
  </si>
  <si>
    <t>Pietreszuk</t>
  </si>
  <si>
    <t>Menschhorn</t>
  </si>
  <si>
    <t>Klingler</t>
  </si>
  <si>
    <t>Goge</t>
  </si>
  <si>
    <t>Kaufmann</t>
  </si>
  <si>
    <t>Peykoska</t>
  </si>
  <si>
    <t>Brosche</t>
  </si>
  <si>
    <t>Weiss</t>
  </si>
  <si>
    <t>Galos-Buchinger</t>
  </si>
  <si>
    <t>Dörfl</t>
  </si>
  <si>
    <t>Gamse</t>
  </si>
  <si>
    <t>Casar</t>
  </si>
  <si>
    <t>Steinbrunn neue Siedlung</t>
  </si>
  <si>
    <t>Siegersdorf</t>
  </si>
  <si>
    <t>Loobgrabenweg 6</t>
  </si>
  <si>
    <t>Jutesiedlung 3</t>
  </si>
  <si>
    <t>Am Stadtpark 32</t>
  </si>
  <si>
    <t>Siedlerstraße 9</t>
  </si>
  <si>
    <t>Am Stadtpark 20</t>
  </si>
  <si>
    <t>Kolonie 197/13</t>
  </si>
  <si>
    <t>Hauptstrasse 8</t>
  </si>
  <si>
    <t>Am Anger 10</t>
  </si>
  <si>
    <t>Dr. Karl Renner Straße 88</t>
  </si>
  <si>
    <t>Dr. Ludwig Leser Straße 3</t>
  </si>
  <si>
    <t>Landeggerstraße 5b/3/25</t>
  </si>
  <si>
    <t>Bahnhofstrasse 30-32/3</t>
  </si>
  <si>
    <t>Eisenstädter Strasse 22/6</t>
  </si>
  <si>
    <t>Siedlerstraße1/5</t>
  </si>
  <si>
    <t>Am Stadtpark 14</t>
  </si>
  <si>
    <t>Seepark 33</t>
  </si>
  <si>
    <t>Seepark 31</t>
  </si>
  <si>
    <t>Jutesiedlung 6</t>
  </si>
  <si>
    <t>Jutesiedlung 16</t>
  </si>
  <si>
    <t>Jutesiedlung 35</t>
  </si>
  <si>
    <t>Jutesiedlung 20</t>
  </si>
  <si>
    <t>thomas@eitler.cc</t>
  </si>
  <si>
    <t>julia.schuster@gmail.com</t>
  </si>
  <si>
    <t>thomasjoszt@yahoo.com</t>
  </si>
  <si>
    <t>Ivana.stojanovic@gmx.at</t>
  </si>
  <si>
    <t>carmen.perner@gmx.at</t>
  </si>
  <si>
    <t>mail@catharinaflieger.com</t>
  </si>
  <si>
    <t>michal.pietreszuk@andritz.com</t>
  </si>
  <si>
    <t>schwarz.mathias77@gmail.com</t>
  </si>
  <si>
    <t>petra900@gmx.at</t>
  </si>
  <si>
    <t>petra.klingler1@gmail.com</t>
  </si>
  <si>
    <t>laura.rac92@gmail.com</t>
  </si>
  <si>
    <t>patrick.goge@gmail.com</t>
  </si>
  <si>
    <t>marionk@gmx.at</t>
  </si>
  <si>
    <t>birgit.ehold@gmx.at</t>
  </si>
  <si>
    <t>hpeicoska@gmail.com</t>
  </si>
  <si>
    <t>janinabrosche@gmail.com</t>
  </si>
  <si>
    <t>silvyschloegl@hotmail.com</t>
  </si>
  <si>
    <t>jennifer.weiss@gmx.at</t>
  </si>
  <si>
    <t>marion.galos@ingka.ikea.com</t>
  </si>
  <si>
    <t>steffiprets@gmx.at</t>
  </si>
  <si>
    <t>silvia.gamse@gmail.com</t>
  </si>
  <si>
    <t>casa.marco@gmail.com</t>
  </si>
  <si>
    <t>+43 664 864 70 69</t>
  </si>
  <si>
    <t>+43 660 370 08 15</t>
  </si>
  <si>
    <t>+43 664 214 29 14</t>
  </si>
  <si>
    <t>+43 699 103 66 631</t>
  </si>
  <si>
    <t>+43 664 919 71 67</t>
  </si>
  <si>
    <t>+43 664 107 79 51</t>
  </si>
  <si>
    <t>+43 664 431 57 71</t>
  </si>
  <si>
    <t>+43 699 126 41 691</t>
  </si>
  <si>
    <t>+43 676 415 91 95</t>
  </si>
  <si>
    <t>+43 699 116 66 377</t>
  </si>
  <si>
    <t>+43 699 110 61 222</t>
  </si>
  <si>
    <t>+43 664 306 98 02</t>
  </si>
  <si>
    <t>+43 664 584 97 40</t>
  </si>
  <si>
    <t>+43 676 641 40 22</t>
  </si>
  <si>
    <t>+43 660 410 51 74</t>
  </si>
  <si>
    <t>+43 664 914 22 60</t>
  </si>
  <si>
    <t>+43 680 402 32 25</t>
  </si>
  <si>
    <t>+43 664 138 51 69</t>
  </si>
  <si>
    <t>+43 650 783 34 87</t>
  </si>
  <si>
    <t>+43 676 515 27 40</t>
  </si>
  <si>
    <t>+43 699 180 91 809</t>
  </si>
  <si>
    <t>+43 699 108 30 441</t>
  </si>
  <si>
    <t>verliehen an Großhöflein</t>
  </si>
  <si>
    <t>Verein verlassen - Ablöse bezahlt</t>
  </si>
  <si>
    <t>bis 30.06.2026 aus Hornstein verliehen</t>
  </si>
  <si>
    <t>ausgeliehen bis 30.06.2026</t>
  </si>
  <si>
    <t>ausgeliehen bis 30.06.2026 von Hornstein</t>
  </si>
  <si>
    <t>Dr. Robert Medinger Gasse 2</t>
  </si>
  <si>
    <t>+43 664 444 88 55</t>
  </si>
  <si>
    <t>mischa110@gmx.at</t>
  </si>
  <si>
    <t>MANNSCHAFT</t>
  </si>
  <si>
    <t>TRAINER</t>
  </si>
  <si>
    <t>MONTAG</t>
  </si>
  <si>
    <t>DIENSTAG</t>
  </si>
  <si>
    <t>MITTWOCH</t>
  </si>
  <si>
    <t>DONNERSTAG</t>
  </si>
  <si>
    <t>FREITAG</t>
  </si>
  <si>
    <t>WENN KM-TRAINING MUSS DAS HAUPTFELD AB 18:45 FREI SEIN</t>
  </si>
  <si>
    <t>FKG</t>
  </si>
  <si>
    <t>RONNIE ARCHAM</t>
  </si>
  <si>
    <t>MÄDCHEN</t>
  </si>
  <si>
    <t>LILLY CERNY, MARA THIEL, LEONIE LAMPEL</t>
  </si>
  <si>
    <t>JÜRGEN JOST, ALEXANDER ZAX</t>
  </si>
  <si>
    <t>ÖMER TÜRKES, TAHA MAHSUMI</t>
  </si>
  <si>
    <t>16:30 - 18:00</t>
  </si>
  <si>
    <t>TOBIAS BERGER, SEBASTIAN PUTRIC</t>
  </si>
  <si>
    <t>THOMAS BRANDL</t>
  </si>
  <si>
    <t>CHRISTIAN WIRTH, MARIO MAGLER</t>
  </si>
  <si>
    <t>TOBIAS BERGER, MARIO MAGLER</t>
  </si>
  <si>
    <t>CHRISTIAN NECKAM, THOMAS PÖSCHL</t>
  </si>
  <si>
    <t>SERDAR EKINCI, GERNOT SEVELDA, HUBERT OBERHOFER</t>
  </si>
  <si>
    <t>U23</t>
  </si>
  <si>
    <t>18:45 - 20:15</t>
  </si>
  <si>
    <t>KM</t>
  </si>
  <si>
    <t>Pleninger</t>
  </si>
  <si>
    <t>JUNIOREN/SENIOREN</t>
  </si>
  <si>
    <t>HAUPTFELD</t>
  </si>
  <si>
    <t>TRAININGSPLATZ</t>
  </si>
  <si>
    <t>HINTERM TOR</t>
  </si>
  <si>
    <t>SPIELGEMEINSCHAFTEN MIT WIMPASSING</t>
  </si>
  <si>
    <t>SPIELGEMEINSCHAFTEN MIT STEINBRUNN</t>
  </si>
  <si>
    <t>SPIELGEMEINSCHAFTEN MIT GROßHÖFLEIN</t>
  </si>
  <si>
    <t>18:00 - 19:30</t>
  </si>
  <si>
    <t>TRAININGSORTE/TAGE - NEUFELD</t>
  </si>
  <si>
    <t>TRAININGSORTE/TAGE - STEINBRUNN</t>
  </si>
  <si>
    <t>CONTAINERWIESE</t>
  </si>
  <si>
    <t>18:15 - 20:00</t>
  </si>
  <si>
    <t>16:00 - 17:30</t>
  </si>
  <si>
    <t>17:00 - 18:00</t>
  </si>
  <si>
    <t>17:30 - 18:30</t>
  </si>
  <si>
    <t>16:30 - 17:15</t>
  </si>
  <si>
    <t>halber Platz 18:00 - 19:30</t>
  </si>
  <si>
    <t>Wenn Platz frei ist - alternative auch Steinbrunn möglich 18:15 - 20:00</t>
  </si>
  <si>
    <t>halber Platz 18:15 - 20:00</t>
  </si>
  <si>
    <t>17:00 - 18:30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</si>
</sst>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€&quot;\ #,##0.00;[Red]\-&quot;€&quot;\ #,##0.00"/>
    <numFmt numFmtId="164" formatCode="dd\.mm\.yyyy;@"/>
    <numFmt numFmtId="165" formatCode="&quot;€&quot;\ #,##0.00"/>
    <numFmt numFmtId="166" formatCode="#,##0\ [$€-1];[Red]\-#,##0\ [$€-1]"/>
  </numFmts>
  <fonts count="2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8"/>
      <color rgb="FF0563C1"/>
      <name val="Arial"/>
      <family val="2"/>
    </font>
    <font>
      <b/>
      <sz val="10"/>
      <color theme="1"/>
      <name val="Arial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2"/>
      <color theme="1"/>
      <name val="Calibri"/>
      <family val="2"/>
    </font>
    <font>
      <sz val="10"/>
      <color rgb="FF000000"/>
      <name val="Calibri"/>
      <family val="2"/>
    </font>
    <font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0070C0"/>
      <name val="Calibri"/>
      <family val="2"/>
    </font>
    <font>
      <sz val="14"/>
      <color rgb="FF0070C0"/>
      <name val="Calibri"/>
      <family val="2"/>
    </font>
    <font>
      <sz val="10"/>
      <color rgb="FF0070C0"/>
      <name val="Calibri"/>
      <family val="2"/>
    </font>
    <font>
      <b/>
      <sz val="12"/>
      <color rgb="FF0070C0"/>
      <name val="Calibri"/>
      <family val="2"/>
    </font>
    <font>
      <b/>
      <sz val="20"/>
      <color rgb="FF0070C0"/>
      <name val="Calibri"/>
      <family val="2"/>
    </font>
    <font>
      <b/>
      <sz val="11"/>
      <color rgb="FF0070C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ED471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mediumGray">
        <bgColor theme="0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76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8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49" fontId="1" fillId="0" borderId="1" xfId="0" applyNumberFormat="1" applyFont="1" applyBorder="1"/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/>
    <xf numFmtId="0" fontId="9" fillId="3" borderId="1" xfId="0" applyFont="1" applyFill="1" applyBorder="1"/>
    <xf numFmtId="164" fontId="0" fillId="0" borderId="1" xfId="0" applyNumberFormat="1" applyBorder="1"/>
    <xf numFmtId="49" fontId="0" fillId="0" borderId="1" xfId="0" applyNumberFormat="1" applyBorder="1"/>
    <xf numFmtId="0" fontId="6" fillId="3" borderId="1" xfId="0" applyFont="1" applyFill="1" applyBorder="1"/>
    <xf numFmtId="0" fontId="8" fillId="0" borderId="1" xfId="0" applyFont="1" applyBorder="1"/>
    <xf numFmtId="164" fontId="1" fillId="3" borderId="1" xfId="0" applyNumberFormat="1" applyFont="1" applyFill="1" applyBorder="1"/>
    <xf numFmtId="49" fontId="1" fillId="3" borderId="1" xfId="0" applyNumberFormat="1" applyFont="1" applyFill="1" applyBorder="1"/>
    <xf numFmtId="165" fontId="0" fillId="0" borderId="1" xfId="0" applyNumberFormat="1" applyBorder="1"/>
    <xf numFmtId="165" fontId="0" fillId="0" borderId="0" xfId="0" applyNumberFormat="1"/>
    <xf numFmtId="0" fontId="9" fillId="0" borderId="1" xfId="0" applyFont="1" applyFill="1" applyBorder="1"/>
    <xf numFmtId="0" fontId="1" fillId="0" borderId="1" xfId="0" applyFont="1" applyFill="1" applyBorder="1"/>
    <xf numFmtId="164" fontId="1" fillId="0" borderId="1" xfId="0" applyNumberFormat="1" applyFont="1" applyFill="1" applyBorder="1"/>
    <xf numFmtId="165" fontId="0" fillId="0" borderId="1" xfId="0" applyNumberFormat="1" applyFill="1" applyBorder="1"/>
    <xf numFmtId="0" fontId="0" fillId="0" borderId="0" xfId="0" applyFill="1"/>
    <xf numFmtId="0" fontId="13" fillId="3" borderId="1" xfId="0" applyFont="1" applyFill="1" applyBorder="1"/>
    <xf numFmtId="164" fontId="13" fillId="3" borderId="1" xfId="0" applyNumberFormat="1" applyFont="1" applyFill="1" applyBorder="1"/>
    <xf numFmtId="49" fontId="13" fillId="3" borderId="1" xfId="0" applyNumberFormat="1" applyFont="1" applyFill="1" applyBorder="1"/>
    <xf numFmtId="165" fontId="13" fillId="3" borderId="1" xfId="0" applyNumberFormat="1" applyFont="1" applyFill="1" applyBorder="1"/>
    <xf numFmtId="0" fontId="13" fillId="3" borderId="0" xfId="0" applyFont="1" applyFill="1"/>
    <xf numFmtId="165" fontId="0" fillId="3" borderId="1" xfId="0" applyNumberFormat="1" applyFill="1" applyBorder="1"/>
    <xf numFmtId="0" fontId="0" fillId="3" borderId="0" xfId="0" applyFill="1"/>
    <xf numFmtId="49" fontId="1" fillId="3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165" fontId="4" fillId="3" borderId="1" xfId="0" applyNumberFormat="1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right"/>
    </xf>
    <xf numFmtId="49" fontId="5" fillId="3" borderId="1" xfId="0" applyNumberFormat="1" applyFont="1" applyFill="1" applyBorder="1" applyAlignment="1">
      <alignment horizontal="right"/>
    </xf>
    <xf numFmtId="164" fontId="0" fillId="3" borderId="1" xfId="0" applyNumberFormat="1" applyFill="1" applyBorder="1"/>
    <xf numFmtId="49" fontId="0" fillId="3" borderId="1" xfId="0" applyNumberFormat="1" applyFill="1" applyBorder="1"/>
    <xf numFmtId="0" fontId="0" fillId="0" borderId="3" xfId="0" applyBorder="1"/>
    <xf numFmtId="164" fontId="0" fillId="3" borderId="0" xfId="0" applyNumberFormat="1" applyFill="1"/>
    <xf numFmtId="49" fontId="0" fillId="3" borderId="0" xfId="0" applyNumberFormat="1" applyFill="1"/>
    <xf numFmtId="0" fontId="1" fillId="0" borderId="2" xfId="0" applyFont="1" applyBorder="1"/>
    <xf numFmtId="165" fontId="12" fillId="0" borderId="4" xfId="0" applyNumberFormat="1" applyFont="1" applyBorder="1"/>
    <xf numFmtId="0" fontId="0" fillId="0" borderId="1" xfId="0" applyFill="1" applyBorder="1"/>
    <xf numFmtId="0" fontId="4" fillId="3" borderId="1" xfId="0" applyFont="1" applyFill="1" applyBorder="1"/>
    <xf numFmtId="0" fontId="9" fillId="4" borderId="1" xfId="0" applyFont="1" applyFill="1" applyBorder="1"/>
    <xf numFmtId="0" fontId="15" fillId="0" borderId="1" xfId="0" applyFont="1" applyBorder="1"/>
    <xf numFmtId="165" fontId="8" fillId="0" borderId="1" xfId="0" applyNumberFormat="1" applyFont="1" applyBorder="1"/>
    <xf numFmtId="0" fontId="15" fillId="0" borderId="0" xfId="0" applyFont="1" applyFill="1" applyBorder="1"/>
    <xf numFmtId="165" fontId="0" fillId="0" borderId="5" xfId="0" applyNumberFormat="1" applyBorder="1"/>
    <xf numFmtId="0" fontId="14" fillId="5" borderId="1" xfId="0" applyFont="1" applyFill="1" applyBorder="1"/>
    <xf numFmtId="0" fontId="12" fillId="0" borderId="1" xfId="0" applyFont="1" applyBorder="1"/>
    <xf numFmtId="0" fontId="10" fillId="0" borderId="1" xfId="0" applyFont="1" applyBorder="1"/>
    <xf numFmtId="164" fontId="10" fillId="0" borderId="1" xfId="0" applyNumberFormat="1" applyFont="1" applyBorder="1"/>
    <xf numFmtId="49" fontId="10" fillId="0" borderId="1" xfId="0" applyNumberFormat="1" applyFont="1" applyBorder="1" applyAlignment="1">
      <alignment horizontal="left"/>
    </xf>
    <xf numFmtId="0" fontId="10" fillId="0" borderId="1" xfId="0" applyFont="1" applyFill="1" applyBorder="1"/>
    <xf numFmtId="0" fontId="10" fillId="5" borderId="1" xfId="0" applyFont="1" applyFill="1" applyBorder="1"/>
    <xf numFmtId="0" fontId="11" fillId="0" borderId="1" xfId="0" applyFont="1" applyBorder="1"/>
    <xf numFmtId="0" fontId="13" fillId="0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/>
    <xf numFmtId="165" fontId="8" fillId="0" borderId="5" xfId="0" applyNumberFormat="1" applyFont="1" applyBorder="1"/>
    <xf numFmtId="8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wrapText="1"/>
    </xf>
    <xf numFmtId="0" fontId="15" fillId="0" borderId="0" xfId="0" applyFont="1" applyBorder="1"/>
    <xf numFmtId="165" fontId="8" fillId="0" borderId="0" xfId="0" applyNumberFormat="1" applyFont="1" applyBorder="1"/>
    <xf numFmtId="0" fontId="15" fillId="4" borderId="1" xfId="0" applyFont="1" applyFill="1" applyBorder="1"/>
    <xf numFmtId="165" fontId="8" fillId="6" borderId="1" xfId="0" applyNumberFormat="1" applyFont="1" applyFill="1" applyBorder="1"/>
    <xf numFmtId="165" fontId="8" fillId="0" borderId="1" xfId="0" applyNumberFormat="1" applyFont="1" applyFill="1" applyBorder="1"/>
    <xf numFmtId="0" fontId="15" fillId="0" borderId="0" xfId="0" applyFont="1" applyFill="1" applyBorder="1" applyAlignment="1">
      <alignment wrapText="1"/>
    </xf>
    <xf numFmtId="165" fontId="8" fillId="0" borderId="0" xfId="0" applyNumberFormat="1" applyFont="1" applyFill="1" applyBorder="1"/>
    <xf numFmtId="0" fontId="15" fillId="0" borderId="1" xfId="0" applyFont="1" applyFill="1" applyBorder="1"/>
    <xf numFmtId="0" fontId="12" fillId="0" borderId="1" xfId="0" applyFont="1" applyFill="1" applyBorder="1"/>
    <xf numFmtId="0" fontId="11" fillId="0" borderId="1" xfId="0" applyFont="1" applyFill="1" applyBorder="1"/>
    <xf numFmtId="165" fontId="8" fillId="0" borderId="5" xfId="0" applyNumberFormat="1" applyFont="1" applyFill="1" applyBorder="1"/>
    <xf numFmtId="0" fontId="8" fillId="4" borderId="1" xfId="0" applyFont="1" applyFill="1" applyBorder="1"/>
    <xf numFmtId="0" fontId="1" fillId="4" borderId="1" xfId="0" applyFont="1" applyFill="1" applyBorder="1"/>
    <xf numFmtId="0" fontId="15" fillId="2" borderId="1" xfId="0" applyFont="1" applyFill="1" applyBorder="1"/>
    <xf numFmtId="14" fontId="0" fillId="0" borderId="0" xfId="0" applyNumberFormat="1" applyFill="1"/>
    <xf numFmtId="0" fontId="13" fillId="4" borderId="1" xfId="0" applyFont="1" applyFill="1" applyBorder="1"/>
    <xf numFmtId="165" fontId="11" fillId="0" borderId="1" xfId="0" applyNumberFormat="1" applyFont="1" applyBorder="1"/>
    <xf numFmtId="165" fontId="11" fillId="0" borderId="1" xfId="0" applyNumberFormat="1" applyFont="1" applyFill="1" applyBorder="1"/>
    <xf numFmtId="0" fontId="3" fillId="0" borderId="2" xfId="0" applyFont="1" applyFill="1" applyBorder="1"/>
    <xf numFmtId="165" fontId="8" fillId="3" borderId="1" xfId="0" applyNumberFormat="1" applyFont="1" applyFill="1" applyBorder="1"/>
    <xf numFmtId="165" fontId="3" fillId="0" borderId="1" xfId="0" applyNumberFormat="1" applyFont="1" applyBorder="1"/>
    <xf numFmtId="0" fontId="8" fillId="3" borderId="1" xfId="0" applyFont="1" applyFill="1" applyBorder="1"/>
    <xf numFmtId="0" fontId="1" fillId="4" borderId="1" xfId="0" applyFont="1" applyFill="1" applyBorder="1" applyAlignment="1">
      <alignment vertical="center"/>
    </xf>
    <xf numFmtId="166" fontId="0" fillId="0" borderId="0" xfId="0" applyNumberFormat="1"/>
    <xf numFmtId="0" fontId="3" fillId="0" borderId="0" xfId="0" applyFont="1" applyFill="1" applyBorder="1"/>
    <xf numFmtId="0" fontId="8" fillId="8" borderId="1" xfId="0" applyFont="1" applyFill="1" applyBorder="1"/>
    <xf numFmtId="0" fontId="10" fillId="8" borderId="1" xfId="0" applyFont="1" applyFill="1" applyBorder="1"/>
    <xf numFmtId="49" fontId="16" fillId="0" borderId="1" xfId="0" applyNumberFormat="1" applyFont="1" applyBorder="1"/>
    <xf numFmtId="164" fontId="16" fillId="0" borderId="1" xfId="0" applyNumberFormat="1" applyFont="1" applyBorder="1"/>
    <xf numFmtId="0" fontId="8" fillId="2" borderId="1" xfId="0" applyFont="1" applyFill="1" applyBorder="1"/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49" fontId="1" fillId="2" borderId="1" xfId="0" quotePrefix="1" applyNumberFormat="1" applyFont="1" applyFill="1" applyBorder="1" applyAlignment="1">
      <alignment vertical="center"/>
    </xf>
    <xf numFmtId="165" fontId="0" fillId="2" borderId="1" xfId="0" applyNumberFormat="1" applyFill="1" applyBorder="1"/>
    <xf numFmtId="165" fontId="11" fillId="2" borderId="1" xfId="0" applyNumberFormat="1" applyFont="1" applyFill="1" applyBorder="1"/>
    <xf numFmtId="164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left"/>
    </xf>
    <xf numFmtId="165" fontId="4" fillId="2" borderId="1" xfId="0" applyNumberFormat="1" applyFont="1" applyFill="1" applyBorder="1"/>
    <xf numFmtId="0" fontId="6" fillId="2" borderId="1" xfId="0" applyFont="1" applyFill="1" applyBorder="1"/>
    <xf numFmtId="164" fontId="5" fillId="2" borderId="1" xfId="0" applyNumberFormat="1" applyFont="1" applyFill="1" applyBorder="1" applyAlignment="1">
      <alignment horizontal="right"/>
    </xf>
    <xf numFmtId="0" fontId="5" fillId="2" borderId="1" xfId="0" applyFont="1" applyFill="1" applyBorder="1"/>
    <xf numFmtId="49" fontId="5" fillId="2" borderId="1" xfId="0" applyNumberFormat="1" applyFont="1" applyFill="1" applyBorder="1" applyAlignment="1">
      <alignment horizontal="right"/>
    </xf>
    <xf numFmtId="0" fontId="9" fillId="2" borderId="1" xfId="0" applyFont="1" applyFill="1" applyBorder="1"/>
    <xf numFmtId="49" fontId="1" fillId="2" borderId="1" xfId="0" applyNumberFormat="1" applyFont="1" applyFill="1" applyBorder="1"/>
    <xf numFmtId="0" fontId="17" fillId="0" borderId="0" xfId="0" applyFont="1"/>
    <xf numFmtId="0" fontId="18" fillId="0" borderId="0" xfId="0" applyFont="1" applyAlignment="1">
      <alignment vertical="center" wrapText="1"/>
    </xf>
    <xf numFmtId="0" fontId="19" fillId="10" borderId="7" xfId="0" applyFont="1" applyFill="1" applyBorder="1"/>
    <xf numFmtId="0" fontId="22" fillId="0" borderId="0" xfId="0" applyFont="1"/>
    <xf numFmtId="0" fontId="23" fillId="9" borderId="1" xfId="0" applyFont="1" applyFill="1" applyBorder="1"/>
    <xf numFmtId="0" fontId="23" fillId="6" borderId="1" xfId="0" applyFont="1" applyFill="1" applyBorder="1"/>
    <xf numFmtId="0" fontId="23" fillId="0" borderId="9" xfId="0" applyFont="1" applyBorder="1"/>
    <xf numFmtId="0" fontId="23" fillId="4" borderId="12" xfId="0" applyFont="1" applyFill="1" applyBorder="1" applyAlignment="1">
      <alignment wrapText="1"/>
    </xf>
    <xf numFmtId="0" fontId="23" fillId="0" borderId="12" xfId="0" applyFont="1" applyBorder="1"/>
    <xf numFmtId="0" fontId="23" fillId="4" borderId="9" xfId="0" applyFont="1" applyFill="1" applyBorder="1" applyAlignment="1">
      <alignment wrapText="1"/>
    </xf>
    <xf numFmtId="0" fontId="23" fillId="0" borderId="14" xfId="0" applyFont="1" applyBorder="1"/>
    <xf numFmtId="0" fontId="23" fillId="4" borderId="14" xfId="0" applyFont="1" applyFill="1" applyBorder="1" applyAlignment="1">
      <alignment wrapText="1"/>
    </xf>
    <xf numFmtId="0" fontId="19" fillId="12" borderId="7" xfId="0" applyFont="1" applyFill="1" applyBorder="1"/>
    <xf numFmtId="0" fontId="23" fillId="12" borderId="1" xfId="0" applyFont="1" applyFill="1" applyBorder="1"/>
    <xf numFmtId="0" fontId="19" fillId="10" borderId="11" xfId="0" applyFont="1" applyFill="1" applyBorder="1"/>
    <xf numFmtId="0" fontId="23" fillId="0" borderId="19" xfId="0" applyFont="1" applyBorder="1"/>
    <xf numFmtId="0" fontId="23" fillId="6" borderId="24" xfId="0" applyFont="1" applyFill="1" applyBorder="1"/>
    <xf numFmtId="0" fontId="23" fillId="4" borderId="23" xfId="0" applyFont="1" applyFill="1" applyBorder="1" applyAlignment="1">
      <alignment wrapText="1"/>
    </xf>
    <xf numFmtId="0" fontId="23" fillId="4" borderId="25" xfId="0" applyFont="1" applyFill="1" applyBorder="1" applyAlignment="1">
      <alignment wrapText="1"/>
    </xf>
    <xf numFmtId="0" fontId="25" fillId="0" borderId="13" xfId="0" applyFont="1" applyBorder="1" applyAlignment="1">
      <alignment wrapText="1"/>
    </xf>
    <xf numFmtId="0" fontId="25" fillId="0" borderId="8" xfId="0" applyFont="1" applyBorder="1" applyAlignment="1">
      <alignment wrapText="1"/>
    </xf>
    <xf numFmtId="0" fontId="25" fillId="12" borderId="8" xfId="0" applyFont="1" applyFill="1" applyBorder="1" applyAlignment="1">
      <alignment wrapText="1"/>
    </xf>
    <xf numFmtId="0" fontId="25" fillId="0" borderId="10" xfId="0" applyFont="1" applyBorder="1" applyAlignment="1">
      <alignment wrapText="1"/>
    </xf>
    <xf numFmtId="0" fontId="25" fillId="7" borderId="10" xfId="0" applyFont="1" applyFill="1" applyBorder="1" applyAlignment="1">
      <alignment wrapText="1"/>
    </xf>
    <xf numFmtId="0" fontId="19" fillId="7" borderId="7" xfId="0" applyFont="1" applyFill="1" applyBorder="1"/>
    <xf numFmtId="0" fontId="19" fillId="11" borderId="7" xfId="0" applyFont="1" applyFill="1" applyBorder="1"/>
    <xf numFmtId="0" fontId="25" fillId="11" borderId="8" xfId="0" applyFont="1" applyFill="1" applyBorder="1" applyAlignment="1">
      <alignment wrapText="1"/>
    </xf>
    <xf numFmtId="0" fontId="22" fillId="13" borderId="24" xfId="0" applyFont="1" applyFill="1" applyBorder="1"/>
    <xf numFmtId="0" fontId="23" fillId="9" borderId="15" xfId="0" applyFont="1" applyFill="1" applyBorder="1"/>
    <xf numFmtId="0" fontId="23" fillId="9" borderId="16" xfId="0" applyFont="1" applyFill="1" applyBorder="1"/>
    <xf numFmtId="0" fontId="23" fillId="14" borderId="23" xfId="0" applyFont="1" applyFill="1" applyBorder="1"/>
    <xf numFmtId="0" fontId="23" fillId="14" borderId="12" xfId="0" applyFont="1" applyFill="1" applyBorder="1"/>
    <xf numFmtId="0" fontId="23" fillId="9" borderId="24" xfId="0" applyFont="1" applyFill="1" applyBorder="1"/>
    <xf numFmtId="0" fontId="22" fillId="6" borderId="24" xfId="0" applyFont="1" applyFill="1" applyBorder="1"/>
    <xf numFmtId="0" fontId="23" fillId="6" borderId="25" xfId="0" applyFont="1" applyFill="1" applyBorder="1"/>
    <xf numFmtId="0" fontId="23" fillId="6" borderId="9" xfId="0" applyFont="1" applyFill="1" applyBorder="1"/>
    <xf numFmtId="0" fontId="24" fillId="0" borderId="20" xfId="0" applyFont="1" applyBorder="1" applyAlignment="1">
      <alignment vertical="center" wrapText="1"/>
    </xf>
    <xf numFmtId="0" fontId="24" fillId="0" borderId="21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19" fillId="10" borderId="17" xfId="0" applyFont="1" applyFill="1" applyBorder="1" applyAlignment="1"/>
    <xf numFmtId="0" fontId="0" fillId="0" borderId="18" xfId="0" applyBorder="1" applyAlignment="1"/>
    <xf numFmtId="0" fontId="23" fillId="4" borderId="15" xfId="0" applyFont="1" applyFill="1" applyBorder="1"/>
    <xf numFmtId="0" fontId="23" fillId="4" borderId="16" xfId="0" applyFont="1" applyFill="1" applyBorder="1"/>
    <xf numFmtId="0" fontId="23" fillId="6" borderId="15" xfId="0" applyFont="1" applyFill="1" applyBorder="1"/>
    <xf numFmtId="0" fontId="23" fillId="6" borderId="16" xfId="0" applyFont="1" applyFill="1" applyBorder="1"/>
    <xf numFmtId="0" fontId="23" fillId="9" borderId="15" xfId="0" applyFont="1" applyFill="1" applyBorder="1"/>
    <xf numFmtId="0" fontId="23" fillId="9" borderId="16" xfId="0" applyFont="1" applyFill="1" applyBorder="1"/>
    <xf numFmtId="0" fontId="23" fillId="7" borderId="15" xfId="0" applyFont="1" applyFill="1" applyBorder="1"/>
    <xf numFmtId="0" fontId="23" fillId="7" borderId="16" xfId="0" applyFont="1" applyFill="1" applyBorder="1"/>
    <xf numFmtId="0" fontId="23" fillId="11" borderId="15" xfId="0" applyFont="1" applyFill="1" applyBorder="1"/>
    <xf numFmtId="0" fontId="23" fillId="11" borderId="16" xfId="0" applyFont="1" applyFill="1" applyBorder="1"/>
    <xf numFmtId="0" fontId="23" fillId="12" borderId="15" xfId="0" applyFont="1" applyFill="1" applyBorder="1"/>
    <xf numFmtId="0" fontId="23" fillId="12" borderId="16" xfId="0" applyFont="1" applyFill="1" applyBorder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3" fillId="14" borderId="15" xfId="0" applyFont="1" applyFill="1" applyBorder="1"/>
    <xf numFmtId="0" fontId="23" fillId="14" borderId="16" xfId="0" applyFont="1" applyFill="1" applyBorder="1"/>
    <xf numFmtId="0" fontId="15" fillId="0" borderId="6" xfId="0" applyFont="1" applyBorder="1" applyAlignment="1">
      <alignment wrapText="1"/>
    </xf>
    <xf numFmtId="0" fontId="0" fillId="0" borderId="3" xfId="0" applyBorder="1" applyAlignment="1">
      <alignment wrapText="1"/>
    </xf>
    <xf numFmtId="0" fontId="15" fillId="0" borderId="6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15" fillId="0" borderId="1" xfId="0" applyFont="1" applyBorder="1" applyAlignment="1"/>
    <xf numFmtId="0" fontId="23" fillId="4" borderId="1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ED4713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nielhofbauer@gmx.at" TargetMode="External"/><Relationship Id="rId13" Type="http://schemas.openxmlformats.org/officeDocument/2006/relationships/hyperlink" Target="mailto:michal.pietreszuk@andritz.com" TargetMode="External"/><Relationship Id="rId18" Type="http://schemas.openxmlformats.org/officeDocument/2006/relationships/hyperlink" Target="mailto:patrick.goge@gmail.com" TargetMode="External"/><Relationship Id="rId26" Type="http://schemas.openxmlformats.org/officeDocument/2006/relationships/hyperlink" Target="mailto:steffiprets@gmx.at" TargetMode="External"/><Relationship Id="rId3" Type="http://schemas.openxmlformats.org/officeDocument/2006/relationships/hyperlink" Target="mailto:danielhofbauer@gmx.at" TargetMode="External"/><Relationship Id="rId21" Type="http://schemas.openxmlformats.org/officeDocument/2006/relationships/hyperlink" Target="mailto:hpeicoska@gmail.com" TargetMode="External"/><Relationship Id="rId7" Type="http://schemas.openxmlformats.org/officeDocument/2006/relationships/hyperlink" Target="mailto:alexander.gruber@oefb.at" TargetMode="External"/><Relationship Id="rId12" Type="http://schemas.openxmlformats.org/officeDocument/2006/relationships/hyperlink" Target="mailto:thomasjoszt@yahoo.com" TargetMode="External"/><Relationship Id="rId17" Type="http://schemas.openxmlformats.org/officeDocument/2006/relationships/hyperlink" Target="mailto:laura.rac92@gmail.com" TargetMode="External"/><Relationship Id="rId25" Type="http://schemas.openxmlformats.org/officeDocument/2006/relationships/hyperlink" Target="mailto:marion.galos@ingka.ikea.com" TargetMode="External"/><Relationship Id="rId2" Type="http://schemas.openxmlformats.org/officeDocument/2006/relationships/hyperlink" Target="mailto:grenzjoe@gmx.at" TargetMode="External"/><Relationship Id="rId16" Type="http://schemas.openxmlformats.org/officeDocument/2006/relationships/hyperlink" Target="mailto:petra.klingler1@gmail.com" TargetMode="External"/><Relationship Id="rId20" Type="http://schemas.openxmlformats.org/officeDocument/2006/relationships/hyperlink" Target="mailto:birgit.ehold@gmx.at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th.brandl1984@icloud.com" TargetMode="External"/><Relationship Id="rId6" Type="http://schemas.openxmlformats.org/officeDocument/2006/relationships/hyperlink" Target="mailto:krispp02@gmail.com" TargetMode="External"/><Relationship Id="rId11" Type="http://schemas.openxmlformats.org/officeDocument/2006/relationships/hyperlink" Target="mailto:thomasjoszt@yahoo.com" TargetMode="External"/><Relationship Id="rId24" Type="http://schemas.openxmlformats.org/officeDocument/2006/relationships/hyperlink" Target="mailto:jennifer.weiss@gmx.at" TargetMode="External"/><Relationship Id="rId5" Type="http://schemas.openxmlformats.org/officeDocument/2006/relationships/hyperlink" Target="mailto:franias@hotmail.com" TargetMode="External"/><Relationship Id="rId15" Type="http://schemas.openxmlformats.org/officeDocument/2006/relationships/hyperlink" Target="mailto:petra900@gmx.at" TargetMode="External"/><Relationship Id="rId23" Type="http://schemas.openxmlformats.org/officeDocument/2006/relationships/hyperlink" Target="mailto:silvyschloegl@hotmail.com" TargetMode="External"/><Relationship Id="rId28" Type="http://schemas.openxmlformats.org/officeDocument/2006/relationships/hyperlink" Target="mailto:casa.marco@gmail.com" TargetMode="External"/><Relationship Id="rId10" Type="http://schemas.openxmlformats.org/officeDocument/2006/relationships/hyperlink" Target="mailto:julia.schuster@gmail.com" TargetMode="External"/><Relationship Id="rId19" Type="http://schemas.openxmlformats.org/officeDocument/2006/relationships/hyperlink" Target="mailto:marionk@gmx.at" TargetMode="External"/><Relationship Id="rId4" Type="http://schemas.openxmlformats.org/officeDocument/2006/relationships/hyperlink" Target="mailto:cornelia.sevelda@gmail.com" TargetMode="External"/><Relationship Id="rId9" Type="http://schemas.openxmlformats.org/officeDocument/2006/relationships/hyperlink" Target="mailto:thomas@eitler.cc" TargetMode="External"/><Relationship Id="rId14" Type="http://schemas.openxmlformats.org/officeDocument/2006/relationships/hyperlink" Target="mailto:schwarz.mathias77@gmail.com" TargetMode="External"/><Relationship Id="rId22" Type="http://schemas.openxmlformats.org/officeDocument/2006/relationships/hyperlink" Target="mailto:janinabrosche@gmail.com" TargetMode="External"/><Relationship Id="rId27" Type="http://schemas.openxmlformats.org/officeDocument/2006/relationships/hyperlink" Target="mailto:silvia.gamse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A358-E4DC-4BF0-91F7-E005C19B0578}">
  <dimension ref="A1:T2277"/>
  <sheetViews>
    <sheetView topLeftCell="A33" workbookViewId="0">
      <selection activeCell="H39" sqref="H39"/>
    </sheetView>
  </sheetViews>
  <sheetFormatPr baseColWidth="10" defaultColWidth="12.5703125" defaultRowHeight="12.75" x14ac:dyDescent="0.2"/>
  <cols>
    <col min="3" max="3" width="14.28515625" customWidth="1"/>
    <col min="4" max="4" width="12.7109375" customWidth="1"/>
    <col min="5" max="5" width="12.28515625" style="1" customWidth="1"/>
    <col min="6" max="6" width="17.42578125" customWidth="1"/>
    <col min="7" max="7" width="13.140625" customWidth="1"/>
    <col min="8" max="8" width="11.7109375" style="2" customWidth="1"/>
    <col min="9" max="9" width="31" customWidth="1"/>
    <col min="10" max="10" width="46.42578125" style="23" bestFit="1" customWidth="1"/>
    <col min="11" max="11" width="19.28515625" hidden="1" customWidth="1"/>
    <col min="12" max="12" width="13.5703125" hidden="1" customWidth="1"/>
    <col min="13" max="13" width="14.42578125" hidden="1" customWidth="1"/>
    <col min="14" max="14" width="20.28515625" hidden="1" customWidth="1"/>
    <col min="15" max="15" width="13.28515625" bestFit="1" customWidth="1"/>
    <col min="16" max="17" width="13.28515625" customWidth="1"/>
    <col min="18" max="18" width="51.85546875" bestFit="1" customWidth="1"/>
    <col min="19" max="19" width="13.28515625" style="23" customWidth="1"/>
  </cols>
  <sheetData>
    <row r="1" spans="1:20" ht="21.75" customHeight="1" x14ac:dyDescent="0.25">
      <c r="A1" s="7"/>
      <c r="B1" s="7"/>
      <c r="C1" s="7"/>
      <c r="D1" s="7"/>
      <c r="E1" s="11"/>
      <c r="F1" s="7"/>
      <c r="G1" s="7"/>
      <c r="H1" s="12"/>
      <c r="I1" s="7"/>
      <c r="J1" s="46"/>
      <c r="K1" s="53" t="s">
        <v>304</v>
      </c>
      <c r="L1" s="53"/>
      <c r="M1" s="54" t="s">
        <v>299</v>
      </c>
      <c r="N1" s="54"/>
      <c r="O1" s="54"/>
      <c r="P1" s="54" t="s">
        <v>312</v>
      </c>
      <c r="Q1" s="54"/>
      <c r="R1" s="7" t="s">
        <v>307</v>
      </c>
      <c r="S1" s="76"/>
    </row>
    <row r="2" spans="1:20" ht="21.75" customHeight="1" x14ac:dyDescent="0.25">
      <c r="A2" s="14" t="s">
        <v>341</v>
      </c>
      <c r="B2" s="55" t="s">
        <v>0</v>
      </c>
      <c r="C2" s="55" t="s">
        <v>1</v>
      </c>
      <c r="D2" s="55" t="s">
        <v>2</v>
      </c>
      <c r="E2" s="56" t="s">
        <v>3</v>
      </c>
      <c r="F2" s="55" t="s">
        <v>4</v>
      </c>
      <c r="G2" s="55" t="s">
        <v>5</v>
      </c>
      <c r="H2" s="57" t="s">
        <v>6</v>
      </c>
      <c r="I2" s="55" t="s">
        <v>7</v>
      </c>
      <c r="J2" s="58" t="s">
        <v>275</v>
      </c>
      <c r="K2" s="59" t="s">
        <v>305</v>
      </c>
      <c r="L2" s="59" t="s">
        <v>306</v>
      </c>
      <c r="M2" s="60" t="s">
        <v>295</v>
      </c>
      <c r="N2" s="60" t="s">
        <v>296</v>
      </c>
      <c r="O2" s="60" t="s">
        <v>294</v>
      </c>
      <c r="P2" s="60" t="s">
        <v>340</v>
      </c>
      <c r="Q2" s="60" t="s">
        <v>400</v>
      </c>
      <c r="R2" s="7"/>
      <c r="S2" s="77" t="s">
        <v>306</v>
      </c>
      <c r="T2" s="86" t="s">
        <v>420</v>
      </c>
    </row>
    <row r="3" spans="1:20" ht="21.75" customHeight="1" x14ac:dyDescent="0.25">
      <c r="A3" s="93">
        <v>1</v>
      </c>
      <c r="B3" s="94" t="s">
        <v>446</v>
      </c>
      <c r="C3" s="95" t="s">
        <v>447</v>
      </c>
      <c r="D3" s="95" t="s">
        <v>45</v>
      </c>
      <c r="E3" s="96">
        <v>43887</v>
      </c>
      <c r="F3" s="95" t="s">
        <v>10</v>
      </c>
      <c r="G3" s="95" t="s">
        <v>483</v>
      </c>
      <c r="H3" s="95" t="s">
        <v>526</v>
      </c>
      <c r="I3" s="95" t="s">
        <v>504</v>
      </c>
      <c r="J3" s="58"/>
      <c r="K3" s="59"/>
      <c r="L3" s="59"/>
      <c r="M3" s="60"/>
      <c r="N3" s="60"/>
      <c r="O3" s="84">
        <f t="shared" ref="O3:O12" si="0">Q3-P3</f>
        <v>300</v>
      </c>
      <c r="P3" s="22">
        <v>0</v>
      </c>
      <c r="Q3" s="22">
        <v>300</v>
      </c>
      <c r="R3" s="7"/>
      <c r="S3" s="22">
        <f t="shared" ref="S3:S11" si="1">Q3-P3</f>
        <v>300</v>
      </c>
      <c r="T3" s="92"/>
    </row>
    <row r="4" spans="1:20" ht="21.75" customHeight="1" x14ac:dyDescent="0.25">
      <c r="A4" s="93">
        <v>2</v>
      </c>
      <c r="B4" s="94" t="s">
        <v>446</v>
      </c>
      <c r="C4" s="95" t="s">
        <v>274</v>
      </c>
      <c r="D4" s="95" t="s">
        <v>378</v>
      </c>
      <c r="E4" s="96">
        <v>42605</v>
      </c>
      <c r="F4" s="95" t="s">
        <v>10</v>
      </c>
      <c r="G4" s="95" t="s">
        <v>484</v>
      </c>
      <c r="H4" s="95" t="s">
        <v>527</v>
      </c>
      <c r="I4" s="95" t="s">
        <v>505</v>
      </c>
      <c r="J4" s="58"/>
      <c r="K4" s="59"/>
      <c r="L4" s="59"/>
      <c r="M4" s="60"/>
      <c r="N4" s="60"/>
      <c r="O4" s="84">
        <f t="shared" si="0"/>
        <v>300</v>
      </c>
      <c r="P4" s="22">
        <v>0</v>
      </c>
      <c r="Q4" s="22">
        <v>300</v>
      </c>
      <c r="R4" s="7"/>
      <c r="S4" s="22">
        <f t="shared" si="1"/>
        <v>300</v>
      </c>
      <c r="T4" s="92"/>
    </row>
    <row r="5" spans="1:20" ht="21.75" customHeight="1" x14ac:dyDescent="0.25">
      <c r="A5" s="93">
        <v>3</v>
      </c>
      <c r="B5" s="94" t="s">
        <v>446</v>
      </c>
      <c r="C5" s="95" t="s">
        <v>448</v>
      </c>
      <c r="D5" s="95" t="s">
        <v>301</v>
      </c>
      <c r="E5" s="96">
        <v>43108</v>
      </c>
      <c r="F5" s="95" t="s">
        <v>10</v>
      </c>
      <c r="G5" s="95" t="s">
        <v>485</v>
      </c>
      <c r="H5" s="95" t="s">
        <v>528</v>
      </c>
      <c r="I5" s="95" t="s">
        <v>506</v>
      </c>
      <c r="J5" s="58"/>
      <c r="K5" s="59"/>
      <c r="L5" s="59"/>
      <c r="M5" s="60"/>
      <c r="N5" s="60"/>
      <c r="O5" s="84">
        <f t="shared" si="0"/>
        <v>300</v>
      </c>
      <c r="P5" s="22">
        <v>0</v>
      </c>
      <c r="Q5" s="22">
        <v>300</v>
      </c>
      <c r="R5" s="7"/>
      <c r="S5" s="22">
        <f t="shared" si="1"/>
        <v>300</v>
      </c>
      <c r="T5" s="92"/>
    </row>
    <row r="6" spans="1:20" ht="21.75" customHeight="1" x14ac:dyDescent="0.25">
      <c r="A6" s="93">
        <v>4</v>
      </c>
      <c r="B6" s="94" t="s">
        <v>446</v>
      </c>
      <c r="C6" s="95" t="s">
        <v>449</v>
      </c>
      <c r="D6" s="95" t="s">
        <v>301</v>
      </c>
      <c r="E6" s="96">
        <v>44118</v>
      </c>
      <c r="F6" s="95" t="s">
        <v>10</v>
      </c>
      <c r="G6" s="95" t="s">
        <v>485</v>
      </c>
      <c r="H6" s="95" t="s">
        <v>528</v>
      </c>
      <c r="I6" s="95" t="s">
        <v>506</v>
      </c>
      <c r="J6" s="58"/>
      <c r="K6" s="59"/>
      <c r="L6" s="59"/>
      <c r="M6" s="60"/>
      <c r="N6" s="60"/>
      <c r="O6" s="84">
        <f t="shared" si="0"/>
        <v>300</v>
      </c>
      <c r="P6" s="22">
        <v>0</v>
      </c>
      <c r="Q6" s="22">
        <v>300</v>
      </c>
      <c r="R6" s="7"/>
      <c r="S6" s="22">
        <f t="shared" si="1"/>
        <v>300</v>
      </c>
      <c r="T6" s="92"/>
    </row>
    <row r="7" spans="1:20" ht="21.75" customHeight="1" x14ac:dyDescent="0.25">
      <c r="A7" s="93">
        <v>5</v>
      </c>
      <c r="B7" s="94" t="s">
        <v>446</v>
      </c>
      <c r="C7" s="95" t="s">
        <v>450</v>
      </c>
      <c r="D7" s="95" t="s">
        <v>432</v>
      </c>
      <c r="E7" s="96">
        <v>43526</v>
      </c>
      <c r="F7" s="95" t="s">
        <v>10</v>
      </c>
      <c r="G7" s="95" t="s">
        <v>486</v>
      </c>
      <c r="H7" s="95" t="s">
        <v>529</v>
      </c>
      <c r="I7" s="95" t="s">
        <v>507</v>
      </c>
      <c r="J7" s="58"/>
      <c r="K7" s="59"/>
      <c r="L7" s="59"/>
      <c r="M7" s="60"/>
      <c r="N7" s="60"/>
      <c r="O7" s="84">
        <f t="shared" si="0"/>
        <v>300</v>
      </c>
      <c r="P7" s="22">
        <v>0</v>
      </c>
      <c r="Q7" s="22">
        <v>300</v>
      </c>
      <c r="R7" s="7"/>
      <c r="S7" s="22">
        <f t="shared" si="1"/>
        <v>300</v>
      </c>
      <c r="T7" s="92"/>
    </row>
    <row r="8" spans="1:20" ht="21.75" customHeight="1" x14ac:dyDescent="0.25">
      <c r="A8" s="93">
        <v>6</v>
      </c>
      <c r="B8" s="94" t="s">
        <v>446</v>
      </c>
      <c r="C8" s="95" t="s">
        <v>450</v>
      </c>
      <c r="D8" s="95" t="s">
        <v>468</v>
      </c>
      <c r="E8" s="96">
        <v>42119</v>
      </c>
      <c r="F8" s="95" t="s">
        <v>10</v>
      </c>
      <c r="G8" s="95" t="s">
        <v>487</v>
      </c>
      <c r="H8" s="95" t="s">
        <v>530</v>
      </c>
      <c r="I8" s="95" t="s">
        <v>508</v>
      </c>
      <c r="J8" s="58"/>
      <c r="K8" s="59"/>
      <c r="L8" s="59"/>
      <c r="M8" s="60"/>
      <c r="N8" s="60"/>
      <c r="O8" s="84">
        <f t="shared" si="0"/>
        <v>300</v>
      </c>
      <c r="P8" s="22">
        <v>0</v>
      </c>
      <c r="Q8" s="22">
        <v>300</v>
      </c>
      <c r="R8" s="7"/>
      <c r="S8" s="22">
        <f t="shared" si="1"/>
        <v>300</v>
      </c>
      <c r="T8" s="92"/>
    </row>
    <row r="9" spans="1:20" ht="21.75" customHeight="1" x14ac:dyDescent="0.25">
      <c r="A9" s="93">
        <v>7</v>
      </c>
      <c r="B9" s="94" t="s">
        <v>446</v>
      </c>
      <c r="C9" s="95" t="s">
        <v>451</v>
      </c>
      <c r="D9" s="95" t="s">
        <v>127</v>
      </c>
      <c r="E9" s="96">
        <v>42548</v>
      </c>
      <c r="F9" s="95" t="s">
        <v>10</v>
      </c>
      <c r="G9" s="95" t="s">
        <v>488</v>
      </c>
      <c r="H9" s="95" t="s">
        <v>531</v>
      </c>
      <c r="I9" s="95" t="s">
        <v>509</v>
      </c>
      <c r="J9" s="58"/>
      <c r="K9" s="59"/>
      <c r="L9" s="59"/>
      <c r="M9" s="60"/>
      <c r="N9" s="60"/>
      <c r="O9" s="84">
        <f t="shared" si="0"/>
        <v>300</v>
      </c>
      <c r="P9" s="22">
        <v>0</v>
      </c>
      <c r="Q9" s="22">
        <v>300</v>
      </c>
      <c r="R9" s="7"/>
      <c r="S9" s="22">
        <f t="shared" si="1"/>
        <v>300</v>
      </c>
      <c r="T9" s="92"/>
    </row>
    <row r="10" spans="1:20" ht="21.75" customHeight="1" x14ac:dyDescent="0.25">
      <c r="A10" s="93">
        <v>8</v>
      </c>
      <c r="B10" s="94" t="s">
        <v>446</v>
      </c>
      <c r="C10" s="95" t="s">
        <v>452</v>
      </c>
      <c r="D10" s="95" t="s">
        <v>469</v>
      </c>
      <c r="E10" s="96">
        <v>42469</v>
      </c>
      <c r="F10" s="95" t="s">
        <v>10</v>
      </c>
      <c r="G10" s="95" t="s">
        <v>489</v>
      </c>
      <c r="H10" s="95" t="s">
        <v>532</v>
      </c>
      <c r="I10" s="95" t="s">
        <v>510</v>
      </c>
      <c r="J10" s="58"/>
      <c r="K10" s="59"/>
      <c r="L10" s="59"/>
      <c r="M10" s="60"/>
      <c r="N10" s="60"/>
      <c r="O10" s="84">
        <f t="shared" si="0"/>
        <v>300</v>
      </c>
      <c r="P10" s="22">
        <v>0</v>
      </c>
      <c r="Q10" s="22">
        <v>300</v>
      </c>
      <c r="R10" s="7"/>
      <c r="S10" s="22">
        <f t="shared" si="1"/>
        <v>300</v>
      </c>
      <c r="T10" s="92"/>
    </row>
    <row r="11" spans="1:20" ht="21.75" customHeight="1" x14ac:dyDescent="0.25">
      <c r="A11" s="93">
        <v>9</v>
      </c>
      <c r="B11" s="94" t="s">
        <v>446</v>
      </c>
      <c r="C11" s="95" t="s">
        <v>453</v>
      </c>
      <c r="D11" s="95" t="s">
        <v>300</v>
      </c>
      <c r="E11" s="96">
        <v>42500</v>
      </c>
      <c r="F11" s="95" t="s">
        <v>481</v>
      </c>
      <c r="G11" s="95" t="s">
        <v>490</v>
      </c>
      <c r="H11" s="95" t="s">
        <v>533</v>
      </c>
      <c r="I11" s="95" t="s">
        <v>511</v>
      </c>
      <c r="J11" s="58"/>
      <c r="K11" s="59"/>
      <c r="L11" s="59"/>
      <c r="M11" s="60"/>
      <c r="N11" s="60"/>
      <c r="O11" s="84">
        <f t="shared" si="0"/>
        <v>300</v>
      </c>
      <c r="P11" s="22">
        <v>0</v>
      </c>
      <c r="Q11" s="22">
        <v>300</v>
      </c>
      <c r="R11" s="7"/>
      <c r="S11" s="22">
        <f t="shared" si="1"/>
        <v>300</v>
      </c>
      <c r="T11" s="92"/>
    </row>
    <row r="12" spans="1:20" ht="21.75" customHeight="1" x14ac:dyDescent="0.25">
      <c r="A12" s="93">
        <v>10</v>
      </c>
      <c r="B12" s="94" t="s">
        <v>446</v>
      </c>
      <c r="C12" s="95" t="s">
        <v>454</v>
      </c>
      <c r="D12" s="95" t="s">
        <v>470</v>
      </c>
      <c r="E12" s="96">
        <v>42573</v>
      </c>
      <c r="F12" s="95" t="s">
        <v>10</v>
      </c>
      <c r="G12" s="95" t="s">
        <v>491</v>
      </c>
      <c r="H12" s="95" t="s">
        <v>534</v>
      </c>
      <c r="I12" s="95" t="s">
        <v>512</v>
      </c>
      <c r="J12" s="58"/>
      <c r="K12" s="59"/>
      <c r="L12" s="59"/>
      <c r="M12" s="60"/>
      <c r="N12" s="60"/>
      <c r="O12" s="84">
        <f t="shared" si="0"/>
        <v>300</v>
      </c>
      <c r="P12" s="22">
        <v>0</v>
      </c>
      <c r="Q12" s="22">
        <v>300</v>
      </c>
      <c r="R12" s="7"/>
      <c r="S12" s="22">
        <f t="shared" ref="S12:S21" si="2">Q12-P12</f>
        <v>300</v>
      </c>
      <c r="T12" s="92"/>
    </row>
    <row r="13" spans="1:20" ht="21.75" customHeight="1" x14ac:dyDescent="0.25">
      <c r="A13" s="93">
        <v>11</v>
      </c>
      <c r="B13" s="94" t="s">
        <v>446</v>
      </c>
      <c r="C13" s="95" t="s">
        <v>455</v>
      </c>
      <c r="D13" s="95" t="s">
        <v>471</v>
      </c>
      <c r="E13" s="96">
        <v>42548</v>
      </c>
      <c r="F13" s="95" t="s">
        <v>10</v>
      </c>
      <c r="G13" s="95" t="s">
        <v>492</v>
      </c>
      <c r="H13" s="95" t="s">
        <v>535</v>
      </c>
      <c r="I13" s="95" t="s">
        <v>513</v>
      </c>
      <c r="J13" s="58"/>
      <c r="K13" s="59"/>
      <c r="L13" s="59"/>
      <c r="M13" s="60"/>
      <c r="N13" s="60"/>
      <c r="O13" s="84">
        <f t="shared" ref="O13:O22" si="3">Q13-P13</f>
        <v>300</v>
      </c>
      <c r="P13" s="22">
        <v>0</v>
      </c>
      <c r="Q13" s="22">
        <v>300</v>
      </c>
      <c r="R13" s="7"/>
      <c r="S13" s="22">
        <f t="shared" si="2"/>
        <v>300</v>
      </c>
      <c r="T13" s="92"/>
    </row>
    <row r="14" spans="1:20" ht="21.75" customHeight="1" x14ac:dyDescent="0.25">
      <c r="A14" s="93">
        <v>12</v>
      </c>
      <c r="B14" s="94" t="s">
        <v>446</v>
      </c>
      <c r="C14" s="95" t="s">
        <v>456</v>
      </c>
      <c r="D14" s="95" t="s">
        <v>382</v>
      </c>
      <c r="E14" s="96">
        <v>43276</v>
      </c>
      <c r="F14" s="95" t="s">
        <v>10</v>
      </c>
      <c r="G14" s="95" t="s">
        <v>493</v>
      </c>
      <c r="H14" s="95" t="s">
        <v>536</v>
      </c>
      <c r="I14" s="95" t="s">
        <v>514</v>
      </c>
      <c r="J14" s="58"/>
      <c r="K14" s="59"/>
      <c r="L14" s="59"/>
      <c r="M14" s="60"/>
      <c r="N14" s="60"/>
      <c r="O14" s="84">
        <f t="shared" si="3"/>
        <v>300</v>
      </c>
      <c r="P14" s="22">
        <v>0</v>
      </c>
      <c r="Q14" s="22">
        <v>300</v>
      </c>
      <c r="R14" s="7"/>
      <c r="S14" s="22">
        <f t="shared" si="2"/>
        <v>300</v>
      </c>
      <c r="T14" s="92"/>
    </row>
    <row r="15" spans="1:20" ht="21.75" customHeight="1" x14ac:dyDescent="0.25">
      <c r="A15" s="93">
        <v>13</v>
      </c>
      <c r="B15" s="94" t="s">
        <v>446</v>
      </c>
      <c r="C15" s="95" t="s">
        <v>457</v>
      </c>
      <c r="D15" s="95" t="s">
        <v>472</v>
      </c>
      <c r="E15" s="96">
        <v>43089</v>
      </c>
      <c r="F15" s="95" t="s">
        <v>482</v>
      </c>
      <c r="G15" s="95"/>
      <c r="H15" s="95" t="s">
        <v>537</v>
      </c>
      <c r="I15" s="95" t="s">
        <v>515</v>
      </c>
      <c r="J15" s="58"/>
      <c r="K15" s="59"/>
      <c r="L15" s="59"/>
      <c r="M15" s="60"/>
      <c r="N15" s="60"/>
      <c r="O15" s="84">
        <f t="shared" si="3"/>
        <v>300</v>
      </c>
      <c r="P15" s="22">
        <v>0</v>
      </c>
      <c r="Q15" s="22">
        <v>300</v>
      </c>
      <c r="R15" s="7"/>
      <c r="S15" s="22">
        <f t="shared" si="2"/>
        <v>300</v>
      </c>
      <c r="T15" s="92"/>
    </row>
    <row r="16" spans="1:20" ht="21.75" customHeight="1" x14ac:dyDescent="0.25">
      <c r="A16" s="93">
        <v>14</v>
      </c>
      <c r="B16" s="94" t="s">
        <v>446</v>
      </c>
      <c r="C16" s="95" t="s">
        <v>458</v>
      </c>
      <c r="D16" s="95" t="s">
        <v>473</v>
      </c>
      <c r="E16" s="96">
        <v>42074</v>
      </c>
      <c r="F16" s="95" t="s">
        <v>10</v>
      </c>
      <c r="G16" s="95" t="s">
        <v>494</v>
      </c>
      <c r="H16" s="95" t="s">
        <v>538</v>
      </c>
      <c r="I16" s="95" t="s">
        <v>516</v>
      </c>
      <c r="J16" s="58"/>
      <c r="K16" s="59"/>
      <c r="L16" s="59"/>
      <c r="M16" s="60"/>
      <c r="N16" s="60"/>
      <c r="O16" s="84">
        <f t="shared" si="3"/>
        <v>300</v>
      </c>
      <c r="P16" s="22">
        <v>0</v>
      </c>
      <c r="Q16" s="22">
        <v>300</v>
      </c>
      <c r="R16" s="7"/>
      <c r="S16" s="22">
        <f t="shared" si="2"/>
        <v>300</v>
      </c>
      <c r="T16" s="92"/>
    </row>
    <row r="17" spans="1:20" ht="21.75" customHeight="1" x14ac:dyDescent="0.25">
      <c r="A17" s="93">
        <v>15</v>
      </c>
      <c r="B17" s="94" t="s">
        <v>446</v>
      </c>
      <c r="C17" s="95" t="s">
        <v>459</v>
      </c>
      <c r="D17" s="95" t="s">
        <v>426</v>
      </c>
      <c r="E17" s="96">
        <v>43146</v>
      </c>
      <c r="F17" s="95" t="s">
        <v>10</v>
      </c>
      <c r="G17" s="95" t="s">
        <v>495</v>
      </c>
      <c r="H17" s="95" t="s">
        <v>539</v>
      </c>
      <c r="I17" s="95" t="s">
        <v>517</v>
      </c>
      <c r="J17" s="58"/>
      <c r="K17" s="59"/>
      <c r="L17" s="59"/>
      <c r="M17" s="60"/>
      <c r="N17" s="60"/>
      <c r="O17" s="84">
        <f t="shared" si="3"/>
        <v>300</v>
      </c>
      <c r="P17" s="22">
        <v>0</v>
      </c>
      <c r="Q17" s="22">
        <v>300</v>
      </c>
      <c r="R17" s="7"/>
      <c r="S17" s="22">
        <f t="shared" si="2"/>
        <v>300</v>
      </c>
      <c r="T17" s="92"/>
    </row>
    <row r="18" spans="1:20" ht="21.75" customHeight="1" x14ac:dyDescent="0.25">
      <c r="A18" s="93">
        <v>16</v>
      </c>
      <c r="B18" s="94" t="s">
        <v>446</v>
      </c>
      <c r="C18" s="95" t="s">
        <v>460</v>
      </c>
      <c r="D18" s="95" t="s">
        <v>474</v>
      </c>
      <c r="E18" s="96">
        <v>43299</v>
      </c>
      <c r="F18" s="95" t="s">
        <v>10</v>
      </c>
      <c r="G18" s="95" t="s">
        <v>496</v>
      </c>
      <c r="H18" s="95" t="s">
        <v>540</v>
      </c>
      <c r="I18" s="95" t="s">
        <v>518</v>
      </c>
      <c r="J18" s="58"/>
      <c r="K18" s="59"/>
      <c r="L18" s="59"/>
      <c r="M18" s="60"/>
      <c r="N18" s="60"/>
      <c r="O18" s="84">
        <f t="shared" si="3"/>
        <v>300</v>
      </c>
      <c r="P18" s="22">
        <v>0</v>
      </c>
      <c r="Q18" s="22">
        <v>300</v>
      </c>
      <c r="R18" s="7"/>
      <c r="S18" s="22">
        <f t="shared" si="2"/>
        <v>300</v>
      </c>
      <c r="T18" s="92"/>
    </row>
    <row r="19" spans="1:20" ht="21.75" customHeight="1" x14ac:dyDescent="0.25">
      <c r="A19" s="93">
        <v>17</v>
      </c>
      <c r="B19" s="94" t="s">
        <v>446</v>
      </c>
      <c r="C19" s="95" t="s">
        <v>461</v>
      </c>
      <c r="D19" s="95" t="s">
        <v>475</v>
      </c>
      <c r="E19" s="96">
        <v>42461</v>
      </c>
      <c r="F19" s="95" t="s">
        <v>10</v>
      </c>
      <c r="G19" s="95" t="s">
        <v>497</v>
      </c>
      <c r="H19" s="95" t="s">
        <v>541</v>
      </c>
      <c r="I19" s="95" t="s">
        <v>519</v>
      </c>
      <c r="J19" s="58"/>
      <c r="K19" s="59"/>
      <c r="L19" s="59"/>
      <c r="M19" s="60"/>
      <c r="N19" s="60"/>
      <c r="O19" s="84">
        <f t="shared" si="3"/>
        <v>300</v>
      </c>
      <c r="P19" s="22">
        <v>0</v>
      </c>
      <c r="Q19" s="22">
        <v>300</v>
      </c>
      <c r="R19" s="7"/>
      <c r="S19" s="22">
        <f t="shared" si="2"/>
        <v>300</v>
      </c>
      <c r="T19" s="92"/>
    </row>
    <row r="20" spans="1:20" ht="21.75" customHeight="1" x14ac:dyDescent="0.25">
      <c r="A20" s="93">
        <v>18</v>
      </c>
      <c r="B20" s="94" t="s">
        <v>446</v>
      </c>
      <c r="C20" s="95" t="s">
        <v>462</v>
      </c>
      <c r="D20" s="95" t="s">
        <v>428</v>
      </c>
      <c r="E20" s="96">
        <v>42815</v>
      </c>
      <c r="F20" s="95" t="s">
        <v>10</v>
      </c>
      <c r="G20" s="95" t="s">
        <v>498</v>
      </c>
      <c r="H20" s="95" t="s">
        <v>542</v>
      </c>
      <c r="I20" s="95" t="s">
        <v>520</v>
      </c>
      <c r="J20" s="58"/>
      <c r="K20" s="59"/>
      <c r="L20" s="59"/>
      <c r="M20" s="60"/>
      <c r="N20" s="60"/>
      <c r="O20" s="84">
        <f t="shared" si="3"/>
        <v>300</v>
      </c>
      <c r="P20" s="22">
        <v>0</v>
      </c>
      <c r="Q20" s="22">
        <v>300</v>
      </c>
      <c r="R20" s="7"/>
      <c r="S20" s="22">
        <f t="shared" si="2"/>
        <v>300</v>
      </c>
      <c r="T20" s="92"/>
    </row>
    <row r="21" spans="1:20" ht="21.75" customHeight="1" x14ac:dyDescent="0.25">
      <c r="A21" s="93">
        <v>19</v>
      </c>
      <c r="B21" s="94" t="s">
        <v>446</v>
      </c>
      <c r="C21" s="95" t="s">
        <v>463</v>
      </c>
      <c r="D21" s="95" t="s">
        <v>476</v>
      </c>
      <c r="E21" s="96">
        <v>42247</v>
      </c>
      <c r="F21" s="95" t="s">
        <v>10</v>
      </c>
      <c r="G21" s="95" t="s">
        <v>499</v>
      </c>
      <c r="H21" s="95" t="s">
        <v>543</v>
      </c>
      <c r="I21" s="95" t="s">
        <v>521</v>
      </c>
      <c r="J21" s="58"/>
      <c r="K21" s="59"/>
      <c r="L21" s="59"/>
      <c r="M21" s="60"/>
      <c r="N21" s="60"/>
      <c r="O21" s="84">
        <f t="shared" si="3"/>
        <v>300</v>
      </c>
      <c r="P21" s="22">
        <v>0</v>
      </c>
      <c r="Q21" s="22">
        <v>300</v>
      </c>
      <c r="R21" s="7"/>
      <c r="S21" s="22">
        <f t="shared" si="2"/>
        <v>300</v>
      </c>
      <c r="T21" s="92"/>
    </row>
    <row r="22" spans="1:20" ht="21.75" customHeight="1" x14ac:dyDescent="0.25">
      <c r="A22" s="93">
        <v>20</v>
      </c>
      <c r="B22" s="94" t="s">
        <v>446</v>
      </c>
      <c r="C22" s="95" t="s">
        <v>464</v>
      </c>
      <c r="D22" s="95" t="s">
        <v>477</v>
      </c>
      <c r="E22" s="96">
        <v>43423</v>
      </c>
      <c r="F22" s="95" t="s">
        <v>10</v>
      </c>
      <c r="G22" s="95" t="s">
        <v>500</v>
      </c>
      <c r="H22" s="95" t="s">
        <v>544</v>
      </c>
      <c r="I22" s="95" t="s">
        <v>522</v>
      </c>
      <c r="J22" s="58"/>
      <c r="K22" s="59"/>
      <c r="L22" s="59"/>
      <c r="M22" s="60"/>
      <c r="N22" s="60"/>
      <c r="O22" s="84">
        <f t="shared" si="3"/>
        <v>300</v>
      </c>
      <c r="P22" s="22">
        <v>0</v>
      </c>
      <c r="Q22" s="22">
        <v>300</v>
      </c>
      <c r="R22" s="7"/>
      <c r="S22" s="22">
        <f t="shared" ref="S22:S24" si="4">Q22-P22</f>
        <v>300</v>
      </c>
      <c r="T22" s="92"/>
    </row>
    <row r="23" spans="1:20" ht="21.75" customHeight="1" x14ac:dyDescent="0.25">
      <c r="A23" s="93">
        <v>21</v>
      </c>
      <c r="B23" s="94" t="s">
        <v>446</v>
      </c>
      <c r="C23" s="95" t="s">
        <v>465</v>
      </c>
      <c r="D23" s="95" t="s">
        <v>478</v>
      </c>
      <c r="E23" s="96">
        <v>43384</v>
      </c>
      <c r="F23" s="95" t="s">
        <v>10</v>
      </c>
      <c r="G23" s="95" t="s">
        <v>501</v>
      </c>
      <c r="H23" s="95" t="s">
        <v>545</v>
      </c>
      <c r="I23" s="95" t="s">
        <v>523</v>
      </c>
      <c r="J23" s="58"/>
      <c r="K23" s="59"/>
      <c r="L23" s="59"/>
      <c r="M23" s="60"/>
      <c r="N23" s="60"/>
      <c r="O23" s="84">
        <f t="shared" ref="O23:O25" si="5">Q23-P23</f>
        <v>300</v>
      </c>
      <c r="P23" s="22">
        <v>0</v>
      </c>
      <c r="Q23" s="22">
        <v>300</v>
      </c>
      <c r="R23" s="7"/>
      <c r="S23" s="22">
        <f t="shared" si="4"/>
        <v>300</v>
      </c>
      <c r="T23" s="92"/>
    </row>
    <row r="24" spans="1:20" ht="21.75" customHeight="1" x14ac:dyDescent="0.25">
      <c r="A24" s="93">
        <v>22</v>
      </c>
      <c r="B24" s="94" t="s">
        <v>446</v>
      </c>
      <c r="C24" s="95" t="s">
        <v>466</v>
      </c>
      <c r="D24" s="95" t="s">
        <v>479</v>
      </c>
      <c r="E24" s="96">
        <v>42795</v>
      </c>
      <c r="F24" s="95" t="s">
        <v>10</v>
      </c>
      <c r="G24" s="95" t="s">
        <v>502</v>
      </c>
      <c r="H24" s="95" t="s">
        <v>546</v>
      </c>
      <c r="I24" s="95" t="s">
        <v>524</v>
      </c>
      <c r="J24" s="58"/>
      <c r="K24" s="59"/>
      <c r="L24" s="59"/>
      <c r="M24" s="60"/>
      <c r="N24" s="60"/>
      <c r="O24" s="84">
        <f t="shared" si="5"/>
        <v>300</v>
      </c>
      <c r="P24" s="22">
        <v>0</v>
      </c>
      <c r="Q24" s="22">
        <v>300</v>
      </c>
      <c r="R24" s="7"/>
      <c r="S24" s="22">
        <f t="shared" si="4"/>
        <v>300</v>
      </c>
      <c r="T24" s="92"/>
    </row>
    <row r="25" spans="1:20" ht="21.75" customHeight="1" x14ac:dyDescent="0.25">
      <c r="A25" s="93">
        <v>23</v>
      </c>
      <c r="B25" s="94" t="s">
        <v>446</v>
      </c>
      <c r="C25" s="95" t="s">
        <v>467</v>
      </c>
      <c r="D25" s="95" t="s">
        <v>480</v>
      </c>
      <c r="E25" s="96">
        <v>42563</v>
      </c>
      <c r="F25" s="95" t="s">
        <v>10</v>
      </c>
      <c r="G25" s="95" t="s">
        <v>503</v>
      </c>
      <c r="H25" s="95" t="s">
        <v>547</v>
      </c>
      <c r="I25" s="95" t="s">
        <v>525</v>
      </c>
      <c r="J25" s="58"/>
      <c r="K25" s="59"/>
      <c r="L25" s="59"/>
      <c r="M25" s="60"/>
      <c r="N25" s="60"/>
      <c r="O25" s="84">
        <f t="shared" si="5"/>
        <v>300</v>
      </c>
      <c r="P25" s="22">
        <v>0</v>
      </c>
      <c r="Q25" s="22">
        <v>300</v>
      </c>
      <c r="R25" s="7"/>
      <c r="S25" s="22">
        <f t="shared" ref="S25" si="6">Q25-P25</f>
        <v>300</v>
      </c>
      <c r="T25" s="92"/>
    </row>
    <row r="26" spans="1:20" ht="21.75" customHeight="1" x14ac:dyDescent="0.25">
      <c r="A26" s="93">
        <v>24</v>
      </c>
      <c r="B26" s="94" t="s">
        <v>446</v>
      </c>
      <c r="C26" s="95" t="s">
        <v>63</v>
      </c>
      <c r="D26" s="95" t="s">
        <v>278</v>
      </c>
      <c r="E26" s="96">
        <v>42256</v>
      </c>
      <c r="F26" s="95" t="s">
        <v>10</v>
      </c>
      <c r="G26" s="95" t="s">
        <v>553</v>
      </c>
      <c r="H26" s="95" t="s">
        <v>554</v>
      </c>
      <c r="I26" s="95" t="s">
        <v>555</v>
      </c>
      <c r="J26" s="58"/>
      <c r="K26" s="59"/>
      <c r="L26" s="59"/>
      <c r="M26" s="60"/>
      <c r="N26" s="60"/>
      <c r="O26" s="84">
        <f t="shared" ref="O26" si="7">Q26-P26</f>
        <v>300</v>
      </c>
      <c r="P26" s="22">
        <v>0</v>
      </c>
      <c r="Q26" s="22">
        <v>300</v>
      </c>
      <c r="R26" s="7"/>
      <c r="S26" s="22">
        <f t="shared" ref="S26" si="8">Q26-P26</f>
        <v>300</v>
      </c>
      <c r="T26" s="92"/>
    </row>
    <row r="27" spans="1:20" ht="21.75" customHeight="1" x14ac:dyDescent="0.25">
      <c r="A27" s="79">
        <v>25</v>
      </c>
      <c r="B27" s="48" t="s">
        <v>272</v>
      </c>
      <c r="C27" s="20" t="s">
        <v>386</v>
      </c>
      <c r="D27" s="20" t="s">
        <v>387</v>
      </c>
      <c r="E27" s="21"/>
      <c r="F27" s="55"/>
      <c r="G27" s="55"/>
      <c r="H27" s="57"/>
      <c r="I27" s="55"/>
      <c r="J27" s="58"/>
      <c r="K27" s="59"/>
      <c r="L27" s="59"/>
      <c r="M27" s="60"/>
      <c r="N27" s="60"/>
      <c r="O27" s="84">
        <f t="shared" ref="O27:O37" si="9">Q27-P27</f>
        <v>120</v>
      </c>
      <c r="P27" s="22">
        <v>0</v>
      </c>
      <c r="Q27" s="22">
        <v>120</v>
      </c>
      <c r="R27" s="7"/>
      <c r="S27" s="22">
        <f>Q27-P27</f>
        <v>120</v>
      </c>
      <c r="T27" s="3" t="s">
        <v>421</v>
      </c>
    </row>
    <row r="28" spans="1:20" ht="21.75" customHeight="1" x14ac:dyDescent="0.25">
      <c r="A28" s="79">
        <v>26</v>
      </c>
      <c r="B28" s="48" t="s">
        <v>272</v>
      </c>
      <c r="C28" s="20" t="s">
        <v>383</v>
      </c>
      <c r="D28" s="20" t="s">
        <v>384</v>
      </c>
      <c r="E28" s="21">
        <v>44541</v>
      </c>
      <c r="F28" s="55"/>
      <c r="G28" s="55"/>
      <c r="H28" s="57"/>
      <c r="I28" s="55"/>
      <c r="J28" s="58"/>
      <c r="K28" s="59"/>
      <c r="L28" s="59"/>
      <c r="M28" s="60"/>
      <c r="N28" s="60"/>
      <c r="O28" s="84">
        <f t="shared" si="9"/>
        <v>120</v>
      </c>
      <c r="P28" s="22">
        <v>0</v>
      </c>
      <c r="Q28" s="22">
        <v>120</v>
      </c>
      <c r="R28" s="7"/>
      <c r="S28" s="22">
        <f t="shared" ref="S28:S87" si="10">Q28-P28</f>
        <v>120</v>
      </c>
    </row>
    <row r="29" spans="1:20" ht="21.75" customHeight="1" x14ac:dyDescent="0.25">
      <c r="A29" s="79">
        <v>27</v>
      </c>
      <c r="B29" s="48" t="s">
        <v>272</v>
      </c>
      <c r="C29" s="20" t="s">
        <v>273</v>
      </c>
      <c r="D29" s="20" t="s">
        <v>284</v>
      </c>
      <c r="E29" s="21">
        <v>44076</v>
      </c>
      <c r="F29" s="55"/>
      <c r="G29" s="55"/>
      <c r="H29" s="57"/>
      <c r="I29" s="55"/>
      <c r="J29" s="58"/>
      <c r="K29" s="59"/>
      <c r="L29" s="59"/>
      <c r="M29" s="60"/>
      <c r="N29" s="60"/>
      <c r="O29" s="84">
        <f t="shared" si="9"/>
        <v>120</v>
      </c>
      <c r="P29" s="22">
        <v>0</v>
      </c>
      <c r="Q29" s="22">
        <v>120</v>
      </c>
      <c r="R29" s="7"/>
      <c r="S29" s="22">
        <f t="shared" si="10"/>
        <v>120</v>
      </c>
    </row>
    <row r="30" spans="1:20" ht="21.75" customHeight="1" x14ac:dyDescent="0.25">
      <c r="A30" s="79">
        <v>28</v>
      </c>
      <c r="B30" s="80" t="s">
        <v>272</v>
      </c>
      <c r="C30" s="20" t="s">
        <v>427</v>
      </c>
      <c r="D30" s="20" t="s">
        <v>428</v>
      </c>
      <c r="E30" s="21">
        <v>44251</v>
      </c>
      <c r="F30" s="55"/>
      <c r="G30" s="55"/>
      <c r="H30" s="57"/>
      <c r="I30" s="55"/>
      <c r="J30" s="58"/>
      <c r="K30" s="59"/>
      <c r="L30" s="59"/>
      <c r="M30" s="60"/>
      <c r="N30" s="60"/>
      <c r="O30" s="84">
        <f t="shared" si="9"/>
        <v>120</v>
      </c>
      <c r="P30" s="22">
        <v>0</v>
      </c>
      <c r="Q30" s="22">
        <v>120</v>
      </c>
      <c r="R30" s="7"/>
      <c r="S30" s="22">
        <f t="shared" si="10"/>
        <v>120</v>
      </c>
    </row>
    <row r="31" spans="1:20" ht="21.75" customHeight="1" x14ac:dyDescent="0.25">
      <c r="A31" s="79">
        <v>29</v>
      </c>
      <c r="B31" s="48" t="s">
        <v>272</v>
      </c>
      <c r="C31" s="20" t="s">
        <v>281</v>
      </c>
      <c r="D31" s="20" t="s">
        <v>429</v>
      </c>
      <c r="E31" s="21">
        <v>44280</v>
      </c>
      <c r="F31" s="55"/>
      <c r="G31" s="55"/>
      <c r="H31" s="57"/>
      <c r="I31" s="55"/>
      <c r="J31" s="58"/>
      <c r="K31" s="59"/>
      <c r="L31" s="59"/>
      <c r="M31" s="60"/>
      <c r="N31" s="60"/>
      <c r="O31" s="84">
        <f t="shared" si="9"/>
        <v>120</v>
      </c>
      <c r="P31" s="22">
        <v>0</v>
      </c>
      <c r="Q31" s="22">
        <v>120</v>
      </c>
      <c r="R31" s="7"/>
      <c r="S31" s="22">
        <f t="shared" si="10"/>
        <v>120</v>
      </c>
    </row>
    <row r="32" spans="1:20" ht="21.75" customHeight="1" x14ac:dyDescent="0.25">
      <c r="A32" s="79">
        <v>30</v>
      </c>
      <c r="B32" s="48" t="s">
        <v>272</v>
      </c>
      <c r="C32" s="20" t="s">
        <v>76</v>
      </c>
      <c r="D32" s="20" t="s">
        <v>430</v>
      </c>
      <c r="E32" s="21">
        <v>44310</v>
      </c>
      <c r="F32" s="55"/>
      <c r="G32" s="55"/>
      <c r="H32" s="57"/>
      <c r="I32" s="55"/>
      <c r="J32" s="58"/>
      <c r="K32" s="59"/>
      <c r="L32" s="59"/>
      <c r="M32" s="60"/>
      <c r="N32" s="60"/>
      <c r="O32" s="84">
        <f t="shared" si="9"/>
        <v>120</v>
      </c>
      <c r="P32" s="22">
        <v>0</v>
      </c>
      <c r="Q32" s="22">
        <v>120</v>
      </c>
      <c r="R32" s="7"/>
      <c r="S32" s="22">
        <f t="shared" si="10"/>
        <v>120</v>
      </c>
    </row>
    <row r="33" spans="1:20" ht="21.75" customHeight="1" x14ac:dyDescent="0.25">
      <c r="A33" s="79">
        <v>31</v>
      </c>
      <c r="B33" s="48" t="s">
        <v>272</v>
      </c>
      <c r="C33" s="20" t="s">
        <v>431</v>
      </c>
      <c r="D33" s="20" t="s">
        <v>432</v>
      </c>
      <c r="E33" s="21">
        <v>44371</v>
      </c>
      <c r="F33" s="55"/>
      <c r="G33" s="55"/>
      <c r="H33" s="57"/>
      <c r="I33" s="55"/>
      <c r="J33" s="58"/>
      <c r="K33" s="59"/>
      <c r="L33" s="59"/>
      <c r="M33" s="60"/>
      <c r="N33" s="60"/>
      <c r="O33" s="84">
        <f t="shared" si="9"/>
        <v>120</v>
      </c>
      <c r="P33" s="22">
        <v>0</v>
      </c>
      <c r="Q33" s="22">
        <v>120</v>
      </c>
      <c r="R33" s="7"/>
      <c r="S33" s="22">
        <f t="shared" si="10"/>
        <v>120</v>
      </c>
    </row>
    <row r="34" spans="1:20" ht="21.75" customHeight="1" x14ac:dyDescent="0.25">
      <c r="A34" s="79">
        <v>32</v>
      </c>
      <c r="B34" s="80" t="s">
        <v>272</v>
      </c>
      <c r="C34" s="20" t="s">
        <v>257</v>
      </c>
      <c r="D34" s="20" t="s">
        <v>433</v>
      </c>
      <c r="E34" s="21">
        <v>44392</v>
      </c>
      <c r="F34" s="55"/>
      <c r="G34" s="55"/>
      <c r="H34" s="57"/>
      <c r="I34" s="55"/>
      <c r="J34" s="58"/>
      <c r="K34" s="59"/>
      <c r="L34" s="59"/>
      <c r="M34" s="60"/>
      <c r="N34" s="60"/>
      <c r="O34" s="84">
        <f t="shared" si="9"/>
        <v>120</v>
      </c>
      <c r="P34" s="22">
        <v>0</v>
      </c>
      <c r="Q34" s="22">
        <v>120</v>
      </c>
      <c r="R34" s="7"/>
      <c r="S34" s="22">
        <f t="shared" si="10"/>
        <v>120</v>
      </c>
    </row>
    <row r="35" spans="1:20" ht="21.75" customHeight="1" x14ac:dyDescent="0.25">
      <c r="A35" s="79">
        <v>33</v>
      </c>
      <c r="B35" s="48" t="s">
        <v>272</v>
      </c>
      <c r="C35" s="20" t="s">
        <v>434</v>
      </c>
      <c r="D35" s="20" t="s">
        <v>435</v>
      </c>
      <c r="E35" s="21">
        <v>44816</v>
      </c>
      <c r="F35" s="55"/>
      <c r="G35" s="55"/>
      <c r="H35" s="57"/>
      <c r="I35" s="55"/>
      <c r="J35" s="58"/>
      <c r="K35" s="59"/>
      <c r="L35" s="59"/>
      <c r="M35" s="60"/>
      <c r="N35" s="60"/>
      <c r="O35" s="84">
        <f t="shared" si="9"/>
        <v>120</v>
      </c>
      <c r="P35" s="22">
        <v>0</v>
      </c>
      <c r="Q35" s="22">
        <v>120</v>
      </c>
      <c r="R35" s="7"/>
      <c r="S35" s="22">
        <f t="shared" si="10"/>
        <v>120</v>
      </c>
    </row>
    <row r="36" spans="1:20" ht="21.75" customHeight="1" x14ac:dyDescent="0.25">
      <c r="A36" s="79">
        <v>34</v>
      </c>
      <c r="B36" s="48" t="s">
        <v>272</v>
      </c>
      <c r="C36" s="20" t="s">
        <v>381</v>
      </c>
      <c r="D36" s="20" t="s">
        <v>382</v>
      </c>
      <c r="E36" s="21">
        <v>44194</v>
      </c>
      <c r="F36" s="55"/>
      <c r="G36" s="55"/>
      <c r="H36" s="57"/>
      <c r="I36" s="55"/>
      <c r="J36" s="58"/>
      <c r="K36" s="59"/>
      <c r="L36" s="59"/>
      <c r="M36" s="60"/>
      <c r="N36" s="60"/>
      <c r="O36" s="84">
        <f t="shared" si="9"/>
        <v>120</v>
      </c>
      <c r="P36" s="22">
        <v>0</v>
      </c>
      <c r="Q36" s="22">
        <v>120</v>
      </c>
      <c r="R36" s="7"/>
      <c r="S36" s="22">
        <f t="shared" si="10"/>
        <v>120</v>
      </c>
    </row>
    <row r="37" spans="1:20" ht="21.75" customHeight="1" x14ac:dyDescent="0.25">
      <c r="A37" s="79">
        <v>35</v>
      </c>
      <c r="B37" s="80" t="s">
        <v>267</v>
      </c>
      <c r="C37" s="20" t="s">
        <v>273</v>
      </c>
      <c r="D37" s="20" t="s">
        <v>385</v>
      </c>
      <c r="E37" s="21">
        <v>44076</v>
      </c>
      <c r="F37" s="55"/>
      <c r="G37" s="55"/>
      <c r="H37" s="57"/>
      <c r="I37" s="55"/>
      <c r="J37" s="58"/>
      <c r="K37" s="59"/>
      <c r="L37" s="59"/>
      <c r="M37" s="60"/>
      <c r="N37" s="60"/>
      <c r="O37" s="84">
        <f t="shared" si="9"/>
        <v>300</v>
      </c>
      <c r="P37" s="22">
        <v>0</v>
      </c>
      <c r="Q37" s="22">
        <v>300</v>
      </c>
      <c r="R37" s="7"/>
      <c r="S37" s="22">
        <f t="shared" ref="S37" si="11">Q37-P37</f>
        <v>300</v>
      </c>
      <c r="T37" s="3" t="s">
        <v>422</v>
      </c>
    </row>
    <row r="38" spans="1:20" ht="21.75" customHeight="1" x14ac:dyDescent="0.25">
      <c r="A38" s="79">
        <v>36</v>
      </c>
      <c r="B38" s="80" t="s">
        <v>267</v>
      </c>
      <c r="C38" s="20" t="s">
        <v>380</v>
      </c>
      <c r="D38" s="20" t="s">
        <v>132</v>
      </c>
      <c r="E38" s="21">
        <v>44187</v>
      </c>
      <c r="F38" s="55"/>
      <c r="G38" s="55"/>
      <c r="H38" s="57"/>
      <c r="I38" s="55"/>
      <c r="J38" s="58"/>
      <c r="K38" s="59"/>
      <c r="L38" s="59"/>
      <c r="M38" s="60"/>
      <c r="N38" s="60"/>
      <c r="O38" s="84">
        <f t="shared" ref="O38:O98" si="12">Q38-P38</f>
        <v>300</v>
      </c>
      <c r="P38" s="22">
        <v>0</v>
      </c>
      <c r="Q38" s="22">
        <v>300</v>
      </c>
      <c r="R38" s="7"/>
      <c r="S38" s="22">
        <f t="shared" si="10"/>
        <v>300</v>
      </c>
    </row>
    <row r="39" spans="1:20" ht="21.75" customHeight="1" x14ac:dyDescent="0.25">
      <c r="A39" s="79">
        <v>37</v>
      </c>
      <c r="B39" s="80" t="s">
        <v>267</v>
      </c>
      <c r="C39" s="20" t="s">
        <v>8</v>
      </c>
      <c r="D39" s="20" t="s">
        <v>379</v>
      </c>
      <c r="E39" s="21">
        <v>44112</v>
      </c>
      <c r="F39" s="55"/>
      <c r="G39" s="55"/>
      <c r="H39" s="57"/>
      <c r="I39" s="55"/>
      <c r="J39" s="58"/>
      <c r="K39" s="59"/>
      <c r="L39" s="59"/>
      <c r="M39" s="60"/>
      <c r="N39" s="60"/>
      <c r="O39" s="84">
        <f t="shared" si="12"/>
        <v>300</v>
      </c>
      <c r="P39" s="22">
        <v>0</v>
      </c>
      <c r="Q39" s="22">
        <v>300</v>
      </c>
      <c r="R39" s="7"/>
      <c r="S39" s="22">
        <f t="shared" si="10"/>
        <v>300</v>
      </c>
    </row>
    <row r="40" spans="1:20" ht="21.75" customHeight="1" x14ac:dyDescent="0.25">
      <c r="A40" s="79">
        <v>38</v>
      </c>
      <c r="B40" s="80" t="s">
        <v>267</v>
      </c>
      <c r="C40" s="20" t="s">
        <v>377</v>
      </c>
      <c r="D40" s="20" t="s">
        <v>378</v>
      </c>
      <c r="E40" s="21">
        <v>44019</v>
      </c>
      <c r="F40" s="55"/>
      <c r="G40" s="55"/>
      <c r="H40" s="57"/>
      <c r="I40" s="55"/>
      <c r="J40" s="58"/>
      <c r="K40" s="59"/>
      <c r="L40" s="59"/>
      <c r="M40" s="60"/>
      <c r="N40" s="60"/>
      <c r="O40" s="84">
        <f t="shared" si="12"/>
        <v>300</v>
      </c>
      <c r="P40" s="22">
        <v>0</v>
      </c>
      <c r="Q40" s="22">
        <v>300</v>
      </c>
      <c r="R40" s="7"/>
      <c r="S40" s="22">
        <f t="shared" si="10"/>
        <v>300</v>
      </c>
    </row>
    <row r="41" spans="1:20" ht="21.75" customHeight="1" x14ac:dyDescent="0.25">
      <c r="A41" s="79">
        <v>39</v>
      </c>
      <c r="B41" s="80" t="s">
        <v>267</v>
      </c>
      <c r="C41" s="20" t="s">
        <v>115</v>
      </c>
      <c r="D41" s="20" t="s">
        <v>376</v>
      </c>
      <c r="E41" s="21">
        <v>44011</v>
      </c>
      <c r="F41" s="55"/>
      <c r="G41" s="55"/>
      <c r="H41" s="57"/>
      <c r="I41" s="55"/>
      <c r="J41" s="58"/>
      <c r="K41" s="59"/>
      <c r="L41" s="59"/>
      <c r="M41" s="60"/>
      <c r="N41" s="60"/>
      <c r="O41" s="84">
        <f t="shared" si="12"/>
        <v>300</v>
      </c>
      <c r="P41" s="22">
        <v>0</v>
      </c>
      <c r="Q41" s="22">
        <v>300</v>
      </c>
      <c r="R41" s="7"/>
      <c r="S41" s="22">
        <f t="shared" si="10"/>
        <v>300</v>
      </c>
    </row>
    <row r="42" spans="1:20" ht="21.75" customHeight="1" x14ac:dyDescent="0.25">
      <c r="A42" s="79">
        <v>40</v>
      </c>
      <c r="B42" s="80" t="s">
        <v>267</v>
      </c>
      <c r="C42" s="20" t="s">
        <v>74</v>
      </c>
      <c r="D42" s="20" t="s">
        <v>301</v>
      </c>
      <c r="E42" s="21">
        <v>43947</v>
      </c>
      <c r="F42" s="55"/>
      <c r="G42" s="55"/>
      <c r="H42" s="57"/>
      <c r="I42" s="55"/>
      <c r="J42" s="58"/>
      <c r="K42" s="59"/>
      <c r="L42" s="59"/>
      <c r="M42" s="60"/>
      <c r="N42" s="60"/>
      <c r="O42" s="84">
        <f t="shared" si="12"/>
        <v>300</v>
      </c>
      <c r="P42" s="22">
        <v>0</v>
      </c>
      <c r="Q42" s="22">
        <v>300</v>
      </c>
      <c r="R42" s="7"/>
      <c r="S42" s="22">
        <f t="shared" si="10"/>
        <v>300</v>
      </c>
    </row>
    <row r="43" spans="1:20" ht="21.75" customHeight="1" x14ac:dyDescent="0.25">
      <c r="A43" s="79">
        <v>41</v>
      </c>
      <c r="B43" s="80" t="s">
        <v>267</v>
      </c>
      <c r="C43" s="20" t="s">
        <v>262</v>
      </c>
      <c r="D43" s="20" t="s">
        <v>426</v>
      </c>
      <c r="E43" s="21">
        <v>44118</v>
      </c>
      <c r="F43" s="55"/>
      <c r="G43" s="55"/>
      <c r="H43" s="57"/>
      <c r="I43" s="55"/>
      <c r="J43" s="58"/>
      <c r="K43" s="59"/>
      <c r="L43" s="59"/>
      <c r="M43" s="60"/>
      <c r="N43" s="60"/>
      <c r="O43" s="84">
        <f t="shared" si="12"/>
        <v>300</v>
      </c>
      <c r="P43" s="22">
        <v>0</v>
      </c>
      <c r="Q43" s="22">
        <v>300</v>
      </c>
      <c r="R43" s="7"/>
      <c r="S43" s="22">
        <f t="shared" si="10"/>
        <v>300</v>
      </c>
    </row>
    <row r="44" spans="1:20" ht="21.75" customHeight="1" x14ac:dyDescent="0.25">
      <c r="A44" s="79">
        <v>42</v>
      </c>
      <c r="B44" s="80" t="s">
        <v>267</v>
      </c>
      <c r="C44" s="20" t="s">
        <v>76</v>
      </c>
      <c r="D44" s="20" t="s">
        <v>402</v>
      </c>
      <c r="E44" s="21">
        <v>44164</v>
      </c>
      <c r="F44" s="55"/>
      <c r="G44" s="55"/>
      <c r="H44" s="57"/>
      <c r="I44" s="55"/>
      <c r="J44" s="58"/>
      <c r="K44" s="59"/>
      <c r="L44" s="59"/>
      <c r="M44" s="60"/>
      <c r="N44" s="60"/>
      <c r="O44" s="84">
        <f t="shared" si="12"/>
        <v>300</v>
      </c>
      <c r="P44" s="22">
        <v>0</v>
      </c>
      <c r="Q44" s="22">
        <v>300</v>
      </c>
      <c r="R44" s="7"/>
      <c r="S44" s="22">
        <f t="shared" ref="S44" si="13">Q44-P44</f>
        <v>300</v>
      </c>
    </row>
    <row r="45" spans="1:20" ht="21.75" customHeight="1" x14ac:dyDescent="0.25">
      <c r="A45" s="79">
        <v>43</v>
      </c>
      <c r="B45" s="80" t="s">
        <v>267</v>
      </c>
      <c r="C45" s="20" t="s">
        <v>166</v>
      </c>
      <c r="D45" s="20" t="s">
        <v>375</v>
      </c>
      <c r="E45" s="21">
        <v>43794</v>
      </c>
      <c r="F45" s="55"/>
      <c r="G45" s="55"/>
      <c r="H45" s="57"/>
      <c r="I45" s="55"/>
      <c r="J45" s="58" t="s">
        <v>436</v>
      </c>
      <c r="K45" s="59"/>
      <c r="L45" s="59"/>
      <c r="M45" s="60"/>
      <c r="N45" s="60"/>
      <c r="O45" s="84">
        <f t="shared" si="12"/>
        <v>300</v>
      </c>
      <c r="P45" s="22">
        <v>0</v>
      </c>
      <c r="Q45" s="22">
        <v>300</v>
      </c>
      <c r="R45" s="7"/>
      <c r="S45" s="22">
        <f t="shared" si="10"/>
        <v>300</v>
      </c>
    </row>
    <row r="46" spans="1:20" ht="21.75" customHeight="1" x14ac:dyDescent="0.25">
      <c r="A46" s="79">
        <v>44</v>
      </c>
      <c r="B46" s="80" t="s">
        <v>49</v>
      </c>
      <c r="C46" s="20" t="s">
        <v>166</v>
      </c>
      <c r="D46" s="20" t="s">
        <v>302</v>
      </c>
      <c r="E46" s="21">
        <v>43783</v>
      </c>
      <c r="F46" s="55"/>
      <c r="G46" s="55"/>
      <c r="H46" s="57"/>
      <c r="I46" s="55"/>
      <c r="J46" s="58"/>
      <c r="K46" s="59"/>
      <c r="L46" s="59"/>
      <c r="M46" s="60"/>
      <c r="N46" s="60"/>
      <c r="O46" s="84">
        <f t="shared" si="12"/>
        <v>300</v>
      </c>
      <c r="P46" s="22">
        <v>0</v>
      </c>
      <c r="Q46" s="22">
        <v>300</v>
      </c>
      <c r="R46" s="7"/>
      <c r="S46" s="22">
        <f t="shared" si="10"/>
        <v>300</v>
      </c>
    </row>
    <row r="47" spans="1:20" ht="21.75" customHeight="1" x14ac:dyDescent="0.25">
      <c r="A47" s="79">
        <v>45</v>
      </c>
      <c r="B47" s="80" t="s">
        <v>49</v>
      </c>
      <c r="C47" s="20" t="s">
        <v>276</v>
      </c>
      <c r="D47" s="20" t="s">
        <v>374</v>
      </c>
      <c r="E47" s="21">
        <v>43754</v>
      </c>
      <c r="F47" s="55"/>
      <c r="G47" s="55"/>
      <c r="H47" s="57"/>
      <c r="I47" s="55"/>
      <c r="J47" s="58"/>
      <c r="K47" s="59"/>
      <c r="L47" s="59"/>
      <c r="M47" s="60"/>
      <c r="N47" s="60"/>
      <c r="O47" s="84">
        <f t="shared" si="12"/>
        <v>300</v>
      </c>
      <c r="P47" s="22">
        <v>0</v>
      </c>
      <c r="Q47" s="22">
        <v>300</v>
      </c>
      <c r="R47" s="7"/>
      <c r="S47" s="22">
        <f t="shared" si="10"/>
        <v>300</v>
      </c>
    </row>
    <row r="48" spans="1:20" ht="21.75" customHeight="1" x14ac:dyDescent="0.25">
      <c r="A48" s="79">
        <v>46</v>
      </c>
      <c r="B48" s="80" t="s">
        <v>49</v>
      </c>
      <c r="C48" s="20" t="s">
        <v>372</v>
      </c>
      <c r="D48" s="20" t="s">
        <v>373</v>
      </c>
      <c r="E48" s="21">
        <v>43749</v>
      </c>
      <c r="F48" s="55"/>
      <c r="G48" s="55"/>
      <c r="H48" s="57"/>
      <c r="I48" s="55"/>
      <c r="J48" s="58"/>
      <c r="K48" s="59"/>
      <c r="L48" s="59"/>
      <c r="M48" s="60"/>
      <c r="N48" s="60"/>
      <c r="O48" s="84">
        <f t="shared" si="12"/>
        <v>300</v>
      </c>
      <c r="P48" s="22">
        <v>0</v>
      </c>
      <c r="Q48" s="22">
        <v>300</v>
      </c>
      <c r="R48" s="7"/>
      <c r="S48" s="22">
        <f t="shared" si="10"/>
        <v>300</v>
      </c>
    </row>
    <row r="49" spans="1:19" ht="21.75" customHeight="1" x14ac:dyDescent="0.25">
      <c r="A49" s="79">
        <v>47</v>
      </c>
      <c r="B49" s="80" t="s">
        <v>49</v>
      </c>
      <c r="C49" s="20" t="s">
        <v>371</v>
      </c>
      <c r="D49" s="20" t="s">
        <v>406</v>
      </c>
      <c r="E49" s="21">
        <v>43555</v>
      </c>
      <c r="F49" s="55"/>
      <c r="G49" s="55"/>
      <c r="H49" s="57"/>
      <c r="I49" s="55"/>
      <c r="J49" s="58"/>
      <c r="K49" s="59"/>
      <c r="L49" s="59"/>
      <c r="M49" s="60"/>
      <c r="N49" s="60"/>
      <c r="O49" s="84">
        <f t="shared" si="12"/>
        <v>300</v>
      </c>
      <c r="P49" s="22">
        <v>0</v>
      </c>
      <c r="Q49" s="22">
        <v>300</v>
      </c>
      <c r="R49" s="7"/>
      <c r="S49" s="22">
        <f t="shared" si="10"/>
        <v>300</v>
      </c>
    </row>
    <row r="50" spans="1:19" ht="21.75" customHeight="1" x14ac:dyDescent="0.25">
      <c r="A50" s="79">
        <v>48</v>
      </c>
      <c r="B50" s="80" t="s">
        <v>49</v>
      </c>
      <c r="C50" s="20" t="s">
        <v>369</v>
      </c>
      <c r="D50" s="20" t="s">
        <v>370</v>
      </c>
      <c r="E50" s="21">
        <v>43520</v>
      </c>
      <c r="F50" s="55"/>
      <c r="G50" s="55"/>
      <c r="H50" s="57"/>
      <c r="I50" s="55"/>
      <c r="J50" s="58"/>
      <c r="K50" s="59"/>
      <c r="L50" s="59"/>
      <c r="M50" s="60"/>
      <c r="N50" s="60"/>
      <c r="O50" s="84">
        <f t="shared" si="12"/>
        <v>300</v>
      </c>
      <c r="P50" s="22">
        <v>0</v>
      </c>
      <c r="Q50" s="22">
        <v>300</v>
      </c>
      <c r="R50" s="7"/>
      <c r="S50" s="22">
        <f t="shared" si="10"/>
        <v>300</v>
      </c>
    </row>
    <row r="51" spans="1:19" ht="21.75" customHeight="1" x14ac:dyDescent="0.25">
      <c r="A51" s="79">
        <v>49</v>
      </c>
      <c r="B51" s="80" t="s">
        <v>49</v>
      </c>
      <c r="C51" s="20" t="s">
        <v>368</v>
      </c>
      <c r="D51" s="20" t="s">
        <v>27</v>
      </c>
      <c r="E51" s="21">
        <v>43663</v>
      </c>
      <c r="F51" s="55"/>
      <c r="G51" s="55"/>
      <c r="H51" s="57"/>
      <c r="I51" s="55"/>
      <c r="J51" s="58"/>
      <c r="K51" s="59"/>
      <c r="L51" s="59"/>
      <c r="M51" s="60"/>
      <c r="N51" s="60"/>
      <c r="O51" s="84">
        <f t="shared" si="12"/>
        <v>300</v>
      </c>
      <c r="P51" s="22">
        <v>0</v>
      </c>
      <c r="Q51" s="22">
        <v>300</v>
      </c>
      <c r="R51" s="7"/>
      <c r="S51" s="22">
        <f t="shared" si="10"/>
        <v>300</v>
      </c>
    </row>
    <row r="52" spans="1:19" ht="21.75" customHeight="1" x14ac:dyDescent="0.25">
      <c r="A52" s="79">
        <v>50</v>
      </c>
      <c r="B52" s="80" t="s">
        <v>49</v>
      </c>
      <c r="C52" s="20" t="s">
        <v>100</v>
      </c>
      <c r="D52" s="20" t="s">
        <v>300</v>
      </c>
      <c r="E52" s="21">
        <v>43430</v>
      </c>
      <c r="F52" s="55"/>
      <c r="G52" s="55"/>
      <c r="H52" s="57"/>
      <c r="I52" s="55"/>
      <c r="J52" s="58"/>
      <c r="K52" s="59"/>
      <c r="L52" s="59"/>
      <c r="M52" s="60"/>
      <c r="N52" s="60"/>
      <c r="O52" s="84">
        <f t="shared" si="12"/>
        <v>300</v>
      </c>
      <c r="P52" s="22">
        <v>0</v>
      </c>
      <c r="Q52" s="22">
        <v>300</v>
      </c>
      <c r="R52" s="7"/>
      <c r="S52" s="22">
        <f t="shared" si="10"/>
        <v>300</v>
      </c>
    </row>
    <row r="53" spans="1:19" s="28" customFormat="1" ht="21.75" customHeight="1" x14ac:dyDescent="0.2">
      <c r="A53" s="79">
        <v>51</v>
      </c>
      <c r="B53" s="83" t="s">
        <v>81</v>
      </c>
      <c r="C53" s="24" t="s">
        <v>34</v>
      </c>
      <c r="D53" s="24" t="s">
        <v>35</v>
      </c>
      <c r="E53" s="25">
        <v>43152</v>
      </c>
      <c r="F53" s="24" t="s">
        <v>10</v>
      </c>
      <c r="G53" s="24" t="s">
        <v>36</v>
      </c>
      <c r="H53" s="26" t="s">
        <v>37</v>
      </c>
      <c r="I53" s="24" t="s">
        <v>38</v>
      </c>
      <c r="J53" s="61"/>
      <c r="K53" s="24"/>
      <c r="L53" s="24"/>
      <c r="M53" s="27"/>
      <c r="N53" s="27">
        <v>110</v>
      </c>
      <c r="O53" s="84">
        <f t="shared" si="12"/>
        <v>300</v>
      </c>
      <c r="P53" s="22">
        <v>0</v>
      </c>
      <c r="Q53" s="22">
        <v>300</v>
      </c>
      <c r="R53" s="24"/>
      <c r="S53" s="22">
        <f t="shared" si="10"/>
        <v>300</v>
      </c>
    </row>
    <row r="54" spans="1:19" ht="21.75" customHeight="1" x14ac:dyDescent="0.2">
      <c r="A54" s="79">
        <v>52</v>
      </c>
      <c r="B54" s="83" t="s">
        <v>81</v>
      </c>
      <c r="C54" s="4" t="s">
        <v>29</v>
      </c>
      <c r="D54" s="4" t="s">
        <v>30</v>
      </c>
      <c r="E54" s="5">
        <v>43237</v>
      </c>
      <c r="F54" s="4" t="s">
        <v>10</v>
      </c>
      <c r="G54" s="4" t="s">
        <v>31</v>
      </c>
      <c r="H54" s="6" t="s">
        <v>32</v>
      </c>
      <c r="I54" s="4" t="s">
        <v>33</v>
      </c>
      <c r="J54" s="20"/>
      <c r="K54" s="4">
        <v>220</v>
      </c>
      <c r="L54" s="4">
        <f>220-K54</f>
        <v>0</v>
      </c>
      <c r="M54" s="17">
        <v>140</v>
      </c>
      <c r="N54" s="17">
        <v>140</v>
      </c>
      <c r="O54" s="84">
        <f t="shared" si="12"/>
        <v>300</v>
      </c>
      <c r="P54" s="22">
        <v>0</v>
      </c>
      <c r="Q54" s="22">
        <v>300</v>
      </c>
      <c r="R54" s="7"/>
      <c r="S54" s="22">
        <f t="shared" si="10"/>
        <v>300</v>
      </c>
    </row>
    <row r="55" spans="1:19" ht="21.75" customHeight="1" x14ac:dyDescent="0.2">
      <c r="A55" s="79">
        <v>53</v>
      </c>
      <c r="B55" s="83" t="s">
        <v>81</v>
      </c>
      <c r="C55" s="4" t="s">
        <v>39</v>
      </c>
      <c r="D55" s="4" t="s">
        <v>40</v>
      </c>
      <c r="E55" s="5">
        <v>43288</v>
      </c>
      <c r="F55" s="4" t="s">
        <v>10</v>
      </c>
      <c r="G55" s="4" t="s">
        <v>41</v>
      </c>
      <c r="H55" s="6" t="s">
        <v>42</v>
      </c>
      <c r="I55" s="4" t="s">
        <v>43</v>
      </c>
      <c r="J55" s="20" t="s">
        <v>401</v>
      </c>
      <c r="K55" s="4">
        <v>110</v>
      </c>
      <c r="L55" s="9">
        <f t="shared" ref="L55:L110" si="14">220-K55</f>
        <v>110</v>
      </c>
      <c r="M55" s="17">
        <v>140</v>
      </c>
      <c r="N55" s="17">
        <v>140</v>
      </c>
      <c r="O55" s="85">
        <f t="shared" si="12"/>
        <v>300</v>
      </c>
      <c r="P55" s="22">
        <v>0</v>
      </c>
      <c r="Q55" s="22">
        <v>300</v>
      </c>
      <c r="R55" s="7"/>
      <c r="S55" s="22">
        <f t="shared" si="10"/>
        <v>300</v>
      </c>
    </row>
    <row r="56" spans="1:19" s="30" customFormat="1" ht="21.75" customHeight="1" x14ac:dyDescent="0.2">
      <c r="A56" s="79">
        <v>54</v>
      </c>
      <c r="B56" s="83" t="s">
        <v>81</v>
      </c>
      <c r="C56" s="8" t="s">
        <v>293</v>
      </c>
      <c r="D56" s="8" t="s">
        <v>288</v>
      </c>
      <c r="E56" s="15">
        <v>43054</v>
      </c>
      <c r="F56" s="8" t="s">
        <v>10</v>
      </c>
      <c r="G56" s="8" t="s">
        <v>14</v>
      </c>
      <c r="H56" s="16" t="s">
        <v>15</v>
      </c>
      <c r="I56" s="8" t="s">
        <v>16</v>
      </c>
      <c r="J56" s="20"/>
      <c r="K56" s="8">
        <v>220</v>
      </c>
      <c r="L56" s="8">
        <f t="shared" si="14"/>
        <v>0</v>
      </c>
      <c r="M56" s="29"/>
      <c r="N56" s="29">
        <v>280</v>
      </c>
      <c r="O56" s="85">
        <f t="shared" si="12"/>
        <v>300</v>
      </c>
      <c r="P56" s="22">
        <v>0</v>
      </c>
      <c r="Q56" s="22">
        <v>300</v>
      </c>
      <c r="R56" s="35"/>
      <c r="S56" s="22">
        <f t="shared" si="10"/>
        <v>300</v>
      </c>
    </row>
    <row r="57" spans="1:19" s="30" customFormat="1" ht="21.75" customHeight="1" x14ac:dyDescent="0.2">
      <c r="A57" s="79">
        <v>55</v>
      </c>
      <c r="B57" s="83" t="s">
        <v>81</v>
      </c>
      <c r="C57" s="8" t="s">
        <v>44</v>
      </c>
      <c r="D57" s="8" t="s">
        <v>45</v>
      </c>
      <c r="E57" s="15">
        <v>43184</v>
      </c>
      <c r="F57" s="8" t="s">
        <v>10</v>
      </c>
      <c r="G57" s="8" t="s">
        <v>46</v>
      </c>
      <c r="H57" s="16" t="s">
        <v>47</v>
      </c>
      <c r="I57" s="8" t="s">
        <v>48</v>
      </c>
      <c r="J57" s="20"/>
      <c r="K57" s="8">
        <v>220</v>
      </c>
      <c r="L57" s="8">
        <f t="shared" si="14"/>
        <v>0</v>
      </c>
      <c r="M57" s="29">
        <v>140</v>
      </c>
      <c r="N57" s="29">
        <v>140</v>
      </c>
      <c r="O57" s="84">
        <f t="shared" si="12"/>
        <v>300</v>
      </c>
      <c r="P57" s="22">
        <v>0</v>
      </c>
      <c r="Q57" s="22">
        <v>300</v>
      </c>
      <c r="R57" s="35"/>
      <c r="S57" s="22">
        <f t="shared" si="10"/>
        <v>300</v>
      </c>
    </row>
    <row r="58" spans="1:19" s="30" customFormat="1" ht="21.75" customHeight="1" x14ac:dyDescent="0.2">
      <c r="A58" s="79">
        <v>56</v>
      </c>
      <c r="B58" s="83" t="s">
        <v>81</v>
      </c>
      <c r="C58" s="8" t="s">
        <v>397</v>
      </c>
      <c r="D58" s="8" t="s">
        <v>398</v>
      </c>
      <c r="E58" s="15">
        <v>43273</v>
      </c>
      <c r="F58" s="8"/>
      <c r="G58" s="8"/>
      <c r="H58" s="16"/>
      <c r="I58" s="8"/>
      <c r="J58" s="8"/>
      <c r="K58" s="8"/>
      <c r="L58" s="8"/>
      <c r="M58" s="29"/>
      <c r="N58" s="29"/>
      <c r="O58" s="84">
        <f t="shared" si="12"/>
        <v>300</v>
      </c>
      <c r="P58" s="22">
        <v>0</v>
      </c>
      <c r="Q58" s="22">
        <v>300</v>
      </c>
      <c r="R58" s="35"/>
      <c r="S58" s="22">
        <f t="shared" si="10"/>
        <v>300</v>
      </c>
    </row>
    <row r="59" spans="1:19" s="30" customFormat="1" ht="21.75" customHeight="1" x14ac:dyDescent="0.2">
      <c r="A59" s="79">
        <v>57</v>
      </c>
      <c r="B59" s="83" t="s">
        <v>81</v>
      </c>
      <c r="C59" s="8" t="s">
        <v>39</v>
      </c>
      <c r="D59" s="8" t="s">
        <v>268</v>
      </c>
      <c r="E59" s="15">
        <v>43288</v>
      </c>
      <c r="F59" s="8" t="s">
        <v>10</v>
      </c>
      <c r="G59" s="8" t="s">
        <v>256</v>
      </c>
      <c r="H59" s="16"/>
      <c r="I59" s="8"/>
      <c r="J59" s="20"/>
      <c r="K59" s="8">
        <v>220</v>
      </c>
      <c r="L59" s="8">
        <f t="shared" si="14"/>
        <v>0</v>
      </c>
      <c r="M59" s="29"/>
      <c r="N59" s="29">
        <v>280</v>
      </c>
      <c r="O59" s="84">
        <f t="shared" si="12"/>
        <v>300</v>
      </c>
      <c r="P59" s="22">
        <v>0</v>
      </c>
      <c r="Q59" s="22">
        <v>300</v>
      </c>
      <c r="R59" s="35"/>
      <c r="S59" s="22">
        <f t="shared" si="10"/>
        <v>300</v>
      </c>
    </row>
    <row r="60" spans="1:19" s="30" customFormat="1" ht="21.75" customHeight="1" x14ac:dyDescent="0.2">
      <c r="A60" s="79">
        <v>58</v>
      </c>
      <c r="B60" s="83" t="s">
        <v>81</v>
      </c>
      <c r="C60" s="8" t="s">
        <v>399</v>
      </c>
      <c r="D60" s="8" t="s">
        <v>92</v>
      </c>
      <c r="E60" s="15">
        <v>43104</v>
      </c>
      <c r="F60" s="8"/>
      <c r="G60" s="8"/>
      <c r="H60" s="16"/>
      <c r="I60" s="8"/>
      <c r="J60" s="20"/>
      <c r="K60" s="8"/>
      <c r="L60" s="9"/>
      <c r="M60" s="29"/>
      <c r="N60" s="29"/>
      <c r="O60" s="84">
        <f t="shared" si="12"/>
        <v>300</v>
      </c>
      <c r="P60" s="22">
        <v>0</v>
      </c>
      <c r="Q60" s="22">
        <v>300</v>
      </c>
      <c r="R60" s="35"/>
      <c r="S60" s="22">
        <f t="shared" si="10"/>
        <v>300</v>
      </c>
    </row>
    <row r="61" spans="1:19" s="30" customFormat="1" ht="21.75" customHeight="1" x14ac:dyDescent="0.2">
      <c r="A61" s="79">
        <v>59</v>
      </c>
      <c r="B61" s="83" t="s">
        <v>81</v>
      </c>
      <c r="C61" s="8" t="s">
        <v>289</v>
      </c>
      <c r="D61" s="8" t="s">
        <v>290</v>
      </c>
      <c r="E61" s="15">
        <v>43055</v>
      </c>
      <c r="F61" s="8"/>
      <c r="G61" s="8"/>
      <c r="H61" s="16"/>
      <c r="I61" s="8"/>
      <c r="J61" s="19"/>
      <c r="K61" s="8"/>
      <c r="L61" s="9">
        <f t="shared" si="14"/>
        <v>220</v>
      </c>
      <c r="M61" s="29">
        <v>140</v>
      </c>
      <c r="N61" s="29"/>
      <c r="O61" s="84">
        <f t="shared" si="12"/>
        <v>300</v>
      </c>
      <c r="P61" s="22">
        <v>0</v>
      </c>
      <c r="Q61" s="22">
        <v>300</v>
      </c>
      <c r="R61" s="35"/>
      <c r="S61" s="22">
        <f t="shared" si="10"/>
        <v>300</v>
      </c>
    </row>
    <row r="62" spans="1:19" s="30" customFormat="1" ht="21.75" customHeight="1" x14ac:dyDescent="0.2">
      <c r="A62" s="79">
        <v>60</v>
      </c>
      <c r="B62" s="83" t="s">
        <v>81</v>
      </c>
      <c r="C62" s="8" t="s">
        <v>291</v>
      </c>
      <c r="D62" s="8" t="s">
        <v>292</v>
      </c>
      <c r="E62" s="15">
        <v>43396</v>
      </c>
      <c r="F62" s="8"/>
      <c r="G62" s="8"/>
      <c r="H62" s="16"/>
      <c r="I62" s="8"/>
      <c r="J62" s="19"/>
      <c r="K62" s="8"/>
      <c r="L62" s="9">
        <f t="shared" si="14"/>
        <v>220</v>
      </c>
      <c r="M62" s="29">
        <v>140</v>
      </c>
      <c r="N62" s="29">
        <v>140</v>
      </c>
      <c r="O62" s="84">
        <f t="shared" si="12"/>
        <v>300</v>
      </c>
      <c r="P62" s="22">
        <v>0</v>
      </c>
      <c r="Q62" s="22">
        <v>300</v>
      </c>
      <c r="R62" s="35"/>
      <c r="S62" s="22">
        <f t="shared" si="10"/>
        <v>300</v>
      </c>
    </row>
    <row r="63" spans="1:19" s="30" customFormat="1" ht="21.75" customHeight="1" x14ac:dyDescent="0.2">
      <c r="A63" s="79">
        <v>61</v>
      </c>
      <c r="B63" s="80" t="s">
        <v>81</v>
      </c>
      <c r="C63" s="8" t="s">
        <v>59</v>
      </c>
      <c r="D63" s="8" t="s">
        <v>60</v>
      </c>
      <c r="E63" s="15">
        <v>43175</v>
      </c>
      <c r="F63" s="8" t="s">
        <v>52</v>
      </c>
      <c r="G63" s="8" t="s">
        <v>61</v>
      </c>
      <c r="H63" s="16">
        <v>69919787181</v>
      </c>
      <c r="I63" s="32" t="s">
        <v>62</v>
      </c>
      <c r="J63" s="20"/>
      <c r="K63" s="8">
        <v>220</v>
      </c>
      <c r="L63" s="8">
        <f t="shared" ref="L63" si="15">220-K63</f>
        <v>0</v>
      </c>
      <c r="M63" s="29">
        <v>140</v>
      </c>
      <c r="N63" s="29"/>
      <c r="O63" s="84">
        <f t="shared" ref="O63" si="16">Q63-P63</f>
        <v>300</v>
      </c>
      <c r="P63" s="22">
        <v>0</v>
      </c>
      <c r="Q63" s="22">
        <v>300</v>
      </c>
      <c r="R63" s="35"/>
      <c r="S63" s="22">
        <f t="shared" ref="S63" si="17">Q63-P63</f>
        <v>300</v>
      </c>
    </row>
    <row r="64" spans="1:19" s="30" customFormat="1" ht="21.75" customHeight="1" x14ac:dyDescent="0.2">
      <c r="A64" s="79">
        <v>62</v>
      </c>
      <c r="B64" s="80" t="s">
        <v>124</v>
      </c>
      <c r="C64" s="8" t="s">
        <v>8</v>
      </c>
      <c r="D64" s="8" t="s">
        <v>9</v>
      </c>
      <c r="E64" s="15">
        <v>42794</v>
      </c>
      <c r="F64" s="8" t="s">
        <v>10</v>
      </c>
      <c r="G64" s="8" t="s">
        <v>11</v>
      </c>
      <c r="H64" s="31" t="s">
        <v>12</v>
      </c>
      <c r="I64" s="8" t="s">
        <v>13</v>
      </c>
      <c r="J64" s="20"/>
      <c r="K64" s="8">
        <v>220</v>
      </c>
      <c r="L64" s="8">
        <f t="shared" si="14"/>
        <v>0</v>
      </c>
      <c r="M64" s="29">
        <v>140</v>
      </c>
      <c r="N64" s="29">
        <v>140</v>
      </c>
      <c r="O64" s="84">
        <f t="shared" si="12"/>
        <v>300</v>
      </c>
      <c r="P64" s="22">
        <v>0</v>
      </c>
      <c r="Q64" s="22">
        <v>300</v>
      </c>
      <c r="R64" s="35"/>
      <c r="S64" s="22">
        <f t="shared" si="10"/>
        <v>300</v>
      </c>
    </row>
    <row r="65" spans="1:19" s="30" customFormat="1" ht="21.75" customHeight="1" x14ac:dyDescent="0.2">
      <c r="A65" s="79">
        <v>63</v>
      </c>
      <c r="B65" s="80" t="s">
        <v>124</v>
      </c>
      <c r="C65" s="8" t="s">
        <v>17</v>
      </c>
      <c r="D65" s="8" t="s">
        <v>18</v>
      </c>
      <c r="E65" s="15">
        <v>42782</v>
      </c>
      <c r="F65" s="8" t="s">
        <v>10</v>
      </c>
      <c r="G65" s="8" t="s">
        <v>19</v>
      </c>
      <c r="H65" s="16" t="s">
        <v>20</v>
      </c>
      <c r="I65" s="8" t="s">
        <v>21</v>
      </c>
      <c r="J65" s="20"/>
      <c r="K65" s="8">
        <v>220</v>
      </c>
      <c r="L65" s="8">
        <f t="shared" si="14"/>
        <v>0</v>
      </c>
      <c r="M65" s="29">
        <v>140</v>
      </c>
      <c r="N65" s="29">
        <v>140</v>
      </c>
      <c r="O65" s="84">
        <f t="shared" si="12"/>
        <v>300</v>
      </c>
      <c r="P65" s="22">
        <v>0</v>
      </c>
      <c r="Q65" s="22">
        <v>300</v>
      </c>
      <c r="R65" s="35"/>
      <c r="S65" s="22">
        <f t="shared" si="10"/>
        <v>300</v>
      </c>
    </row>
    <row r="66" spans="1:19" s="30" customFormat="1" ht="21.75" customHeight="1" x14ac:dyDescent="0.2">
      <c r="A66" s="79">
        <v>64</v>
      </c>
      <c r="B66" s="80" t="s">
        <v>124</v>
      </c>
      <c r="C66" s="8" t="s">
        <v>281</v>
      </c>
      <c r="D66" s="8" t="s">
        <v>309</v>
      </c>
      <c r="E66" s="15">
        <v>42991</v>
      </c>
      <c r="F66" s="8" t="s">
        <v>10</v>
      </c>
      <c r="G66" t="s">
        <v>362</v>
      </c>
      <c r="H66" s="16"/>
      <c r="I66" s="8"/>
      <c r="J66" s="20"/>
      <c r="K66" s="8"/>
      <c r="L66" s="8"/>
      <c r="M66" s="29"/>
      <c r="N66" s="29"/>
      <c r="O66" s="84">
        <f t="shared" si="12"/>
        <v>300</v>
      </c>
      <c r="P66" s="22">
        <v>0</v>
      </c>
      <c r="Q66" s="22">
        <v>300</v>
      </c>
      <c r="R66" s="35"/>
      <c r="S66" s="22">
        <f t="shared" si="10"/>
        <v>300</v>
      </c>
    </row>
    <row r="67" spans="1:19" s="30" customFormat="1" ht="21.75" customHeight="1" x14ac:dyDescent="0.2">
      <c r="A67" s="79">
        <v>65</v>
      </c>
      <c r="B67" s="80" t="s">
        <v>124</v>
      </c>
      <c r="C67" s="8" t="s">
        <v>266</v>
      </c>
      <c r="D67" s="8" t="s">
        <v>22</v>
      </c>
      <c r="E67" s="15">
        <v>43019</v>
      </c>
      <c r="F67" s="8" t="s">
        <v>10</v>
      </c>
      <c r="G67" s="8" t="s">
        <v>23</v>
      </c>
      <c r="H67" s="16" t="s">
        <v>24</v>
      </c>
      <c r="I67" s="8" t="s">
        <v>25</v>
      </c>
      <c r="J67" s="20"/>
      <c r="K67" s="8">
        <v>200</v>
      </c>
      <c r="L67" s="8">
        <v>0</v>
      </c>
      <c r="M67" s="29">
        <v>130</v>
      </c>
      <c r="N67" s="29"/>
      <c r="O67" s="84">
        <f t="shared" si="12"/>
        <v>300</v>
      </c>
      <c r="P67" s="22">
        <v>0</v>
      </c>
      <c r="Q67" s="22">
        <v>300</v>
      </c>
      <c r="R67" s="35"/>
      <c r="S67" s="22">
        <f t="shared" si="10"/>
        <v>300</v>
      </c>
    </row>
    <row r="68" spans="1:19" s="30" customFormat="1" ht="21.75" customHeight="1" x14ac:dyDescent="0.2">
      <c r="A68" s="79">
        <v>66</v>
      </c>
      <c r="B68" s="80" t="s">
        <v>124</v>
      </c>
      <c r="C68" s="8" t="s">
        <v>50</v>
      </c>
      <c r="D68" s="8" t="s">
        <v>51</v>
      </c>
      <c r="E68" s="15">
        <v>42954</v>
      </c>
      <c r="F68" s="8" t="s">
        <v>52</v>
      </c>
      <c r="G68" s="8" t="s">
        <v>53</v>
      </c>
      <c r="H68" s="16">
        <v>6763771630</v>
      </c>
      <c r="I68" s="32" t="s">
        <v>54</v>
      </c>
      <c r="J68" s="20"/>
      <c r="K68" s="8">
        <v>220</v>
      </c>
      <c r="L68" s="8">
        <f t="shared" si="14"/>
        <v>0</v>
      </c>
      <c r="M68" s="29">
        <v>140</v>
      </c>
      <c r="N68" s="29"/>
      <c r="O68" s="84">
        <f t="shared" si="12"/>
        <v>300</v>
      </c>
      <c r="P68" s="22">
        <v>0</v>
      </c>
      <c r="Q68" s="22">
        <v>300</v>
      </c>
      <c r="R68" s="35"/>
      <c r="S68" s="22">
        <f t="shared" si="10"/>
        <v>300</v>
      </c>
    </row>
    <row r="69" spans="1:19" s="30" customFormat="1" ht="21.75" customHeight="1" x14ac:dyDescent="0.2">
      <c r="A69" s="79">
        <v>67</v>
      </c>
      <c r="B69" s="80" t="s">
        <v>124</v>
      </c>
      <c r="C69" s="10" t="s">
        <v>366</v>
      </c>
      <c r="D69" s="10" t="s">
        <v>364</v>
      </c>
      <c r="E69" s="15">
        <v>43035</v>
      </c>
      <c r="F69" s="8" t="s">
        <v>10</v>
      </c>
      <c r="G69" t="s">
        <v>365</v>
      </c>
      <c r="H69" s="16"/>
      <c r="I69" s="8"/>
      <c r="J69" s="20"/>
      <c r="K69" s="8"/>
      <c r="L69" s="9">
        <f t="shared" si="14"/>
        <v>220</v>
      </c>
      <c r="M69" s="29"/>
      <c r="N69" s="29"/>
      <c r="O69" s="84">
        <f t="shared" si="12"/>
        <v>300</v>
      </c>
      <c r="P69" s="22">
        <v>0</v>
      </c>
      <c r="Q69" s="22">
        <v>300</v>
      </c>
      <c r="R69" s="35"/>
      <c r="S69" s="22">
        <f t="shared" si="10"/>
        <v>300</v>
      </c>
    </row>
    <row r="70" spans="1:19" s="30" customFormat="1" ht="21.75" customHeight="1" x14ac:dyDescent="0.2">
      <c r="A70" s="79">
        <v>68</v>
      </c>
      <c r="B70" s="80" t="s">
        <v>124</v>
      </c>
      <c r="C70" s="8" t="s">
        <v>55</v>
      </c>
      <c r="D70" s="8" t="s">
        <v>56</v>
      </c>
      <c r="E70" s="15">
        <v>42640</v>
      </c>
      <c r="F70" s="8" t="s">
        <v>28</v>
      </c>
      <c r="G70" s="8" t="s">
        <v>57</v>
      </c>
      <c r="H70" s="16">
        <v>67681037122</v>
      </c>
      <c r="I70" s="32" t="s">
        <v>58</v>
      </c>
      <c r="J70" s="20"/>
      <c r="K70" s="8">
        <v>220</v>
      </c>
      <c r="L70" s="8">
        <f t="shared" si="14"/>
        <v>0</v>
      </c>
      <c r="M70" s="29">
        <v>140</v>
      </c>
      <c r="N70" s="29">
        <v>140</v>
      </c>
      <c r="O70" s="84">
        <f t="shared" si="12"/>
        <v>300</v>
      </c>
      <c r="P70" s="22">
        <v>0</v>
      </c>
      <c r="Q70" s="22">
        <v>300</v>
      </c>
      <c r="R70" s="35"/>
      <c r="S70" s="22">
        <f t="shared" si="10"/>
        <v>300</v>
      </c>
    </row>
    <row r="71" spans="1:19" s="30" customFormat="1" ht="21.75" customHeight="1" x14ac:dyDescent="0.2">
      <c r="A71" s="79">
        <v>69</v>
      </c>
      <c r="B71" s="80" t="s">
        <v>124</v>
      </c>
      <c r="C71" s="8" t="s">
        <v>59</v>
      </c>
      <c r="D71" s="8" t="s">
        <v>60</v>
      </c>
      <c r="E71" s="15">
        <v>43175</v>
      </c>
      <c r="F71" s="8" t="s">
        <v>52</v>
      </c>
      <c r="G71" s="8" t="s">
        <v>61</v>
      </c>
      <c r="H71" s="16">
        <v>69919787181</v>
      </c>
      <c r="I71" s="32" t="s">
        <v>62</v>
      </c>
      <c r="J71" s="20"/>
      <c r="K71" s="8">
        <v>220</v>
      </c>
      <c r="L71" s="8">
        <f t="shared" si="14"/>
        <v>0</v>
      </c>
      <c r="M71" s="29">
        <v>140</v>
      </c>
      <c r="N71" s="29"/>
      <c r="O71" s="84">
        <f t="shared" si="12"/>
        <v>300</v>
      </c>
      <c r="P71" s="22">
        <v>0</v>
      </c>
      <c r="Q71" s="22">
        <v>300</v>
      </c>
      <c r="R71" s="35"/>
      <c r="S71" s="22">
        <f t="shared" si="10"/>
        <v>300</v>
      </c>
    </row>
    <row r="72" spans="1:19" s="30" customFormat="1" ht="21.75" customHeight="1" x14ac:dyDescent="0.2">
      <c r="A72" s="79">
        <v>70</v>
      </c>
      <c r="B72" s="80" t="s">
        <v>124</v>
      </c>
      <c r="C72" s="8" t="s">
        <v>245</v>
      </c>
      <c r="D72" s="8" t="s">
        <v>310</v>
      </c>
      <c r="E72" s="15">
        <v>42704</v>
      </c>
      <c r="F72" s="8" t="s">
        <v>228</v>
      </c>
      <c r="G72" t="s">
        <v>367</v>
      </c>
      <c r="H72" s="16"/>
      <c r="I72" s="32"/>
      <c r="J72" s="20"/>
      <c r="K72" s="8">
        <v>200</v>
      </c>
      <c r="L72" s="8">
        <v>0</v>
      </c>
      <c r="M72" s="29">
        <v>130</v>
      </c>
      <c r="N72" s="29"/>
      <c r="O72" s="84">
        <f t="shared" si="12"/>
        <v>300</v>
      </c>
      <c r="P72" s="22">
        <v>0</v>
      </c>
      <c r="Q72" s="22">
        <v>300</v>
      </c>
      <c r="R72" s="35"/>
      <c r="S72" s="22">
        <f t="shared" si="10"/>
        <v>300</v>
      </c>
    </row>
    <row r="73" spans="1:19" s="30" customFormat="1" ht="21.75" customHeight="1" x14ac:dyDescent="0.2">
      <c r="A73" s="79">
        <v>71</v>
      </c>
      <c r="B73" s="80" t="s">
        <v>124</v>
      </c>
      <c r="C73" s="8" t="s">
        <v>63</v>
      </c>
      <c r="D73" s="8" t="s">
        <v>64</v>
      </c>
      <c r="E73" s="15">
        <v>42473</v>
      </c>
      <c r="F73" s="8" t="s">
        <v>28</v>
      </c>
      <c r="G73" s="8" t="s">
        <v>65</v>
      </c>
      <c r="H73" s="16">
        <v>6765511357</v>
      </c>
      <c r="I73" s="32" t="s">
        <v>66</v>
      </c>
      <c r="J73" s="20"/>
      <c r="K73" s="8">
        <v>200</v>
      </c>
      <c r="L73" s="8">
        <v>0</v>
      </c>
      <c r="M73" s="29">
        <v>130</v>
      </c>
      <c r="N73" s="29"/>
      <c r="O73" s="84">
        <f t="shared" si="12"/>
        <v>300</v>
      </c>
      <c r="P73" s="22">
        <v>0</v>
      </c>
      <c r="Q73" s="22">
        <v>300</v>
      </c>
      <c r="R73" s="35"/>
      <c r="S73" s="22">
        <f t="shared" si="10"/>
        <v>300</v>
      </c>
    </row>
    <row r="74" spans="1:19" s="30" customFormat="1" ht="21.75" customHeight="1" x14ac:dyDescent="0.2">
      <c r="A74" s="79">
        <v>72</v>
      </c>
      <c r="B74" s="80" t="s">
        <v>124</v>
      </c>
      <c r="C74" s="8" t="s">
        <v>55</v>
      </c>
      <c r="D74" s="8" t="s">
        <v>67</v>
      </c>
      <c r="E74" s="15">
        <v>42810</v>
      </c>
      <c r="F74" s="8" t="s">
        <v>52</v>
      </c>
      <c r="G74" s="8" t="s">
        <v>68</v>
      </c>
      <c r="H74" s="16">
        <v>6603902404</v>
      </c>
      <c r="I74" s="32" t="s">
        <v>69</v>
      </c>
      <c r="J74" s="20"/>
      <c r="K74" s="8">
        <v>220</v>
      </c>
      <c r="L74" s="8">
        <f t="shared" si="14"/>
        <v>0</v>
      </c>
      <c r="M74" s="29"/>
      <c r="N74" s="29"/>
      <c r="O74" s="84">
        <f t="shared" si="12"/>
        <v>300</v>
      </c>
      <c r="P74" s="22">
        <v>0</v>
      </c>
      <c r="Q74" s="22">
        <v>300</v>
      </c>
      <c r="R74" s="35"/>
      <c r="S74" s="22">
        <f t="shared" si="10"/>
        <v>300</v>
      </c>
    </row>
    <row r="75" spans="1:19" s="30" customFormat="1" ht="21.75" customHeight="1" x14ac:dyDescent="0.2">
      <c r="A75" s="79">
        <v>73</v>
      </c>
      <c r="B75" s="80" t="s">
        <v>124</v>
      </c>
      <c r="C75" s="8" t="s">
        <v>76</v>
      </c>
      <c r="D75" s="8" t="s">
        <v>77</v>
      </c>
      <c r="E75" s="15">
        <v>42665</v>
      </c>
      <c r="F75" s="8" t="s">
        <v>78</v>
      </c>
      <c r="G75" s="8" t="s">
        <v>79</v>
      </c>
      <c r="H75" s="16">
        <v>6769593450</v>
      </c>
      <c r="I75" s="32" t="s">
        <v>80</v>
      </c>
      <c r="J75" s="20"/>
      <c r="K75" s="8">
        <v>200</v>
      </c>
      <c r="L75" s="8">
        <v>0</v>
      </c>
      <c r="M75" s="29">
        <v>130</v>
      </c>
      <c r="N75" s="29"/>
      <c r="O75" s="84">
        <f t="shared" si="12"/>
        <v>300</v>
      </c>
      <c r="P75" s="22">
        <v>0</v>
      </c>
      <c r="Q75" s="22">
        <v>300</v>
      </c>
      <c r="R75" s="35"/>
      <c r="S75" s="22">
        <f t="shared" si="10"/>
        <v>300</v>
      </c>
    </row>
    <row r="76" spans="1:19" s="30" customFormat="1" ht="21.75" customHeight="1" x14ac:dyDescent="0.2">
      <c r="A76" s="79">
        <v>74</v>
      </c>
      <c r="B76" s="80" t="s">
        <v>124</v>
      </c>
      <c r="C76" s="10" t="s">
        <v>50</v>
      </c>
      <c r="D76" s="10" t="s">
        <v>278</v>
      </c>
      <c r="E76" s="15">
        <v>42825</v>
      </c>
      <c r="F76" s="8"/>
      <c r="G76" s="8"/>
      <c r="H76" s="16"/>
      <c r="I76" s="32"/>
      <c r="J76" s="20"/>
      <c r="K76" s="8">
        <v>220</v>
      </c>
      <c r="L76" s="8">
        <f t="shared" si="14"/>
        <v>0</v>
      </c>
      <c r="M76" s="29">
        <v>140</v>
      </c>
      <c r="N76" s="29">
        <v>140</v>
      </c>
      <c r="O76" s="84">
        <f t="shared" si="12"/>
        <v>300</v>
      </c>
      <c r="P76" s="22">
        <v>0</v>
      </c>
      <c r="Q76" s="22">
        <v>300</v>
      </c>
      <c r="R76" s="35"/>
      <c r="S76" s="22">
        <f t="shared" si="10"/>
        <v>300</v>
      </c>
    </row>
    <row r="77" spans="1:19" s="30" customFormat="1" ht="21.75" customHeight="1" x14ac:dyDescent="0.2">
      <c r="A77" s="79">
        <v>75</v>
      </c>
      <c r="B77" s="80" t="s">
        <v>124</v>
      </c>
      <c r="C77" s="10" t="s">
        <v>280</v>
      </c>
      <c r="D77" s="10" t="s">
        <v>279</v>
      </c>
      <c r="E77" s="15">
        <v>42716</v>
      </c>
      <c r="F77" s="8"/>
      <c r="G77" s="8"/>
      <c r="H77" s="16"/>
      <c r="I77" s="32"/>
      <c r="J77" s="19"/>
      <c r="K77" s="8"/>
      <c r="L77" s="9">
        <f t="shared" si="14"/>
        <v>220</v>
      </c>
      <c r="M77" s="29">
        <v>140</v>
      </c>
      <c r="N77" s="29"/>
      <c r="O77" s="84">
        <f t="shared" si="12"/>
        <v>300</v>
      </c>
      <c r="P77" s="22">
        <v>0</v>
      </c>
      <c r="Q77" s="22">
        <v>300</v>
      </c>
      <c r="R77" s="35"/>
      <c r="S77" s="22">
        <f t="shared" si="10"/>
        <v>300</v>
      </c>
    </row>
    <row r="78" spans="1:19" s="30" customFormat="1" ht="21.75" customHeight="1" x14ac:dyDescent="0.2">
      <c r="A78" s="79">
        <v>76</v>
      </c>
      <c r="B78" s="80" t="s">
        <v>124</v>
      </c>
      <c r="C78" s="10" t="s">
        <v>281</v>
      </c>
      <c r="D78" s="10" t="s">
        <v>283</v>
      </c>
      <c r="E78" s="15">
        <v>42691</v>
      </c>
      <c r="F78" s="8"/>
      <c r="G78" s="8"/>
      <c r="H78" s="16"/>
      <c r="I78" s="32"/>
      <c r="J78" s="19"/>
      <c r="K78" s="8"/>
      <c r="L78" s="9">
        <f t="shared" si="14"/>
        <v>220</v>
      </c>
      <c r="M78" s="29">
        <v>140</v>
      </c>
      <c r="N78" s="29">
        <v>140</v>
      </c>
      <c r="O78" s="84">
        <f t="shared" si="12"/>
        <v>300</v>
      </c>
      <c r="P78" s="22">
        <v>0</v>
      </c>
      <c r="Q78" s="22">
        <v>300</v>
      </c>
      <c r="R78" s="35"/>
      <c r="S78" s="22">
        <f t="shared" si="10"/>
        <v>300</v>
      </c>
    </row>
    <row r="79" spans="1:19" s="30" customFormat="1" ht="21.75" customHeight="1" x14ac:dyDescent="0.2">
      <c r="A79" s="79">
        <v>77</v>
      </c>
      <c r="B79" s="80" t="s">
        <v>124</v>
      </c>
      <c r="C79" s="10" t="s">
        <v>282</v>
      </c>
      <c r="D79" s="10" t="s">
        <v>284</v>
      </c>
      <c r="E79" s="15">
        <v>42669</v>
      </c>
      <c r="F79" s="8"/>
      <c r="G79" s="8"/>
      <c r="H79" s="16"/>
      <c r="I79" s="32"/>
      <c r="J79" s="19"/>
      <c r="K79" s="8"/>
      <c r="L79" s="9">
        <f t="shared" si="14"/>
        <v>220</v>
      </c>
      <c r="M79" s="29">
        <v>140</v>
      </c>
      <c r="N79" s="29">
        <v>140</v>
      </c>
      <c r="O79" s="84">
        <f t="shared" si="12"/>
        <v>300</v>
      </c>
      <c r="P79" s="22">
        <v>0</v>
      </c>
      <c r="Q79" s="22">
        <v>300</v>
      </c>
      <c r="R79" s="35"/>
      <c r="S79" s="22">
        <f t="shared" si="10"/>
        <v>300</v>
      </c>
    </row>
    <row r="80" spans="1:19" s="30" customFormat="1" ht="21.75" customHeight="1" x14ac:dyDescent="0.2">
      <c r="A80" s="79">
        <v>78</v>
      </c>
      <c r="B80" s="80" t="s">
        <v>156</v>
      </c>
      <c r="C80" s="8" t="s">
        <v>70</v>
      </c>
      <c r="D80" s="8" t="s">
        <v>71</v>
      </c>
      <c r="E80" s="15">
        <v>42536</v>
      </c>
      <c r="F80" s="8" t="s">
        <v>52</v>
      </c>
      <c r="G80" s="8" t="s">
        <v>72</v>
      </c>
      <c r="H80" s="16">
        <v>68181442889</v>
      </c>
      <c r="I80" s="32" t="s">
        <v>73</v>
      </c>
      <c r="J80" s="19"/>
      <c r="K80" s="10">
        <v>220</v>
      </c>
      <c r="L80" s="8">
        <f>220-K80</f>
        <v>0</v>
      </c>
      <c r="M80" s="29"/>
      <c r="N80" s="29"/>
      <c r="O80" s="84">
        <f t="shared" si="12"/>
        <v>300</v>
      </c>
      <c r="P80" s="22">
        <v>0</v>
      </c>
      <c r="Q80" s="22">
        <v>300</v>
      </c>
      <c r="R80" s="35"/>
      <c r="S80" s="22">
        <f>Q80-P80</f>
        <v>300</v>
      </c>
    </row>
    <row r="81" spans="1:19" s="30" customFormat="1" ht="21.75" customHeight="1" x14ac:dyDescent="0.2">
      <c r="A81" s="79">
        <v>79</v>
      </c>
      <c r="B81" s="80" t="s">
        <v>156</v>
      </c>
      <c r="C81" s="10" t="s">
        <v>363</v>
      </c>
      <c r="D81" s="10" t="s">
        <v>364</v>
      </c>
      <c r="E81" s="15">
        <v>42259</v>
      </c>
      <c r="F81" s="8" t="s">
        <v>10</v>
      </c>
      <c r="G81" t="s">
        <v>365</v>
      </c>
      <c r="H81" s="16"/>
      <c r="I81" s="8"/>
      <c r="J81" s="20"/>
      <c r="K81" s="8"/>
      <c r="L81" s="9">
        <f t="shared" ref="L81" si="18">220-K81</f>
        <v>220</v>
      </c>
      <c r="M81" s="29"/>
      <c r="N81" s="29"/>
      <c r="O81" s="84">
        <f t="shared" si="12"/>
        <v>300</v>
      </c>
      <c r="P81" s="22">
        <v>0</v>
      </c>
      <c r="Q81" s="22">
        <v>300</v>
      </c>
      <c r="R81" s="35"/>
      <c r="S81" s="22">
        <f t="shared" si="10"/>
        <v>300</v>
      </c>
    </row>
    <row r="82" spans="1:19" s="30" customFormat="1" ht="21.75" customHeight="1" x14ac:dyDescent="0.2">
      <c r="A82" s="79">
        <v>80</v>
      </c>
      <c r="B82" s="80" t="s">
        <v>156</v>
      </c>
      <c r="C82" s="8" t="s">
        <v>105</v>
      </c>
      <c r="D82" s="8" t="s">
        <v>106</v>
      </c>
      <c r="E82" s="15">
        <v>42356</v>
      </c>
      <c r="F82" s="8" t="s">
        <v>10</v>
      </c>
      <c r="G82" s="8" t="s">
        <v>107</v>
      </c>
      <c r="H82" s="16" t="s">
        <v>108</v>
      </c>
      <c r="I82" s="8" t="s">
        <v>109</v>
      </c>
      <c r="J82" s="20"/>
      <c r="K82" s="8">
        <v>200</v>
      </c>
      <c r="L82" s="8">
        <f>200-K82</f>
        <v>0</v>
      </c>
      <c r="M82" s="29">
        <v>140</v>
      </c>
      <c r="N82" s="29">
        <v>140</v>
      </c>
      <c r="O82" s="84">
        <f t="shared" ref="O82:O84" si="19">Q82-P82</f>
        <v>300</v>
      </c>
      <c r="P82" s="22">
        <v>0</v>
      </c>
      <c r="Q82" s="22">
        <v>300</v>
      </c>
      <c r="R82" s="35"/>
      <c r="S82" s="22">
        <f t="shared" ref="S82:S84" si="20">Q82-P82</f>
        <v>300</v>
      </c>
    </row>
    <row r="83" spans="1:19" s="30" customFormat="1" ht="21.75" customHeight="1" x14ac:dyDescent="0.2">
      <c r="A83" s="79">
        <v>81</v>
      </c>
      <c r="B83" s="80" t="s">
        <v>156</v>
      </c>
      <c r="C83" s="8" t="s">
        <v>110</v>
      </c>
      <c r="D83" s="8" t="s">
        <v>111</v>
      </c>
      <c r="E83" s="15">
        <v>42613</v>
      </c>
      <c r="F83" s="8" t="s">
        <v>82</v>
      </c>
      <c r="G83" s="8" t="s">
        <v>112</v>
      </c>
      <c r="H83" s="16" t="s">
        <v>113</v>
      </c>
      <c r="I83" s="8" t="s">
        <v>114</v>
      </c>
      <c r="J83" s="20"/>
      <c r="K83" s="8">
        <v>220</v>
      </c>
      <c r="L83" s="8">
        <f t="shared" ref="L83:L84" si="21">220-K83</f>
        <v>0</v>
      </c>
      <c r="M83" s="29">
        <v>140</v>
      </c>
      <c r="N83" s="29">
        <v>140</v>
      </c>
      <c r="O83" s="84">
        <f t="shared" si="19"/>
        <v>300</v>
      </c>
      <c r="P83" s="22">
        <v>0</v>
      </c>
      <c r="Q83" s="22">
        <v>300</v>
      </c>
      <c r="R83" s="35"/>
      <c r="S83" s="22">
        <f t="shared" si="20"/>
        <v>300</v>
      </c>
    </row>
    <row r="84" spans="1:19" s="30" customFormat="1" ht="21.75" customHeight="1" x14ac:dyDescent="0.2">
      <c r="A84" s="79">
        <v>82</v>
      </c>
      <c r="B84" s="80" t="s">
        <v>156</v>
      </c>
      <c r="C84" s="8" t="s">
        <v>118</v>
      </c>
      <c r="D84" s="8" t="s">
        <v>119</v>
      </c>
      <c r="E84" s="15">
        <v>42263</v>
      </c>
      <c r="F84" s="8" t="s">
        <v>10</v>
      </c>
      <c r="G84" s="8" t="s">
        <v>120</v>
      </c>
      <c r="H84" s="16" t="s">
        <v>121</v>
      </c>
      <c r="I84" s="8" t="s">
        <v>122</v>
      </c>
      <c r="J84" s="20"/>
      <c r="K84" s="8">
        <v>220</v>
      </c>
      <c r="L84" s="8">
        <f t="shared" si="21"/>
        <v>0</v>
      </c>
      <c r="M84" s="29"/>
      <c r="N84" s="29">
        <v>280</v>
      </c>
      <c r="O84" s="84">
        <f t="shared" si="19"/>
        <v>300</v>
      </c>
      <c r="P84" s="22">
        <v>0</v>
      </c>
      <c r="Q84" s="22">
        <v>300</v>
      </c>
      <c r="R84" s="35"/>
      <c r="S84" s="22">
        <f t="shared" si="20"/>
        <v>300</v>
      </c>
    </row>
    <row r="85" spans="1:19" s="30" customFormat="1" ht="21.75" customHeight="1" x14ac:dyDescent="0.2">
      <c r="A85" s="79">
        <v>83</v>
      </c>
      <c r="B85" s="80" t="s">
        <v>177</v>
      </c>
      <c r="C85" s="8" t="s">
        <v>91</v>
      </c>
      <c r="D85" s="8" t="s">
        <v>92</v>
      </c>
      <c r="E85" s="15">
        <v>42194</v>
      </c>
      <c r="F85" s="8" t="s">
        <v>10</v>
      </c>
      <c r="G85" s="8" t="s">
        <v>93</v>
      </c>
      <c r="H85" s="16" t="s">
        <v>94</v>
      </c>
      <c r="I85" s="8" t="s">
        <v>95</v>
      </c>
      <c r="J85" s="20"/>
      <c r="K85" s="8">
        <v>220</v>
      </c>
      <c r="L85" s="8">
        <f t="shared" si="14"/>
        <v>0</v>
      </c>
      <c r="M85" s="29">
        <v>140</v>
      </c>
      <c r="N85" s="29"/>
      <c r="O85" s="84">
        <f t="shared" si="12"/>
        <v>300</v>
      </c>
      <c r="P85" s="22">
        <v>0</v>
      </c>
      <c r="Q85" s="22">
        <v>300</v>
      </c>
      <c r="R85" s="35"/>
      <c r="S85" s="22">
        <f t="shared" si="10"/>
        <v>300</v>
      </c>
    </row>
    <row r="86" spans="1:19" s="30" customFormat="1" ht="21.75" customHeight="1" x14ac:dyDescent="0.2">
      <c r="A86" s="79">
        <v>84</v>
      </c>
      <c r="B86" s="80" t="s">
        <v>177</v>
      </c>
      <c r="C86" s="8" t="s">
        <v>55</v>
      </c>
      <c r="D86" s="8" t="s">
        <v>96</v>
      </c>
      <c r="E86" s="15">
        <v>42245</v>
      </c>
      <c r="F86" s="35"/>
      <c r="G86" s="8" t="s">
        <v>97</v>
      </c>
      <c r="H86" s="16" t="s">
        <v>98</v>
      </c>
      <c r="I86" s="8" t="s">
        <v>99</v>
      </c>
      <c r="J86" s="20"/>
      <c r="K86" s="8">
        <v>220</v>
      </c>
      <c r="L86" s="8">
        <f t="shared" si="14"/>
        <v>0</v>
      </c>
      <c r="M86" s="29">
        <v>140</v>
      </c>
      <c r="N86" s="29">
        <v>140</v>
      </c>
      <c r="O86" s="84">
        <f t="shared" si="12"/>
        <v>300</v>
      </c>
      <c r="P86" s="22">
        <v>0</v>
      </c>
      <c r="Q86" s="22">
        <v>300</v>
      </c>
      <c r="R86" s="35"/>
      <c r="S86" s="22">
        <f t="shared" si="10"/>
        <v>300</v>
      </c>
    </row>
    <row r="87" spans="1:19" s="30" customFormat="1" ht="21.75" customHeight="1" x14ac:dyDescent="0.2">
      <c r="A87" s="79">
        <v>85</v>
      </c>
      <c r="B87" s="80" t="s">
        <v>177</v>
      </c>
      <c r="C87" s="8" t="s">
        <v>100</v>
      </c>
      <c r="D87" s="8" t="s">
        <v>101</v>
      </c>
      <c r="E87" s="15">
        <v>42235</v>
      </c>
      <c r="F87" s="8" t="s">
        <v>10</v>
      </c>
      <c r="G87" s="8" t="s">
        <v>102</v>
      </c>
      <c r="H87" s="16" t="s">
        <v>103</v>
      </c>
      <c r="I87" s="8" t="s">
        <v>104</v>
      </c>
      <c r="J87" s="20"/>
      <c r="K87" s="8">
        <v>220</v>
      </c>
      <c r="L87" s="8">
        <f t="shared" si="14"/>
        <v>0</v>
      </c>
      <c r="M87" s="29">
        <v>140</v>
      </c>
      <c r="N87" s="29"/>
      <c r="O87" s="84">
        <f t="shared" si="12"/>
        <v>300</v>
      </c>
      <c r="P87" s="22">
        <v>0</v>
      </c>
      <c r="Q87" s="22">
        <v>300</v>
      </c>
      <c r="R87" s="35"/>
      <c r="S87" s="22">
        <f t="shared" si="10"/>
        <v>300</v>
      </c>
    </row>
    <row r="88" spans="1:19" s="30" customFormat="1" ht="21.75" customHeight="1" x14ac:dyDescent="0.2">
      <c r="A88" s="79">
        <v>86</v>
      </c>
      <c r="B88" s="80" t="s">
        <v>177</v>
      </c>
      <c r="C88" s="8" t="s">
        <v>115</v>
      </c>
      <c r="D88" s="8" t="s">
        <v>116</v>
      </c>
      <c r="E88" s="15">
        <v>41958</v>
      </c>
      <c r="F88" s="8" t="s">
        <v>10</v>
      </c>
      <c r="G88" s="35"/>
      <c r="H88" s="16" t="s">
        <v>117</v>
      </c>
      <c r="I88" s="35"/>
      <c r="J88" s="20"/>
      <c r="K88" s="8">
        <v>220</v>
      </c>
      <c r="L88" s="8">
        <f t="shared" si="14"/>
        <v>0</v>
      </c>
      <c r="M88" s="29">
        <v>140</v>
      </c>
      <c r="N88" s="29">
        <v>140</v>
      </c>
      <c r="O88" s="84">
        <f t="shared" si="12"/>
        <v>300</v>
      </c>
      <c r="P88" s="22">
        <v>0</v>
      </c>
      <c r="Q88" s="22">
        <v>300</v>
      </c>
      <c r="R88" s="35"/>
      <c r="S88" s="22">
        <f t="shared" ref="S88:S129" si="22">Q88-P88</f>
        <v>300</v>
      </c>
    </row>
    <row r="89" spans="1:19" s="30" customFormat="1" ht="21.75" customHeight="1" x14ac:dyDescent="0.2">
      <c r="A89" s="79">
        <v>87</v>
      </c>
      <c r="B89" s="80" t="s">
        <v>177</v>
      </c>
      <c r="C89" s="8" t="s">
        <v>131</v>
      </c>
      <c r="D89" s="8" t="s">
        <v>132</v>
      </c>
      <c r="E89" s="15">
        <v>41939</v>
      </c>
      <c r="F89" s="8" t="s">
        <v>82</v>
      </c>
      <c r="G89" s="8" t="s">
        <v>133</v>
      </c>
      <c r="H89" s="16" t="s">
        <v>134</v>
      </c>
      <c r="I89" s="8" t="s">
        <v>135</v>
      </c>
      <c r="J89" s="20"/>
      <c r="K89" s="8">
        <v>100</v>
      </c>
      <c r="L89" s="9">
        <f>200-K89</f>
        <v>100</v>
      </c>
      <c r="M89" s="29"/>
      <c r="N89" s="29"/>
      <c r="O89" s="84">
        <f t="shared" ref="O89:O93" si="23">Q89-P89</f>
        <v>300</v>
      </c>
      <c r="P89" s="22">
        <v>0</v>
      </c>
      <c r="Q89" s="22">
        <v>300</v>
      </c>
      <c r="R89" s="35"/>
      <c r="S89" s="22">
        <f t="shared" si="22"/>
        <v>300</v>
      </c>
    </row>
    <row r="90" spans="1:19" s="30" customFormat="1" ht="21.75" customHeight="1" x14ac:dyDescent="0.2">
      <c r="A90" s="79">
        <v>88</v>
      </c>
      <c r="B90" s="80" t="s">
        <v>177</v>
      </c>
      <c r="C90" s="8" t="s">
        <v>74</v>
      </c>
      <c r="D90" s="8" t="s">
        <v>147</v>
      </c>
      <c r="E90" s="15">
        <v>42244</v>
      </c>
      <c r="F90" s="8" t="s">
        <v>10</v>
      </c>
      <c r="G90" s="8" t="s">
        <v>148</v>
      </c>
      <c r="H90" s="16" t="s">
        <v>149</v>
      </c>
      <c r="I90" s="8" t="s">
        <v>150</v>
      </c>
      <c r="J90" s="20"/>
      <c r="K90" s="8">
        <v>220</v>
      </c>
      <c r="L90" s="8">
        <f t="shared" ref="L90" si="24">220-K90</f>
        <v>0</v>
      </c>
      <c r="M90" s="33">
        <v>140</v>
      </c>
      <c r="N90" s="33"/>
      <c r="O90" s="84">
        <f t="shared" si="23"/>
        <v>300</v>
      </c>
      <c r="P90" s="22">
        <v>0</v>
      </c>
      <c r="Q90" s="22">
        <v>300</v>
      </c>
      <c r="R90" s="47"/>
      <c r="S90" s="22">
        <f t="shared" si="22"/>
        <v>300</v>
      </c>
    </row>
    <row r="91" spans="1:19" s="30" customFormat="1" ht="21.75" customHeight="1" x14ac:dyDescent="0.2">
      <c r="A91" s="79">
        <v>89</v>
      </c>
      <c r="B91" s="80" t="s">
        <v>177</v>
      </c>
      <c r="C91" s="8" t="s">
        <v>151</v>
      </c>
      <c r="D91" s="8" t="s">
        <v>152</v>
      </c>
      <c r="E91" s="15">
        <v>41956</v>
      </c>
      <c r="F91" s="8" t="s">
        <v>123</v>
      </c>
      <c r="G91" s="8" t="s">
        <v>153</v>
      </c>
      <c r="H91" s="16" t="s">
        <v>154</v>
      </c>
      <c r="I91" s="34" t="s">
        <v>155</v>
      </c>
      <c r="J91" s="20"/>
      <c r="K91" s="8">
        <v>200</v>
      </c>
      <c r="L91" s="8">
        <v>0</v>
      </c>
      <c r="M91" s="33">
        <v>130</v>
      </c>
      <c r="N91" s="33"/>
      <c r="O91" s="84">
        <f t="shared" si="23"/>
        <v>300</v>
      </c>
      <c r="P91" s="22">
        <v>0</v>
      </c>
      <c r="Q91" s="22">
        <v>300</v>
      </c>
      <c r="R91" s="47"/>
      <c r="S91" s="22">
        <f t="shared" si="22"/>
        <v>300</v>
      </c>
    </row>
    <row r="92" spans="1:19" s="30" customFormat="1" ht="21.75" customHeight="1" x14ac:dyDescent="0.2">
      <c r="A92" s="79">
        <v>90</v>
      </c>
      <c r="B92" s="80" t="s">
        <v>177</v>
      </c>
      <c r="C92" s="8" t="s">
        <v>83</v>
      </c>
      <c r="D92" s="8" t="s">
        <v>84</v>
      </c>
      <c r="E92" s="15">
        <v>42154</v>
      </c>
      <c r="F92" s="8" t="s">
        <v>85</v>
      </c>
      <c r="G92" s="8" t="s">
        <v>86</v>
      </c>
      <c r="H92" s="16" t="s">
        <v>87</v>
      </c>
      <c r="I92" s="8" t="s">
        <v>25</v>
      </c>
      <c r="J92" s="20"/>
      <c r="K92" s="8">
        <v>200</v>
      </c>
      <c r="L92" s="8">
        <v>0</v>
      </c>
      <c r="M92" s="29">
        <v>130</v>
      </c>
      <c r="N92" s="29"/>
      <c r="O92" s="84">
        <f t="shared" si="23"/>
        <v>300</v>
      </c>
      <c r="P92" s="22">
        <v>0</v>
      </c>
      <c r="Q92" s="22">
        <v>300</v>
      </c>
      <c r="R92" s="35"/>
      <c r="S92" s="22">
        <f t="shared" si="22"/>
        <v>300</v>
      </c>
    </row>
    <row r="93" spans="1:19" s="30" customFormat="1" ht="21.75" customHeight="1" x14ac:dyDescent="0.2">
      <c r="A93" s="79">
        <v>91</v>
      </c>
      <c r="B93" s="80" t="s">
        <v>177</v>
      </c>
      <c r="C93" s="8" t="s">
        <v>270</v>
      </c>
      <c r="D93" s="8" t="s">
        <v>271</v>
      </c>
      <c r="E93" s="15">
        <v>42165</v>
      </c>
      <c r="F93" s="8"/>
      <c r="G93" s="8"/>
      <c r="H93" s="16"/>
      <c r="I93" s="8"/>
      <c r="J93" s="20" t="s">
        <v>411</v>
      </c>
      <c r="K93" s="8"/>
      <c r="L93" s="9">
        <f t="shared" ref="L93" si="25">220-K93</f>
        <v>220</v>
      </c>
      <c r="M93" s="87"/>
      <c r="N93" s="87"/>
      <c r="O93" s="88">
        <f t="shared" si="23"/>
        <v>300</v>
      </c>
      <c r="P93" s="72">
        <v>0</v>
      </c>
      <c r="Q93" s="72">
        <v>300</v>
      </c>
      <c r="R93" s="89"/>
      <c r="S93" s="72">
        <f t="shared" si="22"/>
        <v>300</v>
      </c>
    </row>
    <row r="94" spans="1:19" s="30" customFormat="1" ht="21.75" customHeight="1" x14ac:dyDescent="0.2">
      <c r="A94" s="97">
        <v>92</v>
      </c>
      <c r="B94" s="98" t="s">
        <v>213</v>
      </c>
      <c r="C94" s="98" t="s">
        <v>126</v>
      </c>
      <c r="D94" s="98" t="s">
        <v>127</v>
      </c>
      <c r="E94" s="99">
        <v>41751</v>
      </c>
      <c r="F94" s="98" t="s">
        <v>10</v>
      </c>
      <c r="G94" s="98" t="s">
        <v>128</v>
      </c>
      <c r="H94" s="100" t="s">
        <v>129</v>
      </c>
      <c r="I94" s="98" t="s">
        <v>130</v>
      </c>
      <c r="J94" s="98" t="s">
        <v>549</v>
      </c>
      <c r="K94" s="98">
        <v>220</v>
      </c>
      <c r="L94" s="9">
        <f t="shared" si="14"/>
        <v>0</v>
      </c>
      <c r="M94" s="101"/>
      <c r="N94" s="101"/>
      <c r="O94" s="102">
        <f t="shared" si="12"/>
        <v>0</v>
      </c>
      <c r="P94" s="101">
        <v>0</v>
      </c>
      <c r="Q94" s="101">
        <v>0</v>
      </c>
      <c r="R94" s="35"/>
      <c r="S94" s="22">
        <f t="shared" si="22"/>
        <v>0</v>
      </c>
    </row>
    <row r="95" spans="1:19" s="30" customFormat="1" ht="21.75" customHeight="1" x14ac:dyDescent="0.2">
      <c r="A95" s="97">
        <v>93</v>
      </c>
      <c r="B95" s="98" t="s">
        <v>213</v>
      </c>
      <c r="C95" s="9" t="s">
        <v>136</v>
      </c>
      <c r="D95" s="9" t="s">
        <v>137</v>
      </c>
      <c r="E95" s="103">
        <v>41858</v>
      </c>
      <c r="F95" s="9" t="s">
        <v>75</v>
      </c>
      <c r="G95" s="9" t="s">
        <v>138</v>
      </c>
      <c r="H95" s="104" t="s">
        <v>139</v>
      </c>
      <c r="I95" s="9" t="s">
        <v>140</v>
      </c>
      <c r="J95" s="9" t="s">
        <v>548</v>
      </c>
      <c r="K95" s="9">
        <v>220</v>
      </c>
      <c r="L95" s="9">
        <f t="shared" si="14"/>
        <v>0</v>
      </c>
      <c r="M95" s="105">
        <v>130</v>
      </c>
      <c r="N95" s="105"/>
      <c r="O95" s="102">
        <f t="shared" si="12"/>
        <v>0</v>
      </c>
      <c r="P95" s="101">
        <v>0</v>
      </c>
      <c r="Q95" s="101">
        <v>0</v>
      </c>
      <c r="R95" s="35"/>
      <c r="S95" s="22">
        <f t="shared" si="22"/>
        <v>0</v>
      </c>
    </row>
    <row r="96" spans="1:19" s="30" customFormat="1" ht="21.75" customHeight="1" x14ac:dyDescent="0.2">
      <c r="A96" s="97">
        <v>94</v>
      </c>
      <c r="B96" s="98" t="s">
        <v>213</v>
      </c>
      <c r="C96" s="9" t="s">
        <v>142</v>
      </c>
      <c r="D96" s="9" t="s">
        <v>143</v>
      </c>
      <c r="E96" s="103">
        <v>41816</v>
      </c>
      <c r="F96" s="9" t="s">
        <v>75</v>
      </c>
      <c r="G96" s="9" t="s">
        <v>144</v>
      </c>
      <c r="H96" s="104" t="s">
        <v>145</v>
      </c>
      <c r="I96" s="9" t="s">
        <v>146</v>
      </c>
      <c r="J96" s="9" t="s">
        <v>548</v>
      </c>
      <c r="K96" s="9">
        <v>220</v>
      </c>
      <c r="L96" s="9">
        <f t="shared" si="14"/>
        <v>0</v>
      </c>
      <c r="M96" s="105"/>
      <c r="N96" s="105"/>
      <c r="O96" s="102">
        <f t="shared" si="12"/>
        <v>0</v>
      </c>
      <c r="P96" s="101">
        <v>0</v>
      </c>
      <c r="Q96" s="101">
        <v>0</v>
      </c>
      <c r="R96" s="47"/>
      <c r="S96" s="22">
        <f t="shared" si="22"/>
        <v>0</v>
      </c>
    </row>
    <row r="97" spans="1:19" s="30" customFormat="1" ht="21.75" customHeight="1" x14ac:dyDescent="0.2">
      <c r="A97" s="97">
        <v>95</v>
      </c>
      <c r="B97" s="98" t="s">
        <v>213</v>
      </c>
      <c r="C97" s="106" t="s">
        <v>286</v>
      </c>
      <c r="D97" s="106" t="s">
        <v>285</v>
      </c>
      <c r="E97" s="107">
        <v>41676</v>
      </c>
      <c r="F97" s="108"/>
      <c r="G97" s="108"/>
      <c r="H97" s="109"/>
      <c r="I97" s="108"/>
      <c r="J97" s="108" t="s">
        <v>548</v>
      </c>
      <c r="K97" s="108"/>
      <c r="L97" s="9">
        <f>220-K97</f>
        <v>220</v>
      </c>
      <c r="M97" s="101">
        <v>140</v>
      </c>
      <c r="N97" s="101"/>
      <c r="O97" s="102">
        <f>Q97-P97</f>
        <v>0</v>
      </c>
      <c r="P97" s="101">
        <v>0</v>
      </c>
      <c r="Q97" s="101">
        <v>0</v>
      </c>
      <c r="R97" s="35"/>
      <c r="S97" s="22">
        <f>Q97-P97</f>
        <v>0</v>
      </c>
    </row>
    <row r="98" spans="1:19" s="30" customFormat="1" ht="21.75" customHeight="1" x14ac:dyDescent="0.2">
      <c r="A98" s="79">
        <v>92</v>
      </c>
      <c r="B98" s="90" t="s">
        <v>250</v>
      </c>
      <c r="C98" s="36" t="s">
        <v>74</v>
      </c>
      <c r="D98" s="36" t="s">
        <v>158</v>
      </c>
      <c r="E98" s="37">
        <v>41274</v>
      </c>
      <c r="F98" s="36" t="s">
        <v>157</v>
      </c>
      <c r="G98" s="36" t="s">
        <v>159</v>
      </c>
      <c r="H98" s="38">
        <v>4369914700825</v>
      </c>
      <c r="I98" s="36" t="s">
        <v>160</v>
      </c>
      <c r="J98" s="63"/>
      <c r="K98" s="36"/>
      <c r="L98" s="9">
        <f t="shared" si="14"/>
        <v>220</v>
      </c>
      <c r="M98" s="33"/>
      <c r="N98" s="33"/>
      <c r="O98" s="84">
        <f t="shared" si="12"/>
        <v>300</v>
      </c>
      <c r="P98" s="22">
        <v>0</v>
      </c>
      <c r="Q98" s="22">
        <v>300</v>
      </c>
      <c r="R98" s="35"/>
      <c r="S98" s="22">
        <f t="shared" si="22"/>
        <v>300</v>
      </c>
    </row>
    <row r="99" spans="1:19" s="30" customFormat="1" ht="21.75" customHeight="1" x14ac:dyDescent="0.2">
      <c r="A99" s="79">
        <v>93</v>
      </c>
      <c r="B99" s="90" t="s">
        <v>250</v>
      </c>
      <c r="C99" s="36" t="s">
        <v>161</v>
      </c>
      <c r="D99" s="36" t="s">
        <v>162</v>
      </c>
      <c r="E99" s="37">
        <v>41473</v>
      </c>
      <c r="F99" s="36" t="s">
        <v>163</v>
      </c>
      <c r="G99" s="36" t="s">
        <v>164</v>
      </c>
      <c r="H99" s="38">
        <v>6609768374</v>
      </c>
      <c r="I99" s="36" t="s">
        <v>165</v>
      </c>
      <c r="J99" s="62"/>
      <c r="K99" s="36">
        <v>220</v>
      </c>
      <c r="L99" s="8">
        <f t="shared" si="14"/>
        <v>0</v>
      </c>
      <c r="M99" s="29">
        <v>110</v>
      </c>
      <c r="N99" s="29"/>
      <c r="O99" s="84">
        <f t="shared" ref="O99:O129" si="26">Q99-P99</f>
        <v>300</v>
      </c>
      <c r="P99" s="22">
        <v>0</v>
      </c>
      <c r="Q99" s="22">
        <v>300</v>
      </c>
      <c r="R99" s="35"/>
      <c r="S99" s="22">
        <f t="shared" si="22"/>
        <v>300</v>
      </c>
    </row>
    <row r="100" spans="1:19" s="30" customFormat="1" ht="21.75" customHeight="1" x14ac:dyDescent="0.2">
      <c r="A100" s="79">
        <v>94</v>
      </c>
      <c r="B100" s="90" t="s">
        <v>250</v>
      </c>
      <c r="C100" s="36" t="s">
        <v>166</v>
      </c>
      <c r="D100" s="36" t="s">
        <v>132</v>
      </c>
      <c r="E100" s="37">
        <v>41384</v>
      </c>
      <c r="F100" s="36" t="s">
        <v>157</v>
      </c>
      <c r="G100" s="36" t="s">
        <v>133</v>
      </c>
      <c r="H100" s="38">
        <v>6503920167</v>
      </c>
      <c r="I100" s="36" t="s">
        <v>167</v>
      </c>
      <c r="J100" s="62"/>
      <c r="K100" s="36">
        <v>100</v>
      </c>
      <c r="L100" s="9">
        <f>200-K100</f>
        <v>100</v>
      </c>
      <c r="M100" s="29"/>
      <c r="N100" s="29"/>
      <c r="O100" s="84">
        <f t="shared" si="26"/>
        <v>300</v>
      </c>
      <c r="P100" s="22">
        <v>0</v>
      </c>
      <c r="Q100" s="22">
        <v>300</v>
      </c>
      <c r="R100" s="35"/>
      <c r="S100" s="22">
        <f t="shared" si="22"/>
        <v>300</v>
      </c>
    </row>
    <row r="101" spans="1:19" s="30" customFormat="1" ht="21.75" customHeight="1" x14ac:dyDescent="0.2">
      <c r="A101" s="79">
        <v>95</v>
      </c>
      <c r="B101" s="90" t="s">
        <v>250</v>
      </c>
      <c r="C101" s="36" t="s">
        <v>168</v>
      </c>
      <c r="D101" s="36" t="s">
        <v>169</v>
      </c>
      <c r="E101" s="37">
        <v>41411</v>
      </c>
      <c r="F101" s="36" t="s">
        <v>157</v>
      </c>
      <c r="G101" s="36" t="s">
        <v>170</v>
      </c>
      <c r="H101" s="38">
        <v>67761355019</v>
      </c>
      <c r="I101" s="36" t="s">
        <v>171</v>
      </c>
      <c r="J101" s="62"/>
      <c r="K101" s="36">
        <v>220</v>
      </c>
      <c r="L101" s="8">
        <f t="shared" si="14"/>
        <v>0</v>
      </c>
      <c r="M101" s="29">
        <v>140</v>
      </c>
      <c r="N101" s="29">
        <v>140</v>
      </c>
      <c r="O101" s="84">
        <f t="shared" si="26"/>
        <v>300</v>
      </c>
      <c r="P101" s="22">
        <v>0</v>
      </c>
      <c r="Q101" s="22">
        <v>300</v>
      </c>
      <c r="R101" s="35"/>
      <c r="S101" s="22">
        <f t="shared" si="22"/>
        <v>300</v>
      </c>
    </row>
    <row r="102" spans="1:19" s="30" customFormat="1" ht="21.75" customHeight="1" x14ac:dyDescent="0.2">
      <c r="A102" s="79">
        <v>96</v>
      </c>
      <c r="B102" s="90" t="s">
        <v>250</v>
      </c>
      <c r="C102" s="36" t="s">
        <v>172</v>
      </c>
      <c r="D102" s="36" t="s">
        <v>173</v>
      </c>
      <c r="E102" s="37">
        <v>41263</v>
      </c>
      <c r="F102" s="36" t="s">
        <v>174</v>
      </c>
      <c r="G102" s="36" t="s">
        <v>175</v>
      </c>
      <c r="H102" s="38">
        <v>436765763789</v>
      </c>
      <c r="I102" s="36" t="s">
        <v>176</v>
      </c>
      <c r="J102" s="62"/>
      <c r="K102" s="36">
        <v>220</v>
      </c>
      <c r="L102" s="8">
        <f t="shared" si="14"/>
        <v>0</v>
      </c>
      <c r="M102" s="29">
        <v>140</v>
      </c>
      <c r="N102" s="29">
        <v>140</v>
      </c>
      <c r="O102" s="84">
        <f t="shared" si="26"/>
        <v>300</v>
      </c>
      <c r="P102" s="22">
        <v>0</v>
      </c>
      <c r="Q102" s="22">
        <v>300</v>
      </c>
      <c r="R102" s="35"/>
      <c r="S102" s="22">
        <f t="shared" si="22"/>
        <v>300</v>
      </c>
    </row>
    <row r="103" spans="1:19" s="30" customFormat="1" ht="21.75" customHeight="1" x14ac:dyDescent="0.2">
      <c r="A103" s="79">
        <v>97</v>
      </c>
      <c r="B103" s="90" t="s">
        <v>250</v>
      </c>
      <c r="C103" s="13" t="s">
        <v>276</v>
      </c>
      <c r="D103" s="13" t="s">
        <v>287</v>
      </c>
      <c r="E103" s="37">
        <v>41263</v>
      </c>
      <c r="F103" s="36"/>
      <c r="G103" s="36"/>
      <c r="H103" s="38"/>
      <c r="I103" s="36"/>
      <c r="J103" s="62" t="s">
        <v>551</v>
      </c>
      <c r="K103" s="36"/>
      <c r="L103" s="9">
        <f t="shared" si="14"/>
        <v>220</v>
      </c>
      <c r="M103" s="29">
        <v>140</v>
      </c>
      <c r="N103" s="29">
        <v>140</v>
      </c>
      <c r="O103" s="84">
        <f t="shared" si="26"/>
        <v>300</v>
      </c>
      <c r="P103" s="22">
        <v>0</v>
      </c>
      <c r="Q103" s="22">
        <v>300</v>
      </c>
      <c r="R103" s="35"/>
      <c r="S103" s="22">
        <f t="shared" si="22"/>
        <v>300</v>
      </c>
    </row>
    <row r="104" spans="1:19" s="30" customFormat="1" ht="21.75" customHeight="1" x14ac:dyDescent="0.2">
      <c r="A104" s="79">
        <v>98</v>
      </c>
      <c r="B104" s="90" t="s">
        <v>250</v>
      </c>
      <c r="C104" s="36" t="s">
        <v>408</v>
      </c>
      <c r="D104" s="36" t="s">
        <v>409</v>
      </c>
      <c r="E104" s="37">
        <v>41445</v>
      </c>
      <c r="F104" s="36" t="s">
        <v>410</v>
      </c>
      <c r="G104" s="36"/>
      <c r="H104" s="38"/>
      <c r="I104" s="36"/>
      <c r="J104" s="62" t="s">
        <v>552</v>
      </c>
      <c r="K104" s="36"/>
      <c r="L104" s="9"/>
      <c r="M104" s="29"/>
      <c r="N104" s="29"/>
      <c r="O104" s="84">
        <f t="shared" si="26"/>
        <v>300</v>
      </c>
      <c r="P104" s="22">
        <v>0</v>
      </c>
      <c r="Q104" s="22">
        <v>300</v>
      </c>
      <c r="R104" s="35"/>
      <c r="S104" s="22">
        <f t="shared" si="22"/>
        <v>300</v>
      </c>
    </row>
    <row r="105" spans="1:19" s="30" customFormat="1" ht="21.75" customHeight="1" x14ac:dyDescent="0.2">
      <c r="A105" s="79">
        <v>99</v>
      </c>
      <c r="B105" s="80" t="s">
        <v>250</v>
      </c>
      <c r="C105" s="8" t="s">
        <v>311</v>
      </c>
      <c r="D105" s="8" t="s">
        <v>204</v>
      </c>
      <c r="E105" s="15">
        <v>41359</v>
      </c>
      <c r="F105" s="8" t="s">
        <v>26</v>
      </c>
      <c r="G105" s="8" t="s">
        <v>205</v>
      </c>
      <c r="H105" s="16" t="s">
        <v>206</v>
      </c>
      <c r="I105" s="8" t="s">
        <v>207</v>
      </c>
      <c r="J105" s="20"/>
      <c r="K105" s="8">
        <v>220</v>
      </c>
      <c r="L105" s="8">
        <f t="shared" ref="L105" si="27">220-K105</f>
        <v>0</v>
      </c>
      <c r="M105" s="29">
        <v>140</v>
      </c>
      <c r="N105" s="29"/>
      <c r="O105" s="84">
        <f t="shared" ref="O105" si="28">Q105-P105</f>
        <v>300</v>
      </c>
      <c r="P105" s="22">
        <v>0</v>
      </c>
      <c r="Q105" s="22">
        <v>300</v>
      </c>
      <c r="R105" s="35"/>
      <c r="S105" s="22">
        <f t="shared" ref="S105" si="29">Q105-P105</f>
        <v>300</v>
      </c>
    </row>
    <row r="106" spans="1:19" s="30" customFormat="1" ht="21.75" customHeight="1" x14ac:dyDescent="0.2">
      <c r="A106" s="79">
        <v>100</v>
      </c>
      <c r="B106" s="8" t="s">
        <v>315</v>
      </c>
      <c r="C106" s="8" t="s">
        <v>8</v>
      </c>
      <c r="D106" s="8" t="s">
        <v>178</v>
      </c>
      <c r="E106" s="15">
        <v>41007</v>
      </c>
      <c r="F106" s="8" t="s">
        <v>10</v>
      </c>
      <c r="G106" s="8" t="s">
        <v>179</v>
      </c>
      <c r="H106" s="16" t="s">
        <v>180</v>
      </c>
      <c r="I106" s="8" t="s">
        <v>181</v>
      </c>
      <c r="J106" s="20"/>
      <c r="K106" s="8">
        <v>220</v>
      </c>
      <c r="L106" s="8">
        <f t="shared" si="14"/>
        <v>0</v>
      </c>
      <c r="M106" s="29">
        <v>140</v>
      </c>
      <c r="N106" s="29">
        <v>140</v>
      </c>
      <c r="O106" s="84">
        <f t="shared" si="26"/>
        <v>300</v>
      </c>
      <c r="P106" s="22">
        <v>0</v>
      </c>
      <c r="Q106" s="22">
        <v>300</v>
      </c>
      <c r="R106" s="35"/>
      <c r="S106" s="22">
        <f t="shared" si="22"/>
        <v>300</v>
      </c>
    </row>
    <row r="107" spans="1:19" s="30" customFormat="1" ht="21.75" customHeight="1" x14ac:dyDescent="0.2">
      <c r="A107" s="79">
        <v>101</v>
      </c>
      <c r="B107" s="8" t="s">
        <v>315</v>
      </c>
      <c r="C107" s="8" t="s">
        <v>29</v>
      </c>
      <c r="D107" s="8" t="s">
        <v>152</v>
      </c>
      <c r="E107" s="15">
        <v>40962</v>
      </c>
      <c r="F107" s="8" t="s">
        <v>123</v>
      </c>
      <c r="G107" s="8" t="s">
        <v>153</v>
      </c>
      <c r="H107" s="16" t="s">
        <v>154</v>
      </c>
      <c r="I107" s="8" t="s">
        <v>182</v>
      </c>
      <c r="J107" s="20"/>
      <c r="K107" s="8">
        <v>200</v>
      </c>
      <c r="L107" s="8">
        <f>200-K107</f>
        <v>0</v>
      </c>
      <c r="M107" s="29">
        <v>130</v>
      </c>
      <c r="N107" s="29"/>
      <c r="O107" s="84">
        <f t="shared" si="26"/>
        <v>300</v>
      </c>
      <c r="P107" s="22">
        <v>0</v>
      </c>
      <c r="Q107" s="22">
        <v>300</v>
      </c>
      <c r="R107" s="35"/>
      <c r="S107" s="22">
        <f t="shared" si="22"/>
        <v>300</v>
      </c>
    </row>
    <row r="108" spans="1:19" s="30" customFormat="1" ht="21.75" customHeight="1" x14ac:dyDescent="0.2">
      <c r="A108" s="79">
        <v>102</v>
      </c>
      <c r="B108" s="8" t="s">
        <v>315</v>
      </c>
      <c r="C108" s="8" t="s">
        <v>183</v>
      </c>
      <c r="D108" s="8" t="s">
        <v>64</v>
      </c>
      <c r="E108" s="15">
        <v>40928</v>
      </c>
      <c r="F108" s="8" t="s">
        <v>123</v>
      </c>
      <c r="G108" s="8" t="s">
        <v>65</v>
      </c>
      <c r="H108" s="16" t="s">
        <v>184</v>
      </c>
      <c r="I108" s="8" t="s">
        <v>185</v>
      </c>
      <c r="J108" s="20"/>
      <c r="K108" s="8">
        <v>200</v>
      </c>
      <c r="L108" s="8">
        <f>200-K108</f>
        <v>0</v>
      </c>
      <c r="M108" s="29">
        <v>130</v>
      </c>
      <c r="N108" s="29"/>
      <c r="O108" s="84">
        <f t="shared" si="26"/>
        <v>300</v>
      </c>
      <c r="P108" s="22">
        <v>0</v>
      </c>
      <c r="Q108" s="22">
        <v>300</v>
      </c>
      <c r="R108" s="35"/>
      <c r="S108" s="22">
        <f t="shared" si="22"/>
        <v>300</v>
      </c>
    </row>
    <row r="109" spans="1:19" s="30" customFormat="1" ht="21.75" customHeight="1" x14ac:dyDescent="0.2">
      <c r="A109" s="79">
        <v>103</v>
      </c>
      <c r="B109" s="8" t="s">
        <v>315</v>
      </c>
      <c r="C109" s="8" t="s">
        <v>186</v>
      </c>
      <c r="D109" s="8" t="s">
        <v>187</v>
      </c>
      <c r="E109" s="15">
        <v>41023</v>
      </c>
      <c r="F109" s="8" t="s">
        <v>82</v>
      </c>
      <c r="G109" s="8" t="s">
        <v>188</v>
      </c>
      <c r="H109" s="16" t="s">
        <v>189</v>
      </c>
      <c r="I109" s="8" t="s">
        <v>190</v>
      </c>
      <c r="J109" s="20"/>
      <c r="K109" s="8">
        <v>220</v>
      </c>
      <c r="L109" s="8">
        <f t="shared" si="14"/>
        <v>0</v>
      </c>
      <c r="M109" s="29">
        <v>140</v>
      </c>
      <c r="N109" s="29">
        <v>140</v>
      </c>
      <c r="O109" s="84">
        <f t="shared" si="26"/>
        <v>300</v>
      </c>
      <c r="P109" s="22">
        <v>0</v>
      </c>
      <c r="Q109" s="22">
        <v>300</v>
      </c>
      <c r="R109" s="35"/>
      <c r="S109" s="22">
        <f t="shared" si="22"/>
        <v>300</v>
      </c>
    </row>
    <row r="110" spans="1:19" s="30" customFormat="1" ht="21.75" customHeight="1" x14ac:dyDescent="0.2">
      <c r="A110" s="79">
        <v>104</v>
      </c>
      <c r="B110" s="8" t="s">
        <v>315</v>
      </c>
      <c r="C110" s="8" t="s">
        <v>191</v>
      </c>
      <c r="D110" s="8" t="s">
        <v>192</v>
      </c>
      <c r="E110" s="15">
        <v>41071</v>
      </c>
      <c r="F110" s="8" t="s">
        <v>10</v>
      </c>
      <c r="G110" s="8" t="s">
        <v>193</v>
      </c>
      <c r="H110" s="16" t="s">
        <v>194</v>
      </c>
      <c r="I110" s="8" t="s">
        <v>195</v>
      </c>
      <c r="J110" s="20"/>
      <c r="K110" s="8">
        <v>220</v>
      </c>
      <c r="L110" s="8">
        <f t="shared" si="14"/>
        <v>0</v>
      </c>
      <c r="M110" s="29">
        <v>140</v>
      </c>
      <c r="N110" s="29">
        <v>140</v>
      </c>
      <c r="O110" s="84">
        <f t="shared" si="26"/>
        <v>300</v>
      </c>
      <c r="P110" s="22">
        <v>0</v>
      </c>
      <c r="Q110" s="22">
        <v>300</v>
      </c>
      <c r="R110" s="35"/>
      <c r="S110" s="22">
        <f t="shared" si="22"/>
        <v>300</v>
      </c>
    </row>
    <row r="111" spans="1:19" s="30" customFormat="1" ht="21.75" customHeight="1" x14ac:dyDescent="0.2">
      <c r="A111" s="79">
        <v>105</v>
      </c>
      <c r="B111" s="8" t="s">
        <v>315</v>
      </c>
      <c r="C111" s="8" t="s">
        <v>125</v>
      </c>
      <c r="D111" s="8" t="s">
        <v>141</v>
      </c>
      <c r="E111" s="15">
        <v>40949</v>
      </c>
      <c r="F111" s="8" t="s">
        <v>10</v>
      </c>
      <c r="G111" s="8" t="s">
        <v>196</v>
      </c>
      <c r="H111" s="16" t="s">
        <v>197</v>
      </c>
      <c r="I111" s="8" t="s">
        <v>198</v>
      </c>
      <c r="J111" s="20"/>
      <c r="K111" s="8">
        <v>200</v>
      </c>
      <c r="L111" s="8">
        <f>200-K111</f>
        <v>0</v>
      </c>
      <c r="M111" s="29">
        <v>140</v>
      </c>
      <c r="N111" s="29">
        <v>140</v>
      </c>
      <c r="O111" s="84">
        <f t="shared" si="26"/>
        <v>300</v>
      </c>
      <c r="P111" s="22">
        <v>0</v>
      </c>
      <c r="Q111" s="22">
        <v>300</v>
      </c>
      <c r="R111" s="35"/>
      <c r="S111" s="22">
        <f t="shared" si="22"/>
        <v>300</v>
      </c>
    </row>
    <row r="112" spans="1:19" s="30" customFormat="1" ht="21.75" customHeight="1" x14ac:dyDescent="0.2">
      <c r="A112" s="79">
        <v>106</v>
      </c>
      <c r="B112" s="8" t="s">
        <v>315</v>
      </c>
      <c r="C112" s="8" t="s">
        <v>199</v>
      </c>
      <c r="D112" s="8" t="s">
        <v>200</v>
      </c>
      <c r="E112" s="15">
        <v>40889</v>
      </c>
      <c r="F112" s="8" t="s">
        <v>123</v>
      </c>
      <c r="G112" s="8" t="s">
        <v>201</v>
      </c>
      <c r="H112" s="16" t="s">
        <v>202</v>
      </c>
      <c r="I112" s="8" t="s">
        <v>203</v>
      </c>
      <c r="J112" s="20"/>
      <c r="K112" s="8">
        <v>220</v>
      </c>
      <c r="L112" s="8">
        <f t="shared" ref="L112:L128" si="30">220-K112</f>
        <v>0</v>
      </c>
      <c r="M112" s="29">
        <v>140</v>
      </c>
      <c r="N112" s="29"/>
      <c r="O112" s="84">
        <f t="shared" si="26"/>
        <v>300</v>
      </c>
      <c r="P112" s="22">
        <v>0</v>
      </c>
      <c r="Q112" s="22">
        <v>300</v>
      </c>
      <c r="R112" s="35"/>
      <c r="S112" s="22">
        <f t="shared" si="22"/>
        <v>300</v>
      </c>
    </row>
    <row r="113" spans="1:19" s="30" customFormat="1" ht="21.75" customHeight="1" x14ac:dyDescent="0.2">
      <c r="A113" s="79">
        <v>107</v>
      </c>
      <c r="B113" s="8" t="s">
        <v>315</v>
      </c>
      <c r="C113" s="8" t="s">
        <v>208</v>
      </c>
      <c r="D113" s="8" t="s">
        <v>209</v>
      </c>
      <c r="E113" s="15">
        <v>41116</v>
      </c>
      <c r="F113" s="8" t="s">
        <v>82</v>
      </c>
      <c r="G113" s="8" t="s">
        <v>210</v>
      </c>
      <c r="H113" s="16" t="s">
        <v>211</v>
      </c>
      <c r="I113" s="8" t="s">
        <v>212</v>
      </c>
      <c r="J113" s="20" t="s">
        <v>439</v>
      </c>
      <c r="K113" s="8">
        <v>220</v>
      </c>
      <c r="L113" s="8">
        <f t="shared" si="30"/>
        <v>0</v>
      </c>
      <c r="M113" s="29">
        <v>140</v>
      </c>
      <c r="N113" s="29">
        <v>140</v>
      </c>
      <c r="O113" s="84">
        <f t="shared" si="26"/>
        <v>300</v>
      </c>
      <c r="P113" s="22">
        <v>0</v>
      </c>
      <c r="Q113" s="22">
        <v>300</v>
      </c>
      <c r="R113" s="35"/>
      <c r="S113" s="22">
        <f t="shared" si="22"/>
        <v>300</v>
      </c>
    </row>
    <row r="114" spans="1:19" s="30" customFormat="1" ht="21.75" customHeight="1" x14ac:dyDescent="0.2">
      <c r="A114" s="97">
        <v>112</v>
      </c>
      <c r="B114" s="9" t="s">
        <v>315</v>
      </c>
      <c r="C114" s="110" t="s">
        <v>342</v>
      </c>
      <c r="D114" s="110" t="s">
        <v>320</v>
      </c>
      <c r="E114" s="103">
        <v>41041</v>
      </c>
      <c r="F114" s="9" t="s">
        <v>321</v>
      </c>
      <c r="G114" s="9"/>
      <c r="H114" s="111"/>
      <c r="I114" s="9"/>
      <c r="J114" s="110" t="s">
        <v>319</v>
      </c>
      <c r="K114" s="9"/>
      <c r="L114" s="9"/>
      <c r="M114" s="101"/>
      <c r="N114" s="101"/>
      <c r="O114" s="102">
        <f t="shared" si="26"/>
        <v>0</v>
      </c>
      <c r="P114" s="101">
        <v>0</v>
      </c>
      <c r="Q114" s="101">
        <v>0</v>
      </c>
      <c r="R114" s="35"/>
      <c r="S114" s="22">
        <f t="shared" si="22"/>
        <v>0</v>
      </c>
    </row>
    <row r="115" spans="1:19" s="30" customFormat="1" ht="21.75" customHeight="1" x14ac:dyDescent="0.2">
      <c r="A115" s="79">
        <v>108</v>
      </c>
      <c r="B115" s="8" t="s">
        <v>315</v>
      </c>
      <c r="C115" s="10" t="s">
        <v>126</v>
      </c>
      <c r="D115" s="10" t="s">
        <v>343</v>
      </c>
      <c r="E115" s="15">
        <v>40809</v>
      </c>
      <c r="F115" s="8" t="s">
        <v>316</v>
      </c>
      <c r="G115" s="8" t="s">
        <v>317</v>
      </c>
      <c r="H115" s="16"/>
      <c r="I115" s="8"/>
      <c r="J115" s="20" t="s">
        <v>318</v>
      </c>
      <c r="K115" s="8"/>
      <c r="L115" s="8"/>
      <c r="M115" s="29"/>
      <c r="N115" s="29"/>
      <c r="O115" s="84">
        <f t="shared" si="26"/>
        <v>300</v>
      </c>
      <c r="P115" s="22">
        <v>0</v>
      </c>
      <c r="Q115" s="22">
        <v>300</v>
      </c>
      <c r="R115" s="35"/>
      <c r="S115" s="22">
        <f t="shared" si="22"/>
        <v>300</v>
      </c>
    </row>
    <row r="116" spans="1:19" s="30" customFormat="1" ht="21.75" customHeight="1" x14ac:dyDescent="0.2">
      <c r="A116" s="79">
        <v>109</v>
      </c>
      <c r="B116" s="8" t="s">
        <v>315</v>
      </c>
      <c r="C116" s="8" t="s">
        <v>126</v>
      </c>
      <c r="D116" s="8" t="s">
        <v>246</v>
      </c>
      <c r="E116" s="15">
        <v>40791</v>
      </c>
      <c r="F116" s="8" t="s">
        <v>75</v>
      </c>
      <c r="G116" s="8" t="s">
        <v>247</v>
      </c>
      <c r="H116" s="16" t="s">
        <v>248</v>
      </c>
      <c r="I116" s="8" t="s">
        <v>249</v>
      </c>
      <c r="J116" s="19"/>
      <c r="K116" s="8"/>
      <c r="L116" s="9">
        <f>220-K116</f>
        <v>220</v>
      </c>
      <c r="M116" s="29">
        <v>130</v>
      </c>
      <c r="N116" s="29">
        <v>130</v>
      </c>
      <c r="O116" s="84">
        <f t="shared" si="26"/>
        <v>300</v>
      </c>
      <c r="P116" s="22">
        <v>0</v>
      </c>
      <c r="Q116" s="22">
        <v>300</v>
      </c>
      <c r="R116" s="35"/>
      <c r="S116" s="22">
        <f>Q116-P116</f>
        <v>300</v>
      </c>
    </row>
    <row r="117" spans="1:19" s="30" customFormat="1" ht="21.75" customHeight="1" x14ac:dyDescent="0.2">
      <c r="A117" s="79">
        <v>110</v>
      </c>
      <c r="B117" s="8" t="s">
        <v>315</v>
      </c>
      <c r="C117" s="8" t="s">
        <v>118</v>
      </c>
      <c r="D117" s="8" t="s">
        <v>77</v>
      </c>
      <c r="E117" s="15">
        <v>40757</v>
      </c>
      <c r="F117" s="8" t="s">
        <v>78</v>
      </c>
      <c r="G117" s="8" t="s">
        <v>79</v>
      </c>
      <c r="H117" s="16" t="s">
        <v>214</v>
      </c>
      <c r="I117" s="8" t="s">
        <v>80</v>
      </c>
      <c r="J117" s="20"/>
      <c r="K117" s="8">
        <v>200</v>
      </c>
      <c r="L117" s="8">
        <f>200-K117</f>
        <v>0</v>
      </c>
      <c r="M117" s="29">
        <v>130</v>
      </c>
      <c r="N117" s="29"/>
      <c r="O117" s="84">
        <f t="shared" si="26"/>
        <v>300</v>
      </c>
      <c r="P117" s="22">
        <v>0</v>
      </c>
      <c r="Q117" s="22">
        <v>300</v>
      </c>
      <c r="R117" s="35"/>
      <c r="S117" s="22">
        <f t="shared" si="22"/>
        <v>300</v>
      </c>
    </row>
    <row r="118" spans="1:19" s="30" customFormat="1" ht="21.75" customHeight="1" x14ac:dyDescent="0.2">
      <c r="A118" s="79">
        <v>111</v>
      </c>
      <c r="B118" s="8" t="s">
        <v>315</v>
      </c>
      <c r="C118" s="8" t="s">
        <v>215</v>
      </c>
      <c r="D118" s="8" t="s">
        <v>216</v>
      </c>
      <c r="E118" s="15">
        <v>40883</v>
      </c>
      <c r="F118" s="8" t="s">
        <v>82</v>
      </c>
      <c r="G118" s="8" t="s">
        <v>217</v>
      </c>
      <c r="H118" s="16" t="s">
        <v>218</v>
      </c>
      <c r="I118" s="8" t="s">
        <v>219</v>
      </c>
      <c r="J118" s="19"/>
      <c r="K118" s="8"/>
      <c r="L118" s="8"/>
      <c r="M118" s="29"/>
      <c r="N118" s="29"/>
      <c r="O118" s="84">
        <f t="shared" si="26"/>
        <v>300</v>
      </c>
      <c r="P118" s="22">
        <v>0</v>
      </c>
      <c r="Q118" s="22">
        <v>300</v>
      </c>
      <c r="R118" s="35"/>
      <c r="S118" s="22">
        <f t="shared" si="22"/>
        <v>300</v>
      </c>
    </row>
    <row r="119" spans="1:19" s="30" customFormat="1" ht="21.75" customHeight="1" x14ac:dyDescent="0.2">
      <c r="A119" s="79">
        <v>112</v>
      </c>
      <c r="B119" s="8" t="s">
        <v>315</v>
      </c>
      <c r="C119" s="8" t="s">
        <v>220</v>
      </c>
      <c r="D119" s="8" t="s">
        <v>221</v>
      </c>
      <c r="E119" s="15">
        <v>40575</v>
      </c>
      <c r="F119" s="8" t="s">
        <v>222</v>
      </c>
      <c r="G119" s="8" t="s">
        <v>223</v>
      </c>
      <c r="H119" s="16" t="s">
        <v>224</v>
      </c>
      <c r="I119" s="8" t="s">
        <v>225</v>
      </c>
      <c r="J119" s="20"/>
      <c r="K119" s="8">
        <v>220</v>
      </c>
      <c r="L119" s="8">
        <f t="shared" si="30"/>
        <v>0</v>
      </c>
      <c r="M119" s="29">
        <v>140</v>
      </c>
      <c r="N119" s="29">
        <v>140</v>
      </c>
      <c r="O119" s="84">
        <f t="shared" si="26"/>
        <v>300</v>
      </c>
      <c r="P119" s="22">
        <v>0</v>
      </c>
      <c r="Q119" s="22">
        <v>300</v>
      </c>
      <c r="R119" s="35"/>
      <c r="S119" s="22">
        <f t="shared" si="22"/>
        <v>300</v>
      </c>
    </row>
    <row r="120" spans="1:19" s="30" customFormat="1" ht="21.75" customHeight="1" x14ac:dyDescent="0.2">
      <c r="A120" s="79">
        <v>113</v>
      </c>
      <c r="B120" s="8" t="s">
        <v>315</v>
      </c>
      <c r="C120" s="8" t="s">
        <v>226</v>
      </c>
      <c r="D120" s="8" t="s">
        <v>227</v>
      </c>
      <c r="E120" s="15">
        <v>40586</v>
      </c>
      <c r="F120" s="8" t="s">
        <v>228</v>
      </c>
      <c r="G120" s="8" t="s">
        <v>229</v>
      </c>
      <c r="H120" s="16" t="s">
        <v>230</v>
      </c>
      <c r="I120" s="35"/>
      <c r="J120" s="20"/>
      <c r="K120" s="8">
        <v>220</v>
      </c>
      <c r="L120" s="8">
        <f t="shared" si="30"/>
        <v>0</v>
      </c>
      <c r="M120" s="29"/>
      <c r="N120" s="29"/>
      <c r="O120" s="84">
        <f t="shared" si="26"/>
        <v>300</v>
      </c>
      <c r="P120" s="22">
        <v>0</v>
      </c>
      <c r="Q120" s="22">
        <v>300</v>
      </c>
      <c r="R120" s="35"/>
      <c r="S120" s="22">
        <f t="shared" si="22"/>
        <v>300</v>
      </c>
    </row>
    <row r="121" spans="1:19" s="30" customFormat="1" ht="21.75" customHeight="1" x14ac:dyDescent="0.2">
      <c r="A121" s="79">
        <v>114</v>
      </c>
      <c r="B121" s="8" t="s">
        <v>315</v>
      </c>
      <c r="C121" s="8" t="s">
        <v>88</v>
      </c>
      <c r="D121" s="8" t="s">
        <v>231</v>
      </c>
      <c r="E121" s="15">
        <v>40557</v>
      </c>
      <c r="F121" s="8" t="s">
        <v>10</v>
      </c>
      <c r="G121" s="8" t="s">
        <v>89</v>
      </c>
      <c r="H121" s="16" t="s">
        <v>232</v>
      </c>
      <c r="I121" s="8" t="s">
        <v>90</v>
      </c>
      <c r="J121" s="20"/>
      <c r="K121" s="8">
        <v>200</v>
      </c>
      <c r="L121" s="8">
        <f>200-K121</f>
        <v>0</v>
      </c>
      <c r="M121" s="29">
        <v>130</v>
      </c>
      <c r="N121" s="29"/>
      <c r="O121" s="84">
        <f t="shared" si="26"/>
        <v>300</v>
      </c>
      <c r="P121" s="22">
        <v>0</v>
      </c>
      <c r="Q121" s="22">
        <v>300</v>
      </c>
      <c r="R121" s="35"/>
      <c r="S121" s="22">
        <f t="shared" si="22"/>
        <v>300</v>
      </c>
    </row>
    <row r="122" spans="1:19" s="30" customFormat="1" ht="21.75" customHeight="1" x14ac:dyDescent="0.2">
      <c r="A122" s="79">
        <v>115</v>
      </c>
      <c r="B122" s="8" t="s">
        <v>315</v>
      </c>
      <c r="C122" s="8" t="s">
        <v>233</v>
      </c>
      <c r="D122" s="8" t="s">
        <v>234</v>
      </c>
      <c r="E122" s="15">
        <v>40742</v>
      </c>
      <c r="F122" s="8" t="s">
        <v>222</v>
      </c>
      <c r="G122" s="8" t="s">
        <v>235</v>
      </c>
      <c r="H122" s="16" t="s">
        <v>236</v>
      </c>
      <c r="I122" s="35"/>
      <c r="J122" s="20" t="s">
        <v>551</v>
      </c>
      <c r="K122" s="8"/>
      <c r="L122" s="9">
        <f t="shared" si="30"/>
        <v>220</v>
      </c>
      <c r="M122" s="29"/>
      <c r="N122" s="29"/>
      <c r="O122" s="84">
        <f t="shared" si="26"/>
        <v>300</v>
      </c>
      <c r="P122" s="22">
        <v>0</v>
      </c>
      <c r="Q122" s="22">
        <v>300</v>
      </c>
      <c r="R122" s="35"/>
      <c r="S122" s="22">
        <f t="shared" si="22"/>
        <v>300</v>
      </c>
    </row>
    <row r="123" spans="1:19" s="30" customFormat="1" ht="21.75" customHeight="1" x14ac:dyDescent="0.2">
      <c r="A123" s="79">
        <v>116</v>
      </c>
      <c r="B123" s="8" t="s">
        <v>315</v>
      </c>
      <c r="C123" s="8" t="s">
        <v>166</v>
      </c>
      <c r="D123" s="8" t="s">
        <v>237</v>
      </c>
      <c r="E123" s="15">
        <v>40632</v>
      </c>
      <c r="F123" s="8" t="s">
        <v>28</v>
      </c>
      <c r="G123" s="8" t="s">
        <v>238</v>
      </c>
      <c r="H123" s="16" t="s">
        <v>239</v>
      </c>
      <c r="I123" s="8" t="s">
        <v>240</v>
      </c>
      <c r="J123" s="20"/>
      <c r="K123" s="8">
        <v>220</v>
      </c>
      <c r="L123" s="8">
        <f t="shared" si="30"/>
        <v>0</v>
      </c>
      <c r="M123" s="29"/>
      <c r="N123" s="29">
        <v>280</v>
      </c>
      <c r="O123" s="84">
        <f t="shared" si="26"/>
        <v>300</v>
      </c>
      <c r="P123" s="22">
        <v>0</v>
      </c>
      <c r="Q123" s="22">
        <v>300</v>
      </c>
      <c r="R123" s="35"/>
      <c r="S123" s="22">
        <f t="shared" si="22"/>
        <v>300</v>
      </c>
    </row>
    <row r="124" spans="1:19" s="30" customFormat="1" ht="21.75" customHeight="1" x14ac:dyDescent="0.2">
      <c r="A124" s="79">
        <v>117</v>
      </c>
      <c r="B124" s="8" t="s">
        <v>315</v>
      </c>
      <c r="C124" s="8" t="s">
        <v>126</v>
      </c>
      <c r="D124" s="8" t="s">
        <v>241</v>
      </c>
      <c r="E124" s="15">
        <v>40543</v>
      </c>
      <c r="F124" s="8" t="s">
        <v>75</v>
      </c>
      <c r="G124" s="8" t="s">
        <v>242</v>
      </c>
      <c r="H124" s="16" t="s">
        <v>243</v>
      </c>
      <c r="I124" s="8" t="s">
        <v>244</v>
      </c>
      <c r="J124" s="20"/>
      <c r="K124" s="8">
        <v>220</v>
      </c>
      <c r="L124" s="8">
        <f t="shared" si="30"/>
        <v>0</v>
      </c>
      <c r="M124" s="29">
        <v>140</v>
      </c>
      <c r="N124" s="29"/>
      <c r="O124" s="84">
        <f t="shared" si="26"/>
        <v>300</v>
      </c>
      <c r="P124" s="22">
        <v>0</v>
      </c>
      <c r="Q124" s="22">
        <v>300</v>
      </c>
      <c r="R124" s="35"/>
      <c r="S124" s="22">
        <f t="shared" si="22"/>
        <v>300</v>
      </c>
    </row>
    <row r="125" spans="1:19" s="30" customFormat="1" ht="21.75" customHeight="1" x14ac:dyDescent="0.2">
      <c r="A125" s="79">
        <v>118</v>
      </c>
      <c r="B125" s="8" t="s">
        <v>315</v>
      </c>
      <c r="C125" s="8" t="s">
        <v>125</v>
      </c>
      <c r="D125" s="10" t="s">
        <v>277</v>
      </c>
      <c r="E125" s="39">
        <v>40490</v>
      </c>
      <c r="F125" s="35" t="s">
        <v>313</v>
      </c>
      <c r="G125" s="35" t="s">
        <v>314</v>
      </c>
      <c r="H125" s="40"/>
      <c r="I125" s="35"/>
      <c r="J125" s="20" t="s">
        <v>550</v>
      </c>
      <c r="K125" s="8"/>
      <c r="L125" s="9">
        <f t="shared" si="30"/>
        <v>220</v>
      </c>
      <c r="M125" s="29">
        <v>140</v>
      </c>
      <c r="N125" s="29">
        <v>140</v>
      </c>
      <c r="O125" s="84">
        <f t="shared" si="26"/>
        <v>300</v>
      </c>
      <c r="P125" s="22">
        <v>0</v>
      </c>
      <c r="Q125" s="22">
        <v>300</v>
      </c>
      <c r="R125" s="35"/>
      <c r="S125" s="22">
        <f t="shared" si="22"/>
        <v>300</v>
      </c>
    </row>
    <row r="126" spans="1:19" s="30" customFormat="1" ht="21.75" customHeight="1" x14ac:dyDescent="0.2">
      <c r="A126" s="79">
        <v>119</v>
      </c>
      <c r="B126" s="10" t="s">
        <v>315</v>
      </c>
      <c r="C126" s="8" t="s">
        <v>251</v>
      </c>
      <c r="D126" s="8" t="s">
        <v>252</v>
      </c>
      <c r="E126" s="15">
        <v>40524</v>
      </c>
      <c r="F126" s="8" t="s">
        <v>253</v>
      </c>
      <c r="G126" s="8" t="s">
        <v>254</v>
      </c>
      <c r="H126" s="16">
        <v>436649255364</v>
      </c>
      <c r="I126" s="8" t="s">
        <v>255</v>
      </c>
      <c r="J126" s="20"/>
      <c r="K126" s="8">
        <v>220</v>
      </c>
      <c r="L126" s="8">
        <f t="shared" si="30"/>
        <v>0</v>
      </c>
      <c r="M126" s="29">
        <v>140</v>
      </c>
      <c r="N126" s="29">
        <v>140</v>
      </c>
      <c r="O126" s="84">
        <f t="shared" si="26"/>
        <v>300</v>
      </c>
      <c r="P126" s="22">
        <v>0</v>
      </c>
      <c r="Q126" s="22">
        <v>300</v>
      </c>
      <c r="R126" s="35"/>
      <c r="S126" s="22">
        <f t="shared" si="22"/>
        <v>300</v>
      </c>
    </row>
    <row r="127" spans="1:19" s="30" customFormat="1" ht="21.75" customHeight="1" x14ac:dyDescent="0.2">
      <c r="A127" s="79">
        <v>120</v>
      </c>
      <c r="B127" s="10" t="s">
        <v>315</v>
      </c>
      <c r="C127" s="8" t="s">
        <v>257</v>
      </c>
      <c r="D127" s="8" t="s">
        <v>258</v>
      </c>
      <c r="E127" s="15">
        <v>40587</v>
      </c>
      <c r="F127" s="8" t="s">
        <v>157</v>
      </c>
      <c r="G127" s="8" t="s">
        <v>259</v>
      </c>
      <c r="H127" s="16">
        <v>426609007660</v>
      </c>
      <c r="I127" s="8" t="s">
        <v>260</v>
      </c>
      <c r="J127" s="20"/>
      <c r="K127" s="8">
        <v>220</v>
      </c>
      <c r="L127" s="8">
        <f t="shared" si="30"/>
        <v>0</v>
      </c>
      <c r="M127" s="29">
        <v>140</v>
      </c>
      <c r="N127" s="29"/>
      <c r="O127" s="84">
        <f t="shared" si="26"/>
        <v>300</v>
      </c>
      <c r="P127" s="22">
        <v>0</v>
      </c>
      <c r="Q127" s="22">
        <v>300</v>
      </c>
      <c r="R127" s="35"/>
      <c r="S127" s="22">
        <f t="shared" si="22"/>
        <v>300</v>
      </c>
    </row>
    <row r="128" spans="1:19" s="30" customFormat="1" ht="21.75" customHeight="1" x14ac:dyDescent="0.2">
      <c r="A128" s="79">
        <v>121</v>
      </c>
      <c r="B128" s="10" t="s">
        <v>315</v>
      </c>
      <c r="C128" s="8" t="s">
        <v>262</v>
      </c>
      <c r="D128" s="8" t="s">
        <v>263</v>
      </c>
      <c r="E128" s="15">
        <v>40548</v>
      </c>
      <c r="F128" s="8" t="s">
        <v>261</v>
      </c>
      <c r="G128" s="8" t="s">
        <v>264</v>
      </c>
      <c r="H128" s="16">
        <v>436764202563</v>
      </c>
      <c r="I128" s="8" t="s">
        <v>265</v>
      </c>
      <c r="J128" s="20"/>
      <c r="K128" s="8">
        <v>220</v>
      </c>
      <c r="L128" s="8">
        <f t="shared" si="30"/>
        <v>0</v>
      </c>
      <c r="M128" s="29"/>
      <c r="N128" s="29"/>
      <c r="O128" s="84">
        <f t="shared" si="26"/>
        <v>300</v>
      </c>
      <c r="P128" s="22">
        <v>0</v>
      </c>
      <c r="Q128" s="22">
        <v>300</v>
      </c>
      <c r="R128" s="35"/>
      <c r="S128" s="22">
        <f t="shared" si="22"/>
        <v>300</v>
      </c>
    </row>
    <row r="129" spans="1:19" s="30" customFormat="1" ht="21.75" customHeight="1" thickBot="1" x14ac:dyDescent="0.25">
      <c r="A129" s="79">
        <v>122</v>
      </c>
      <c r="B129" s="8" t="s">
        <v>315</v>
      </c>
      <c r="C129" s="8" t="s">
        <v>297</v>
      </c>
      <c r="D129" s="8" t="s">
        <v>298</v>
      </c>
      <c r="E129" s="15">
        <v>40585</v>
      </c>
      <c r="F129" s="8" t="s">
        <v>437</v>
      </c>
      <c r="G129" s="8" t="s">
        <v>438</v>
      </c>
      <c r="H129" s="16"/>
      <c r="I129" s="8"/>
      <c r="J129" s="20" t="s">
        <v>439</v>
      </c>
      <c r="K129" s="8"/>
      <c r="L129" s="8"/>
      <c r="M129" s="29"/>
      <c r="N129" s="29"/>
      <c r="O129" s="84">
        <f t="shared" si="26"/>
        <v>300</v>
      </c>
      <c r="P129" s="22">
        <v>0</v>
      </c>
      <c r="Q129" s="22">
        <v>300</v>
      </c>
      <c r="R129" s="35"/>
      <c r="S129" s="22">
        <f t="shared" si="22"/>
        <v>300</v>
      </c>
    </row>
    <row r="130" spans="1:19" ht="21.75" customHeight="1" thickBot="1" x14ac:dyDescent="0.3">
      <c r="B130" s="3" t="s">
        <v>303</v>
      </c>
      <c r="C130" s="3" t="str">
        <f>A129 &amp; " Kinder angemeldet"</f>
        <v>122 Kinder angemeldet</v>
      </c>
      <c r="L130" s="44"/>
      <c r="M130" s="18"/>
      <c r="N130" s="18"/>
      <c r="O130" s="45">
        <f>SUM(O2:O129)</f>
        <v>34800</v>
      </c>
      <c r="P130" s="52">
        <f>SUM(P2:P128)</f>
        <v>0</v>
      </c>
      <c r="Q130" s="64">
        <f>SUM(Q2:Q129)</f>
        <v>34800</v>
      </c>
      <c r="R130" s="41"/>
      <c r="S130" s="78">
        <f>SUM(S2:S128)</f>
        <v>34500</v>
      </c>
    </row>
    <row r="131" spans="1:19" ht="21.75" customHeight="1" x14ac:dyDescent="0.2">
      <c r="A131" s="30"/>
      <c r="B131" s="30"/>
      <c r="C131" s="30"/>
      <c r="D131" s="30"/>
      <c r="E131" s="42"/>
      <c r="F131" s="30"/>
      <c r="G131" s="30"/>
      <c r="H131" s="43"/>
      <c r="I131" s="30"/>
      <c r="K131" s="30"/>
      <c r="L131" s="30"/>
      <c r="M131" s="30"/>
      <c r="N131" s="30"/>
      <c r="O131" s="30"/>
      <c r="P131" s="30"/>
      <c r="Q131" s="30"/>
      <c r="R131" s="30"/>
    </row>
    <row r="132" spans="1:19" s="30" customFormat="1" ht="15.75" customHeight="1" x14ac:dyDescent="0.2">
      <c r="E132" s="42"/>
      <c r="H132" s="43"/>
      <c r="J132" s="23"/>
      <c r="S132" s="23"/>
    </row>
    <row r="133" spans="1:19" s="30" customFormat="1" ht="15.75" customHeight="1" x14ac:dyDescent="0.2">
      <c r="E133" s="42"/>
      <c r="H133" s="43"/>
      <c r="J133" s="23"/>
      <c r="S133" s="23"/>
    </row>
    <row r="134" spans="1:19" s="30" customFormat="1" ht="15.75" customHeight="1" x14ac:dyDescent="0.2">
      <c r="E134" s="42"/>
      <c r="H134" s="43"/>
      <c r="J134" s="23"/>
      <c r="S134" s="23"/>
    </row>
    <row r="135" spans="1:19" s="30" customFormat="1" ht="15.75" customHeight="1" x14ac:dyDescent="0.2">
      <c r="E135" s="42"/>
      <c r="H135" s="43"/>
      <c r="J135" s="23"/>
      <c r="S135" s="23"/>
    </row>
    <row r="136" spans="1:19" s="30" customFormat="1" ht="15.75" customHeight="1" x14ac:dyDescent="0.2">
      <c r="E136" s="42"/>
      <c r="H136" s="43"/>
      <c r="J136" s="23"/>
      <c r="S136" s="23"/>
    </row>
    <row r="137" spans="1:19" s="30" customFormat="1" ht="15.75" customHeight="1" x14ac:dyDescent="0.2">
      <c r="E137" s="42"/>
      <c r="H137" s="43"/>
      <c r="J137" s="23">
        <f>34800+2500+4500+1000+500+2000</f>
        <v>45300</v>
      </c>
      <c r="S137" s="23"/>
    </row>
    <row r="138" spans="1:19" s="30" customFormat="1" ht="15.75" customHeight="1" x14ac:dyDescent="0.2">
      <c r="E138" s="42"/>
      <c r="H138" s="43"/>
      <c r="J138" s="23">
        <f>J137-42350</f>
        <v>2950</v>
      </c>
      <c r="S138" s="23"/>
    </row>
    <row r="139" spans="1:19" s="30" customFormat="1" ht="15.75" customHeight="1" x14ac:dyDescent="0.2">
      <c r="E139" s="42"/>
      <c r="H139" s="43"/>
      <c r="J139" s="23"/>
      <c r="S139" s="23"/>
    </row>
    <row r="140" spans="1:19" s="30" customFormat="1" ht="15.75" customHeight="1" x14ac:dyDescent="0.2">
      <c r="E140" s="42"/>
      <c r="H140" s="43"/>
      <c r="J140" s="23"/>
      <c r="S140" s="23"/>
    </row>
    <row r="141" spans="1:19" s="30" customFormat="1" ht="15.75" customHeight="1" x14ac:dyDescent="0.2">
      <c r="E141" s="42"/>
      <c r="H141" s="43"/>
      <c r="J141" s="23"/>
      <c r="S141" s="23"/>
    </row>
    <row r="142" spans="1:19" s="30" customFormat="1" ht="15.75" customHeight="1" x14ac:dyDescent="0.2">
      <c r="E142" s="42"/>
      <c r="H142" s="43"/>
      <c r="J142" s="23"/>
      <c r="S142" s="23"/>
    </row>
    <row r="143" spans="1:19" s="30" customFormat="1" ht="15.75" customHeight="1" x14ac:dyDescent="0.2">
      <c r="E143" s="42"/>
      <c r="H143" s="43"/>
      <c r="J143" s="23"/>
      <c r="S143" s="23"/>
    </row>
    <row r="144" spans="1:19" s="30" customFormat="1" ht="15.75" customHeight="1" x14ac:dyDescent="0.2">
      <c r="E144" s="42"/>
      <c r="H144" s="43"/>
      <c r="J144" s="23"/>
      <c r="S144" s="23"/>
    </row>
    <row r="145" spans="5:19" s="30" customFormat="1" ht="15.75" customHeight="1" x14ac:dyDescent="0.2">
      <c r="E145" s="42"/>
      <c r="H145" s="43"/>
      <c r="J145" s="23"/>
      <c r="S145" s="23"/>
    </row>
    <row r="146" spans="5:19" s="30" customFormat="1" ht="15.75" customHeight="1" x14ac:dyDescent="0.2">
      <c r="E146" s="42"/>
      <c r="H146" s="43"/>
      <c r="J146" s="23"/>
      <c r="S146" s="23"/>
    </row>
    <row r="147" spans="5:19" s="30" customFormat="1" ht="15.75" customHeight="1" x14ac:dyDescent="0.2">
      <c r="E147" s="42"/>
      <c r="H147" s="43"/>
      <c r="J147" s="23"/>
      <c r="S147" s="23"/>
    </row>
    <row r="148" spans="5:19" s="30" customFormat="1" ht="15.75" customHeight="1" x14ac:dyDescent="0.2">
      <c r="E148" s="42"/>
      <c r="H148" s="43"/>
      <c r="J148" s="23"/>
      <c r="S148" s="23"/>
    </row>
    <row r="149" spans="5:19" s="30" customFormat="1" ht="15.75" customHeight="1" x14ac:dyDescent="0.2">
      <c r="E149" s="42"/>
      <c r="H149" s="43"/>
      <c r="J149" s="23"/>
      <c r="S149" s="23"/>
    </row>
    <row r="150" spans="5:19" s="30" customFormat="1" ht="15.75" customHeight="1" x14ac:dyDescent="0.2">
      <c r="E150" s="42"/>
      <c r="H150" s="43"/>
      <c r="J150" s="23"/>
      <c r="S150" s="23"/>
    </row>
    <row r="151" spans="5:19" s="30" customFormat="1" ht="15.75" customHeight="1" x14ac:dyDescent="0.2">
      <c r="E151" s="42"/>
      <c r="H151" s="43"/>
      <c r="J151" s="23"/>
      <c r="S151" s="23"/>
    </row>
    <row r="152" spans="5:19" s="30" customFormat="1" ht="15.75" customHeight="1" x14ac:dyDescent="0.2">
      <c r="E152" s="42"/>
      <c r="H152" s="43"/>
      <c r="J152" s="23"/>
      <c r="S152" s="23"/>
    </row>
    <row r="153" spans="5:19" s="30" customFormat="1" ht="15.75" customHeight="1" x14ac:dyDescent="0.2">
      <c r="E153" s="42"/>
      <c r="H153" s="43"/>
      <c r="J153" s="23"/>
      <c r="S153" s="23"/>
    </row>
    <row r="154" spans="5:19" s="30" customFormat="1" ht="15.75" customHeight="1" x14ac:dyDescent="0.2">
      <c r="E154" s="42"/>
      <c r="H154" s="43"/>
      <c r="J154" s="23"/>
      <c r="S154" s="23"/>
    </row>
    <row r="155" spans="5:19" s="30" customFormat="1" ht="15.75" customHeight="1" x14ac:dyDescent="0.2">
      <c r="E155" s="42"/>
      <c r="H155" s="43"/>
      <c r="J155" s="23"/>
      <c r="S155" s="23"/>
    </row>
    <row r="156" spans="5:19" s="30" customFormat="1" ht="15.75" customHeight="1" x14ac:dyDescent="0.2">
      <c r="E156" s="42"/>
      <c r="H156" s="43"/>
      <c r="J156" s="23"/>
      <c r="S156" s="23"/>
    </row>
    <row r="157" spans="5:19" s="30" customFormat="1" ht="15.75" customHeight="1" x14ac:dyDescent="0.2">
      <c r="E157" s="42"/>
      <c r="H157" s="43"/>
      <c r="J157" s="23"/>
      <c r="S157" s="23"/>
    </row>
    <row r="158" spans="5:19" s="30" customFormat="1" ht="15.75" customHeight="1" x14ac:dyDescent="0.2">
      <c r="E158" s="42"/>
      <c r="H158" s="43"/>
      <c r="J158" s="23"/>
      <c r="S158" s="23"/>
    </row>
    <row r="159" spans="5:19" s="30" customFormat="1" ht="15.75" customHeight="1" x14ac:dyDescent="0.2">
      <c r="E159" s="42"/>
      <c r="H159" s="43"/>
      <c r="J159" s="23"/>
      <c r="S159" s="23"/>
    </row>
    <row r="160" spans="5:19" s="30" customFormat="1" ht="15.75" customHeight="1" x14ac:dyDescent="0.2">
      <c r="E160" s="42"/>
      <c r="H160" s="43"/>
      <c r="J160" s="23"/>
      <c r="S160" s="23"/>
    </row>
    <row r="161" spans="5:19" s="30" customFormat="1" ht="15.75" customHeight="1" x14ac:dyDescent="0.2">
      <c r="E161" s="42"/>
      <c r="H161" s="43"/>
      <c r="J161" s="23"/>
      <c r="S161" s="23"/>
    </row>
    <row r="162" spans="5:19" s="30" customFormat="1" ht="15.75" customHeight="1" x14ac:dyDescent="0.2">
      <c r="E162" s="42"/>
      <c r="H162" s="43"/>
      <c r="J162" s="23"/>
      <c r="S162" s="23"/>
    </row>
    <row r="163" spans="5:19" s="30" customFormat="1" ht="15.75" customHeight="1" x14ac:dyDescent="0.2">
      <c r="E163" s="42"/>
      <c r="H163" s="43"/>
      <c r="J163" s="23"/>
      <c r="S163" s="23"/>
    </row>
    <row r="164" spans="5:19" s="30" customFormat="1" ht="15.75" customHeight="1" x14ac:dyDescent="0.2">
      <c r="E164" s="42"/>
      <c r="H164" s="43"/>
      <c r="J164" s="23"/>
      <c r="S164" s="23"/>
    </row>
    <row r="165" spans="5:19" s="30" customFormat="1" ht="15.75" customHeight="1" x14ac:dyDescent="0.2">
      <c r="E165" s="42"/>
      <c r="H165" s="43"/>
      <c r="J165" s="23"/>
      <c r="S165" s="23"/>
    </row>
    <row r="166" spans="5:19" s="30" customFormat="1" ht="15.75" customHeight="1" x14ac:dyDescent="0.2">
      <c r="E166" s="42"/>
      <c r="H166" s="43"/>
      <c r="J166" s="23"/>
      <c r="S166" s="23"/>
    </row>
    <row r="167" spans="5:19" s="30" customFormat="1" ht="15.75" customHeight="1" x14ac:dyDescent="0.2">
      <c r="E167" s="42"/>
      <c r="H167" s="43"/>
      <c r="J167" s="23"/>
      <c r="S167" s="23"/>
    </row>
    <row r="168" spans="5:19" s="30" customFormat="1" ht="15.75" customHeight="1" x14ac:dyDescent="0.2">
      <c r="E168" s="42"/>
      <c r="H168" s="43"/>
      <c r="J168" s="23"/>
      <c r="S168" s="23"/>
    </row>
    <row r="169" spans="5:19" s="30" customFormat="1" ht="15.75" customHeight="1" x14ac:dyDescent="0.2">
      <c r="E169" s="42"/>
      <c r="H169" s="43"/>
      <c r="J169" s="23"/>
      <c r="S169" s="23"/>
    </row>
    <row r="170" spans="5:19" s="30" customFormat="1" ht="15.75" customHeight="1" x14ac:dyDescent="0.2">
      <c r="E170" s="42"/>
      <c r="H170" s="43"/>
      <c r="J170" s="23"/>
      <c r="S170" s="23"/>
    </row>
    <row r="171" spans="5:19" s="30" customFormat="1" ht="15.75" customHeight="1" x14ac:dyDescent="0.2">
      <c r="E171" s="42"/>
      <c r="H171" s="43"/>
      <c r="J171" s="23"/>
      <c r="S171" s="23"/>
    </row>
    <row r="172" spans="5:19" s="30" customFormat="1" ht="15.75" customHeight="1" x14ac:dyDescent="0.2">
      <c r="E172" s="42"/>
      <c r="H172" s="43"/>
      <c r="J172" s="23"/>
      <c r="S172" s="23"/>
    </row>
    <row r="173" spans="5:19" s="30" customFormat="1" ht="15.75" customHeight="1" x14ac:dyDescent="0.2">
      <c r="E173" s="42"/>
      <c r="H173" s="43"/>
      <c r="J173" s="23"/>
      <c r="S173" s="23"/>
    </row>
    <row r="174" spans="5:19" s="30" customFormat="1" ht="15.75" customHeight="1" x14ac:dyDescent="0.2">
      <c r="E174" s="42"/>
      <c r="H174" s="43"/>
      <c r="J174" s="23"/>
      <c r="S174" s="23"/>
    </row>
    <row r="175" spans="5:19" s="30" customFormat="1" ht="15.75" customHeight="1" x14ac:dyDescent="0.2">
      <c r="E175" s="42"/>
      <c r="H175" s="43"/>
      <c r="J175" s="23"/>
      <c r="S175" s="23"/>
    </row>
    <row r="176" spans="5:19" s="30" customFormat="1" ht="15.75" customHeight="1" x14ac:dyDescent="0.2">
      <c r="E176" s="42"/>
      <c r="H176" s="43"/>
      <c r="J176" s="23"/>
      <c r="S176" s="23"/>
    </row>
    <row r="177" spans="5:19" s="30" customFormat="1" ht="15.75" customHeight="1" x14ac:dyDescent="0.2">
      <c r="E177" s="42"/>
      <c r="H177" s="43"/>
      <c r="J177" s="23"/>
      <c r="S177" s="23"/>
    </row>
    <row r="178" spans="5:19" s="30" customFormat="1" ht="15.75" customHeight="1" x14ac:dyDescent="0.2">
      <c r="E178" s="42"/>
      <c r="H178" s="43"/>
      <c r="J178" s="23"/>
      <c r="S178" s="23"/>
    </row>
    <row r="179" spans="5:19" s="30" customFormat="1" ht="15.75" customHeight="1" x14ac:dyDescent="0.2">
      <c r="E179" s="42"/>
      <c r="H179" s="43"/>
      <c r="J179" s="23"/>
      <c r="S179" s="23"/>
    </row>
    <row r="180" spans="5:19" s="30" customFormat="1" ht="15.75" customHeight="1" x14ac:dyDescent="0.2">
      <c r="E180" s="42"/>
      <c r="H180" s="43"/>
      <c r="J180" s="23"/>
      <c r="S180" s="23"/>
    </row>
    <row r="181" spans="5:19" s="30" customFormat="1" ht="15.75" customHeight="1" x14ac:dyDescent="0.2">
      <c r="E181" s="42"/>
      <c r="H181" s="43"/>
      <c r="J181" s="23"/>
      <c r="S181" s="23"/>
    </row>
    <row r="182" spans="5:19" s="30" customFormat="1" ht="15.75" customHeight="1" x14ac:dyDescent="0.2">
      <c r="E182" s="42"/>
      <c r="H182" s="43"/>
      <c r="J182" s="23"/>
      <c r="S182" s="23"/>
    </row>
    <row r="183" spans="5:19" s="30" customFormat="1" ht="15.75" customHeight="1" x14ac:dyDescent="0.2">
      <c r="E183" s="42"/>
      <c r="H183" s="43"/>
      <c r="J183" s="23"/>
      <c r="S183" s="23"/>
    </row>
    <row r="184" spans="5:19" s="30" customFormat="1" ht="15.75" customHeight="1" x14ac:dyDescent="0.2">
      <c r="E184" s="42"/>
      <c r="H184" s="43"/>
      <c r="J184" s="23"/>
      <c r="S184" s="23"/>
    </row>
    <row r="185" spans="5:19" s="30" customFormat="1" ht="15.75" customHeight="1" x14ac:dyDescent="0.2">
      <c r="E185" s="42"/>
      <c r="H185" s="43"/>
      <c r="J185" s="23"/>
      <c r="S185" s="23"/>
    </row>
    <row r="186" spans="5:19" s="30" customFormat="1" ht="15.75" customHeight="1" x14ac:dyDescent="0.2">
      <c r="E186" s="42"/>
      <c r="H186" s="43"/>
      <c r="J186" s="23"/>
      <c r="S186" s="23"/>
    </row>
    <row r="187" spans="5:19" s="30" customFormat="1" ht="15.75" customHeight="1" x14ac:dyDescent="0.2">
      <c r="E187" s="42"/>
      <c r="H187" s="43"/>
      <c r="J187" s="23"/>
      <c r="S187" s="23"/>
    </row>
    <row r="188" spans="5:19" s="30" customFormat="1" ht="15.75" customHeight="1" x14ac:dyDescent="0.2">
      <c r="E188" s="42"/>
      <c r="H188" s="43"/>
      <c r="J188" s="23"/>
      <c r="S188" s="23"/>
    </row>
    <row r="189" spans="5:19" s="30" customFormat="1" ht="15.75" customHeight="1" x14ac:dyDescent="0.2">
      <c r="E189" s="42"/>
      <c r="H189" s="43"/>
      <c r="J189" s="23"/>
      <c r="S189" s="23"/>
    </row>
    <row r="190" spans="5:19" s="30" customFormat="1" ht="15.75" customHeight="1" x14ac:dyDescent="0.2">
      <c r="E190" s="42"/>
      <c r="H190" s="43"/>
      <c r="J190" s="23"/>
      <c r="S190" s="23"/>
    </row>
    <row r="191" spans="5:19" s="30" customFormat="1" ht="15.75" customHeight="1" x14ac:dyDescent="0.2">
      <c r="E191" s="42"/>
      <c r="H191" s="43"/>
      <c r="J191" s="23"/>
      <c r="S191" s="23"/>
    </row>
    <row r="192" spans="5:19" s="30" customFormat="1" ht="15.75" customHeight="1" x14ac:dyDescent="0.2">
      <c r="E192" s="42"/>
      <c r="H192" s="43"/>
      <c r="J192" s="23"/>
      <c r="S192" s="23"/>
    </row>
    <row r="193" spans="5:19" s="30" customFormat="1" ht="15.75" customHeight="1" x14ac:dyDescent="0.2">
      <c r="E193" s="42"/>
      <c r="H193" s="43"/>
      <c r="J193" s="23"/>
      <c r="S193" s="23"/>
    </row>
    <row r="194" spans="5:19" s="30" customFormat="1" ht="15.75" customHeight="1" x14ac:dyDescent="0.2">
      <c r="E194" s="42"/>
      <c r="H194" s="43"/>
      <c r="J194" s="23"/>
      <c r="S194" s="23"/>
    </row>
    <row r="195" spans="5:19" s="30" customFormat="1" ht="15.75" customHeight="1" x14ac:dyDescent="0.2">
      <c r="E195" s="42"/>
      <c r="H195" s="43"/>
      <c r="J195" s="23"/>
      <c r="S195" s="23"/>
    </row>
    <row r="196" spans="5:19" s="30" customFormat="1" ht="15.75" customHeight="1" x14ac:dyDescent="0.2">
      <c r="E196" s="42"/>
      <c r="H196" s="43"/>
      <c r="J196" s="23"/>
      <c r="S196" s="23"/>
    </row>
    <row r="197" spans="5:19" s="30" customFormat="1" ht="15.75" customHeight="1" x14ac:dyDescent="0.2">
      <c r="E197" s="42"/>
      <c r="H197" s="43"/>
      <c r="J197" s="23"/>
      <c r="S197" s="23"/>
    </row>
    <row r="198" spans="5:19" s="30" customFormat="1" ht="15.75" customHeight="1" x14ac:dyDescent="0.2">
      <c r="E198" s="42"/>
      <c r="H198" s="43"/>
      <c r="J198" s="23"/>
      <c r="S198" s="23"/>
    </row>
    <row r="199" spans="5:19" s="30" customFormat="1" ht="15.75" customHeight="1" x14ac:dyDescent="0.2">
      <c r="E199" s="42"/>
      <c r="H199" s="43"/>
      <c r="J199" s="23"/>
      <c r="S199" s="23"/>
    </row>
    <row r="200" spans="5:19" s="30" customFormat="1" ht="15.75" customHeight="1" x14ac:dyDescent="0.2">
      <c r="E200" s="42"/>
      <c r="H200" s="43"/>
      <c r="J200" s="23"/>
      <c r="S200" s="23"/>
    </row>
    <row r="201" spans="5:19" s="30" customFormat="1" ht="15.75" customHeight="1" x14ac:dyDescent="0.2">
      <c r="E201" s="42"/>
      <c r="H201" s="43"/>
      <c r="J201" s="23"/>
      <c r="S201" s="23"/>
    </row>
    <row r="202" spans="5:19" s="30" customFormat="1" ht="15.75" customHeight="1" x14ac:dyDescent="0.2">
      <c r="E202" s="42"/>
      <c r="H202" s="43"/>
      <c r="J202" s="23"/>
      <c r="S202" s="23"/>
    </row>
    <row r="203" spans="5:19" s="30" customFormat="1" ht="15.75" customHeight="1" x14ac:dyDescent="0.2">
      <c r="E203" s="42"/>
      <c r="H203" s="43"/>
      <c r="J203" s="23"/>
      <c r="S203" s="23"/>
    </row>
    <row r="204" spans="5:19" s="30" customFormat="1" ht="15.75" customHeight="1" x14ac:dyDescent="0.2">
      <c r="E204" s="42"/>
      <c r="H204" s="43"/>
      <c r="J204" s="23"/>
      <c r="S204" s="23"/>
    </row>
    <row r="205" spans="5:19" s="30" customFormat="1" ht="15.75" customHeight="1" x14ac:dyDescent="0.2">
      <c r="E205" s="42"/>
      <c r="H205" s="43"/>
      <c r="J205" s="23"/>
      <c r="S205" s="23"/>
    </row>
    <row r="206" spans="5:19" s="30" customFormat="1" ht="15.75" customHeight="1" x14ac:dyDescent="0.2">
      <c r="E206" s="42"/>
      <c r="H206" s="43"/>
      <c r="J206" s="23"/>
      <c r="S206" s="23"/>
    </row>
    <row r="207" spans="5:19" s="30" customFormat="1" ht="15.75" customHeight="1" x14ac:dyDescent="0.2">
      <c r="E207" s="42"/>
      <c r="H207" s="43"/>
      <c r="J207" s="23"/>
      <c r="S207" s="23"/>
    </row>
    <row r="208" spans="5:19" s="30" customFormat="1" ht="15.75" customHeight="1" x14ac:dyDescent="0.2">
      <c r="E208" s="42"/>
      <c r="H208" s="43"/>
      <c r="J208" s="23"/>
      <c r="S208" s="23"/>
    </row>
    <row r="209" spans="5:19" s="30" customFormat="1" ht="15.75" customHeight="1" x14ac:dyDescent="0.2">
      <c r="E209" s="42"/>
      <c r="H209" s="43"/>
      <c r="J209" s="23"/>
      <c r="S209" s="23"/>
    </row>
    <row r="210" spans="5:19" s="30" customFormat="1" ht="15.75" customHeight="1" x14ac:dyDescent="0.2">
      <c r="E210" s="42"/>
      <c r="H210" s="43"/>
      <c r="J210" s="23"/>
      <c r="S210" s="23"/>
    </row>
    <row r="211" spans="5:19" s="30" customFormat="1" ht="15.75" customHeight="1" x14ac:dyDescent="0.2">
      <c r="E211" s="42"/>
      <c r="H211" s="43"/>
      <c r="J211" s="23"/>
      <c r="S211" s="23"/>
    </row>
    <row r="212" spans="5:19" s="30" customFormat="1" ht="15.75" customHeight="1" x14ac:dyDescent="0.2">
      <c r="E212" s="42"/>
      <c r="H212" s="43"/>
      <c r="J212" s="23"/>
      <c r="S212" s="23"/>
    </row>
    <row r="213" spans="5:19" s="30" customFormat="1" ht="15.75" customHeight="1" x14ac:dyDescent="0.2">
      <c r="E213" s="42"/>
      <c r="H213" s="43"/>
      <c r="J213" s="23"/>
      <c r="S213" s="23"/>
    </row>
    <row r="214" spans="5:19" s="30" customFormat="1" ht="15.75" customHeight="1" x14ac:dyDescent="0.2">
      <c r="E214" s="42"/>
      <c r="H214" s="43"/>
      <c r="J214" s="23"/>
      <c r="S214" s="23"/>
    </row>
    <row r="215" spans="5:19" s="30" customFormat="1" ht="15.75" customHeight="1" x14ac:dyDescent="0.2">
      <c r="E215" s="42"/>
      <c r="H215" s="43"/>
      <c r="J215" s="23"/>
      <c r="S215" s="23"/>
    </row>
    <row r="216" spans="5:19" s="30" customFormat="1" ht="15.75" customHeight="1" x14ac:dyDescent="0.2">
      <c r="E216" s="42"/>
      <c r="H216" s="43"/>
      <c r="J216" s="23"/>
      <c r="S216" s="23"/>
    </row>
    <row r="217" spans="5:19" s="30" customFormat="1" ht="15.75" customHeight="1" x14ac:dyDescent="0.2">
      <c r="E217" s="42"/>
      <c r="H217" s="43"/>
      <c r="J217" s="23"/>
      <c r="S217" s="23"/>
    </row>
    <row r="218" spans="5:19" s="30" customFormat="1" ht="15.75" customHeight="1" x14ac:dyDescent="0.2">
      <c r="E218" s="42"/>
      <c r="H218" s="43"/>
      <c r="J218" s="23"/>
      <c r="S218" s="23"/>
    </row>
    <row r="219" spans="5:19" s="30" customFormat="1" ht="15.75" customHeight="1" x14ac:dyDescent="0.2">
      <c r="E219" s="42"/>
      <c r="H219" s="43"/>
      <c r="J219" s="23"/>
      <c r="S219" s="23"/>
    </row>
    <row r="220" spans="5:19" s="30" customFormat="1" ht="15.75" customHeight="1" x14ac:dyDescent="0.2">
      <c r="E220" s="42"/>
      <c r="H220" s="43"/>
      <c r="J220" s="23"/>
      <c r="S220" s="23"/>
    </row>
    <row r="221" spans="5:19" s="30" customFormat="1" ht="15.75" customHeight="1" x14ac:dyDescent="0.2">
      <c r="E221" s="42"/>
      <c r="H221" s="43"/>
      <c r="J221" s="23"/>
      <c r="S221" s="23"/>
    </row>
    <row r="222" spans="5:19" s="30" customFormat="1" ht="15.75" customHeight="1" x14ac:dyDescent="0.2">
      <c r="E222" s="42"/>
      <c r="H222" s="43"/>
      <c r="J222" s="23"/>
      <c r="S222" s="23"/>
    </row>
    <row r="223" spans="5:19" s="30" customFormat="1" ht="15.75" customHeight="1" x14ac:dyDescent="0.2">
      <c r="E223" s="42"/>
      <c r="H223" s="43"/>
      <c r="J223" s="23"/>
      <c r="S223" s="23"/>
    </row>
    <row r="224" spans="5:19" s="30" customFormat="1" ht="15.75" customHeight="1" x14ac:dyDescent="0.2">
      <c r="E224" s="42"/>
      <c r="H224" s="43"/>
      <c r="J224" s="23"/>
      <c r="S224" s="23"/>
    </row>
    <row r="225" spans="5:19" s="30" customFormat="1" ht="15.75" customHeight="1" x14ac:dyDescent="0.2">
      <c r="E225" s="42"/>
      <c r="H225" s="43"/>
      <c r="J225" s="23"/>
      <c r="S225" s="23"/>
    </row>
    <row r="226" spans="5:19" s="30" customFormat="1" ht="15.75" customHeight="1" x14ac:dyDescent="0.2">
      <c r="E226" s="42"/>
      <c r="H226" s="43"/>
      <c r="J226" s="23"/>
      <c r="S226" s="23"/>
    </row>
    <row r="227" spans="5:19" s="30" customFormat="1" ht="15.75" customHeight="1" x14ac:dyDescent="0.2">
      <c r="E227" s="42"/>
      <c r="H227" s="43"/>
      <c r="J227" s="23"/>
      <c r="S227" s="23"/>
    </row>
    <row r="228" spans="5:19" s="30" customFormat="1" ht="15.75" customHeight="1" x14ac:dyDescent="0.2">
      <c r="E228" s="42"/>
      <c r="H228" s="43"/>
      <c r="J228" s="23"/>
      <c r="S228" s="23"/>
    </row>
    <row r="229" spans="5:19" s="30" customFormat="1" ht="15.75" customHeight="1" x14ac:dyDescent="0.2">
      <c r="E229" s="42"/>
      <c r="H229" s="43"/>
      <c r="J229" s="23"/>
      <c r="S229" s="23"/>
    </row>
    <row r="230" spans="5:19" s="30" customFormat="1" ht="15.75" customHeight="1" x14ac:dyDescent="0.2">
      <c r="E230" s="42"/>
      <c r="H230" s="43"/>
      <c r="J230" s="23"/>
      <c r="S230" s="23"/>
    </row>
    <row r="231" spans="5:19" s="30" customFormat="1" ht="15.75" customHeight="1" x14ac:dyDescent="0.2">
      <c r="E231" s="42"/>
      <c r="H231" s="43"/>
      <c r="J231" s="23"/>
      <c r="S231" s="23"/>
    </row>
    <row r="232" spans="5:19" s="30" customFormat="1" ht="15.75" customHeight="1" x14ac:dyDescent="0.2">
      <c r="E232" s="42"/>
      <c r="H232" s="43"/>
      <c r="J232" s="23"/>
      <c r="S232" s="23"/>
    </row>
    <row r="233" spans="5:19" s="30" customFormat="1" ht="15.75" customHeight="1" x14ac:dyDescent="0.2">
      <c r="E233" s="42"/>
      <c r="H233" s="43"/>
      <c r="J233" s="23"/>
      <c r="S233" s="23"/>
    </row>
    <row r="234" spans="5:19" s="30" customFormat="1" ht="15.75" customHeight="1" x14ac:dyDescent="0.2">
      <c r="E234" s="42"/>
      <c r="H234" s="43"/>
      <c r="J234" s="23"/>
      <c r="S234" s="23"/>
    </row>
    <row r="235" spans="5:19" s="30" customFormat="1" ht="15.75" customHeight="1" x14ac:dyDescent="0.2">
      <c r="E235" s="42"/>
      <c r="H235" s="43"/>
      <c r="J235" s="23"/>
      <c r="S235" s="23"/>
    </row>
    <row r="236" spans="5:19" s="30" customFormat="1" ht="15.75" customHeight="1" x14ac:dyDescent="0.2">
      <c r="E236" s="42"/>
      <c r="H236" s="43"/>
      <c r="J236" s="23"/>
      <c r="S236" s="23"/>
    </row>
    <row r="237" spans="5:19" s="30" customFormat="1" ht="15.75" customHeight="1" x14ac:dyDescent="0.2">
      <c r="E237" s="42"/>
      <c r="H237" s="43"/>
      <c r="J237" s="23"/>
      <c r="S237" s="23"/>
    </row>
    <row r="238" spans="5:19" s="30" customFormat="1" ht="15.75" customHeight="1" x14ac:dyDescent="0.2">
      <c r="E238" s="42"/>
      <c r="H238" s="43"/>
      <c r="J238" s="23"/>
      <c r="S238" s="23"/>
    </row>
    <row r="239" spans="5:19" s="30" customFormat="1" ht="15.75" customHeight="1" x14ac:dyDescent="0.2">
      <c r="E239" s="42"/>
      <c r="H239" s="43"/>
      <c r="J239" s="23"/>
      <c r="S239" s="23"/>
    </row>
    <row r="240" spans="5:19" s="30" customFormat="1" ht="15.75" customHeight="1" x14ac:dyDescent="0.2">
      <c r="E240" s="42"/>
      <c r="H240" s="43"/>
      <c r="J240" s="23"/>
      <c r="S240" s="23"/>
    </row>
    <row r="241" spans="5:19" s="30" customFormat="1" ht="15.75" customHeight="1" x14ac:dyDescent="0.2">
      <c r="E241" s="42"/>
      <c r="H241" s="43"/>
      <c r="J241" s="23"/>
      <c r="S241" s="23"/>
    </row>
    <row r="242" spans="5:19" s="30" customFormat="1" ht="15.75" customHeight="1" x14ac:dyDescent="0.2">
      <c r="E242" s="42"/>
      <c r="H242" s="43"/>
      <c r="J242" s="23"/>
      <c r="S242" s="23"/>
    </row>
    <row r="243" spans="5:19" s="30" customFormat="1" ht="15.75" customHeight="1" x14ac:dyDescent="0.2">
      <c r="E243" s="42"/>
      <c r="H243" s="43"/>
      <c r="J243" s="23"/>
      <c r="S243" s="23"/>
    </row>
    <row r="244" spans="5:19" s="30" customFormat="1" ht="15.75" customHeight="1" x14ac:dyDescent="0.2">
      <c r="E244" s="42"/>
      <c r="H244" s="43"/>
      <c r="J244" s="23"/>
      <c r="S244" s="23"/>
    </row>
    <row r="245" spans="5:19" s="30" customFormat="1" ht="15.75" customHeight="1" x14ac:dyDescent="0.2">
      <c r="E245" s="42"/>
      <c r="H245" s="43"/>
      <c r="J245" s="23"/>
      <c r="S245" s="23"/>
    </row>
    <row r="246" spans="5:19" s="30" customFormat="1" ht="15.75" customHeight="1" x14ac:dyDescent="0.2">
      <c r="E246" s="42"/>
      <c r="H246" s="43"/>
      <c r="J246" s="23"/>
      <c r="S246" s="23"/>
    </row>
    <row r="247" spans="5:19" s="30" customFormat="1" ht="15.75" customHeight="1" x14ac:dyDescent="0.2">
      <c r="E247" s="42"/>
      <c r="H247" s="43"/>
      <c r="J247" s="23"/>
      <c r="S247" s="23"/>
    </row>
    <row r="248" spans="5:19" s="30" customFormat="1" ht="15.75" customHeight="1" x14ac:dyDescent="0.2">
      <c r="E248" s="42"/>
      <c r="H248" s="43"/>
      <c r="J248" s="23"/>
      <c r="S248" s="23"/>
    </row>
    <row r="249" spans="5:19" s="30" customFormat="1" ht="15.75" customHeight="1" x14ac:dyDescent="0.2">
      <c r="E249" s="42"/>
      <c r="H249" s="43"/>
      <c r="J249" s="23"/>
      <c r="S249" s="23"/>
    </row>
    <row r="250" spans="5:19" s="30" customFormat="1" ht="15.75" customHeight="1" x14ac:dyDescent="0.2">
      <c r="E250" s="42"/>
      <c r="H250" s="43"/>
      <c r="J250" s="23"/>
      <c r="S250" s="23"/>
    </row>
    <row r="251" spans="5:19" s="30" customFormat="1" ht="15.75" customHeight="1" x14ac:dyDescent="0.2">
      <c r="E251" s="42"/>
      <c r="H251" s="43"/>
      <c r="J251" s="23"/>
      <c r="S251" s="23"/>
    </row>
    <row r="252" spans="5:19" s="30" customFormat="1" ht="15.75" customHeight="1" x14ac:dyDescent="0.2">
      <c r="E252" s="42"/>
      <c r="H252" s="43"/>
      <c r="J252" s="23"/>
      <c r="S252" s="23"/>
    </row>
    <row r="253" spans="5:19" s="30" customFormat="1" ht="15.75" customHeight="1" x14ac:dyDescent="0.2">
      <c r="E253" s="42"/>
      <c r="H253" s="43"/>
      <c r="J253" s="23"/>
      <c r="S253" s="23"/>
    </row>
    <row r="254" spans="5:19" s="30" customFormat="1" ht="15.75" customHeight="1" x14ac:dyDescent="0.2">
      <c r="E254" s="42"/>
      <c r="H254" s="43"/>
      <c r="J254" s="23"/>
      <c r="S254" s="23"/>
    </row>
    <row r="255" spans="5:19" s="30" customFormat="1" ht="15.75" customHeight="1" x14ac:dyDescent="0.2">
      <c r="E255" s="42"/>
      <c r="H255" s="43"/>
      <c r="J255" s="23"/>
      <c r="S255" s="23"/>
    </row>
    <row r="256" spans="5:19" s="30" customFormat="1" ht="15.75" customHeight="1" x14ac:dyDescent="0.2">
      <c r="E256" s="42"/>
      <c r="H256" s="43"/>
      <c r="J256" s="23"/>
      <c r="S256" s="23"/>
    </row>
    <row r="257" spans="5:19" s="30" customFormat="1" ht="15.75" customHeight="1" x14ac:dyDescent="0.2">
      <c r="E257" s="42"/>
      <c r="H257" s="43"/>
      <c r="J257" s="23"/>
      <c r="S257" s="23"/>
    </row>
    <row r="258" spans="5:19" s="30" customFormat="1" ht="15.75" customHeight="1" x14ac:dyDescent="0.2">
      <c r="E258" s="42"/>
      <c r="H258" s="43"/>
      <c r="J258" s="23"/>
      <c r="S258" s="23"/>
    </row>
    <row r="259" spans="5:19" s="30" customFormat="1" ht="15.75" customHeight="1" x14ac:dyDescent="0.2">
      <c r="E259" s="42"/>
      <c r="H259" s="43"/>
      <c r="J259" s="23"/>
      <c r="S259" s="23"/>
    </row>
    <row r="260" spans="5:19" s="30" customFormat="1" ht="15.75" customHeight="1" x14ac:dyDescent="0.2">
      <c r="E260" s="42"/>
      <c r="H260" s="43"/>
      <c r="J260" s="23"/>
      <c r="S260" s="23"/>
    </row>
    <row r="261" spans="5:19" s="30" customFormat="1" ht="15.75" customHeight="1" x14ac:dyDescent="0.2">
      <c r="E261" s="42"/>
      <c r="H261" s="43"/>
      <c r="J261" s="23"/>
      <c r="S261" s="23"/>
    </row>
    <row r="262" spans="5:19" s="30" customFormat="1" ht="15.75" customHeight="1" x14ac:dyDescent="0.2">
      <c r="E262" s="42"/>
      <c r="H262" s="43"/>
      <c r="J262" s="23"/>
      <c r="S262" s="23"/>
    </row>
    <row r="263" spans="5:19" s="30" customFormat="1" ht="15.75" customHeight="1" x14ac:dyDescent="0.2">
      <c r="E263" s="42"/>
      <c r="H263" s="43"/>
      <c r="J263" s="23"/>
      <c r="S263" s="23"/>
    </row>
    <row r="264" spans="5:19" s="30" customFormat="1" ht="15.75" customHeight="1" x14ac:dyDescent="0.2">
      <c r="E264" s="42"/>
      <c r="H264" s="43"/>
      <c r="J264" s="23"/>
      <c r="S264" s="23"/>
    </row>
    <row r="265" spans="5:19" s="30" customFormat="1" ht="15.75" customHeight="1" x14ac:dyDescent="0.2">
      <c r="E265" s="42"/>
      <c r="H265" s="43"/>
      <c r="J265" s="23"/>
      <c r="S265" s="23"/>
    </row>
    <row r="266" spans="5:19" s="30" customFormat="1" ht="15.75" customHeight="1" x14ac:dyDescent="0.2">
      <c r="E266" s="42"/>
      <c r="H266" s="43"/>
      <c r="J266" s="23"/>
      <c r="S266" s="23"/>
    </row>
    <row r="267" spans="5:19" s="30" customFormat="1" ht="15.75" customHeight="1" x14ac:dyDescent="0.2">
      <c r="E267" s="42"/>
      <c r="H267" s="43"/>
      <c r="J267" s="23"/>
      <c r="S267" s="23"/>
    </row>
    <row r="268" spans="5:19" s="30" customFormat="1" ht="15.75" customHeight="1" x14ac:dyDescent="0.2">
      <c r="E268" s="42"/>
      <c r="H268" s="43"/>
      <c r="J268" s="23"/>
      <c r="S268" s="23"/>
    </row>
    <row r="269" spans="5:19" s="30" customFormat="1" ht="15.75" customHeight="1" x14ac:dyDescent="0.2">
      <c r="E269" s="42"/>
      <c r="H269" s="43"/>
      <c r="J269" s="23"/>
      <c r="S269" s="23"/>
    </row>
    <row r="270" spans="5:19" s="30" customFormat="1" ht="15.75" customHeight="1" x14ac:dyDescent="0.2">
      <c r="E270" s="42"/>
      <c r="H270" s="43"/>
      <c r="J270" s="23"/>
      <c r="S270" s="23"/>
    </row>
    <row r="271" spans="5:19" s="30" customFormat="1" ht="15.75" customHeight="1" x14ac:dyDescent="0.2">
      <c r="E271" s="42"/>
      <c r="H271" s="43"/>
      <c r="J271" s="23"/>
      <c r="S271" s="23"/>
    </row>
    <row r="272" spans="5:19" s="30" customFormat="1" ht="15.75" customHeight="1" x14ac:dyDescent="0.2">
      <c r="E272" s="42"/>
      <c r="H272" s="43"/>
      <c r="J272" s="23"/>
      <c r="S272" s="23"/>
    </row>
    <row r="273" spans="5:19" s="30" customFormat="1" ht="15.75" customHeight="1" x14ac:dyDescent="0.2">
      <c r="E273" s="42"/>
      <c r="H273" s="43"/>
      <c r="J273" s="23"/>
      <c r="S273" s="23"/>
    </row>
    <row r="274" spans="5:19" s="30" customFormat="1" ht="15.75" customHeight="1" x14ac:dyDescent="0.2">
      <c r="E274" s="42"/>
      <c r="H274" s="43"/>
      <c r="J274" s="23"/>
      <c r="S274" s="23"/>
    </row>
    <row r="275" spans="5:19" s="30" customFormat="1" ht="15.75" customHeight="1" x14ac:dyDescent="0.2">
      <c r="E275" s="42"/>
      <c r="H275" s="43"/>
      <c r="J275" s="23"/>
      <c r="S275" s="23"/>
    </row>
    <row r="276" spans="5:19" s="30" customFormat="1" ht="15.75" customHeight="1" x14ac:dyDescent="0.2">
      <c r="E276" s="42"/>
      <c r="H276" s="43"/>
      <c r="J276" s="23"/>
      <c r="S276" s="23"/>
    </row>
    <row r="277" spans="5:19" s="30" customFormat="1" ht="15.75" customHeight="1" x14ac:dyDescent="0.2">
      <c r="E277" s="42"/>
      <c r="H277" s="43"/>
      <c r="J277" s="23"/>
      <c r="S277" s="23"/>
    </row>
    <row r="278" spans="5:19" s="30" customFormat="1" ht="15.75" customHeight="1" x14ac:dyDescent="0.2">
      <c r="E278" s="42"/>
      <c r="H278" s="43"/>
      <c r="J278" s="23"/>
      <c r="S278" s="23"/>
    </row>
    <row r="279" spans="5:19" s="30" customFormat="1" ht="15.75" customHeight="1" x14ac:dyDescent="0.2">
      <c r="E279" s="42"/>
      <c r="H279" s="43"/>
      <c r="J279" s="23"/>
      <c r="S279" s="23"/>
    </row>
    <row r="280" spans="5:19" s="30" customFormat="1" ht="15.75" customHeight="1" x14ac:dyDescent="0.2">
      <c r="E280" s="42"/>
      <c r="H280" s="43"/>
      <c r="J280" s="23"/>
      <c r="S280" s="23"/>
    </row>
    <row r="281" spans="5:19" s="30" customFormat="1" ht="15.75" customHeight="1" x14ac:dyDescent="0.2">
      <c r="E281" s="42"/>
      <c r="H281" s="43"/>
      <c r="J281" s="23"/>
      <c r="S281" s="23"/>
    </row>
    <row r="282" spans="5:19" s="30" customFormat="1" ht="15.75" customHeight="1" x14ac:dyDescent="0.2">
      <c r="E282" s="42"/>
      <c r="H282" s="43"/>
      <c r="J282" s="23"/>
      <c r="S282" s="23"/>
    </row>
    <row r="283" spans="5:19" s="30" customFormat="1" ht="15.75" customHeight="1" x14ac:dyDescent="0.2">
      <c r="E283" s="42"/>
      <c r="H283" s="43"/>
      <c r="J283" s="23"/>
      <c r="S283" s="23"/>
    </row>
    <row r="284" spans="5:19" s="30" customFormat="1" ht="15.75" customHeight="1" x14ac:dyDescent="0.2">
      <c r="E284" s="42"/>
      <c r="H284" s="43"/>
      <c r="J284" s="23"/>
      <c r="S284" s="23"/>
    </row>
    <row r="285" spans="5:19" s="30" customFormat="1" ht="15.75" customHeight="1" x14ac:dyDescent="0.2">
      <c r="E285" s="42"/>
      <c r="H285" s="43"/>
      <c r="J285" s="23"/>
      <c r="S285" s="23"/>
    </row>
    <row r="286" spans="5:19" s="30" customFormat="1" ht="15.75" customHeight="1" x14ac:dyDescent="0.2">
      <c r="E286" s="42"/>
      <c r="H286" s="43"/>
      <c r="J286" s="23"/>
      <c r="S286" s="23"/>
    </row>
    <row r="287" spans="5:19" s="30" customFormat="1" ht="15.75" customHeight="1" x14ac:dyDescent="0.2">
      <c r="E287" s="42"/>
      <c r="H287" s="43"/>
      <c r="J287" s="23"/>
      <c r="S287" s="23"/>
    </row>
    <row r="288" spans="5:19" s="30" customFormat="1" ht="15.75" customHeight="1" x14ac:dyDescent="0.2">
      <c r="E288" s="42"/>
      <c r="H288" s="43"/>
      <c r="J288" s="23"/>
      <c r="S288" s="23"/>
    </row>
    <row r="289" spans="5:19" s="30" customFormat="1" ht="15.75" customHeight="1" x14ac:dyDescent="0.2">
      <c r="E289" s="42"/>
      <c r="H289" s="43"/>
      <c r="J289" s="23"/>
      <c r="S289" s="23"/>
    </row>
    <row r="290" spans="5:19" s="30" customFormat="1" ht="15.75" customHeight="1" x14ac:dyDescent="0.2">
      <c r="E290" s="42"/>
      <c r="H290" s="43"/>
      <c r="J290" s="23"/>
      <c r="S290" s="23"/>
    </row>
    <row r="291" spans="5:19" s="30" customFormat="1" ht="15.75" customHeight="1" x14ac:dyDescent="0.2">
      <c r="E291" s="42"/>
      <c r="H291" s="43"/>
      <c r="J291" s="23"/>
      <c r="S291" s="23"/>
    </row>
    <row r="292" spans="5:19" s="30" customFormat="1" ht="15.75" customHeight="1" x14ac:dyDescent="0.2">
      <c r="E292" s="42"/>
      <c r="H292" s="43"/>
      <c r="J292" s="23"/>
      <c r="S292" s="23"/>
    </row>
    <row r="293" spans="5:19" s="30" customFormat="1" ht="15.75" customHeight="1" x14ac:dyDescent="0.2">
      <c r="E293" s="42"/>
      <c r="H293" s="43"/>
      <c r="J293" s="23"/>
      <c r="S293" s="23"/>
    </row>
    <row r="294" spans="5:19" s="30" customFormat="1" ht="15.75" customHeight="1" x14ac:dyDescent="0.2">
      <c r="E294" s="42"/>
      <c r="H294" s="43"/>
      <c r="J294" s="23"/>
      <c r="S294" s="23"/>
    </row>
    <row r="295" spans="5:19" s="30" customFormat="1" ht="15.75" customHeight="1" x14ac:dyDescent="0.2">
      <c r="E295" s="42"/>
      <c r="H295" s="43"/>
      <c r="J295" s="23"/>
      <c r="S295" s="23"/>
    </row>
    <row r="296" spans="5:19" s="30" customFormat="1" ht="15.75" customHeight="1" x14ac:dyDescent="0.2">
      <c r="E296" s="42"/>
      <c r="H296" s="43"/>
      <c r="J296" s="23"/>
      <c r="S296" s="23"/>
    </row>
    <row r="297" spans="5:19" s="30" customFormat="1" ht="15.75" customHeight="1" x14ac:dyDescent="0.2">
      <c r="E297" s="42"/>
      <c r="H297" s="43"/>
      <c r="J297" s="23"/>
      <c r="S297" s="23"/>
    </row>
    <row r="298" spans="5:19" s="30" customFormat="1" ht="15.75" customHeight="1" x14ac:dyDescent="0.2">
      <c r="E298" s="42"/>
      <c r="H298" s="43"/>
      <c r="J298" s="23"/>
      <c r="S298" s="23"/>
    </row>
    <row r="299" spans="5:19" s="30" customFormat="1" ht="15.75" customHeight="1" x14ac:dyDescent="0.2">
      <c r="E299" s="42"/>
      <c r="H299" s="43"/>
      <c r="J299" s="23"/>
      <c r="S299" s="23"/>
    </row>
    <row r="300" spans="5:19" s="30" customFormat="1" ht="15.75" customHeight="1" x14ac:dyDescent="0.2">
      <c r="E300" s="42"/>
      <c r="H300" s="43"/>
      <c r="J300" s="23"/>
      <c r="S300" s="23"/>
    </row>
    <row r="301" spans="5:19" s="30" customFormat="1" ht="15.75" customHeight="1" x14ac:dyDescent="0.2">
      <c r="E301" s="42"/>
      <c r="H301" s="43"/>
      <c r="J301" s="23"/>
      <c r="S301" s="23"/>
    </row>
    <row r="302" spans="5:19" s="30" customFormat="1" ht="15.75" customHeight="1" x14ac:dyDescent="0.2">
      <c r="E302" s="42"/>
      <c r="H302" s="43"/>
      <c r="J302" s="23"/>
      <c r="S302" s="23"/>
    </row>
    <row r="303" spans="5:19" s="30" customFormat="1" ht="15.75" customHeight="1" x14ac:dyDescent="0.2">
      <c r="E303" s="42"/>
      <c r="H303" s="43"/>
      <c r="J303" s="23"/>
      <c r="S303" s="23"/>
    </row>
    <row r="304" spans="5:19" s="30" customFormat="1" ht="15.75" customHeight="1" x14ac:dyDescent="0.2">
      <c r="E304" s="42"/>
      <c r="H304" s="43"/>
      <c r="J304" s="23"/>
      <c r="S304" s="23"/>
    </row>
    <row r="305" spans="5:19" s="30" customFormat="1" ht="15.75" customHeight="1" x14ac:dyDescent="0.2">
      <c r="E305" s="42"/>
      <c r="H305" s="43"/>
      <c r="J305" s="23"/>
      <c r="S305" s="23"/>
    </row>
    <row r="306" spans="5:19" s="30" customFormat="1" ht="15.75" customHeight="1" x14ac:dyDescent="0.2">
      <c r="E306" s="42"/>
      <c r="H306" s="43"/>
      <c r="J306" s="23"/>
      <c r="S306" s="23"/>
    </row>
    <row r="307" spans="5:19" s="30" customFormat="1" ht="15.75" customHeight="1" x14ac:dyDescent="0.2">
      <c r="E307" s="42"/>
      <c r="H307" s="43"/>
      <c r="J307" s="23"/>
      <c r="S307" s="23"/>
    </row>
    <row r="308" spans="5:19" s="30" customFormat="1" ht="15.75" customHeight="1" x14ac:dyDescent="0.2">
      <c r="E308" s="42"/>
      <c r="H308" s="43"/>
      <c r="J308" s="23"/>
      <c r="S308" s="23"/>
    </row>
    <row r="309" spans="5:19" s="30" customFormat="1" ht="15.75" customHeight="1" x14ac:dyDescent="0.2">
      <c r="E309" s="42"/>
      <c r="H309" s="43"/>
      <c r="J309" s="23"/>
      <c r="S309" s="23"/>
    </row>
    <row r="310" spans="5:19" s="30" customFormat="1" ht="15.75" customHeight="1" x14ac:dyDescent="0.2">
      <c r="E310" s="42"/>
      <c r="H310" s="43"/>
      <c r="J310" s="23"/>
      <c r="S310" s="23"/>
    </row>
    <row r="311" spans="5:19" s="30" customFormat="1" ht="15.75" customHeight="1" x14ac:dyDescent="0.2">
      <c r="E311" s="42"/>
      <c r="H311" s="43"/>
      <c r="J311" s="23"/>
      <c r="S311" s="23"/>
    </row>
    <row r="312" spans="5:19" s="30" customFormat="1" ht="15.75" customHeight="1" x14ac:dyDescent="0.2">
      <c r="E312" s="42"/>
      <c r="H312" s="43"/>
      <c r="J312" s="23"/>
      <c r="S312" s="23"/>
    </row>
    <row r="313" spans="5:19" s="30" customFormat="1" ht="15.75" customHeight="1" x14ac:dyDescent="0.2">
      <c r="E313" s="42"/>
      <c r="H313" s="43"/>
      <c r="J313" s="23"/>
      <c r="S313" s="23"/>
    </row>
    <row r="314" spans="5:19" s="30" customFormat="1" ht="15.75" customHeight="1" x14ac:dyDescent="0.2">
      <c r="E314" s="42"/>
      <c r="H314" s="43"/>
      <c r="J314" s="23"/>
      <c r="S314" s="23"/>
    </row>
    <row r="315" spans="5:19" s="30" customFormat="1" ht="15.75" customHeight="1" x14ac:dyDescent="0.2">
      <c r="E315" s="42"/>
      <c r="H315" s="43"/>
      <c r="J315" s="23"/>
      <c r="S315" s="23"/>
    </row>
    <row r="316" spans="5:19" s="30" customFormat="1" ht="15.75" customHeight="1" x14ac:dyDescent="0.2">
      <c r="E316" s="42"/>
      <c r="H316" s="43"/>
      <c r="J316" s="23"/>
      <c r="S316" s="23"/>
    </row>
    <row r="317" spans="5:19" s="30" customFormat="1" ht="15.75" customHeight="1" x14ac:dyDescent="0.2">
      <c r="E317" s="42"/>
      <c r="H317" s="43"/>
      <c r="J317" s="23"/>
      <c r="S317" s="23"/>
    </row>
    <row r="318" spans="5:19" s="30" customFormat="1" ht="15.75" customHeight="1" x14ac:dyDescent="0.2">
      <c r="E318" s="42"/>
      <c r="H318" s="43"/>
      <c r="J318" s="23"/>
      <c r="S318" s="23"/>
    </row>
    <row r="319" spans="5:19" s="30" customFormat="1" ht="15.75" customHeight="1" x14ac:dyDescent="0.2">
      <c r="E319" s="42"/>
      <c r="H319" s="43"/>
      <c r="J319" s="23"/>
      <c r="S319" s="23"/>
    </row>
    <row r="320" spans="5:19" s="30" customFormat="1" ht="15.75" customHeight="1" x14ac:dyDescent="0.2">
      <c r="E320" s="42"/>
      <c r="H320" s="43"/>
      <c r="J320" s="23"/>
      <c r="S320" s="23"/>
    </row>
    <row r="321" spans="5:19" s="30" customFormat="1" ht="15.75" customHeight="1" x14ac:dyDescent="0.2">
      <c r="E321" s="42"/>
      <c r="H321" s="43"/>
      <c r="J321" s="23"/>
      <c r="S321" s="23"/>
    </row>
    <row r="322" spans="5:19" s="30" customFormat="1" ht="15.75" customHeight="1" x14ac:dyDescent="0.2">
      <c r="E322" s="42"/>
      <c r="H322" s="43"/>
      <c r="J322" s="23"/>
      <c r="S322" s="23"/>
    </row>
    <row r="323" spans="5:19" s="30" customFormat="1" ht="15.75" customHeight="1" x14ac:dyDescent="0.2">
      <c r="E323" s="42"/>
      <c r="H323" s="43"/>
      <c r="J323" s="23"/>
      <c r="S323" s="23"/>
    </row>
    <row r="324" spans="5:19" s="30" customFormat="1" ht="15.75" customHeight="1" x14ac:dyDescent="0.2">
      <c r="E324" s="42"/>
      <c r="H324" s="43"/>
      <c r="J324" s="23"/>
      <c r="S324" s="23"/>
    </row>
    <row r="325" spans="5:19" s="30" customFormat="1" ht="15.75" customHeight="1" x14ac:dyDescent="0.2">
      <c r="E325" s="42"/>
      <c r="H325" s="43"/>
      <c r="J325" s="23"/>
      <c r="S325" s="23"/>
    </row>
    <row r="326" spans="5:19" s="30" customFormat="1" ht="15.75" customHeight="1" x14ac:dyDescent="0.2">
      <c r="E326" s="42"/>
      <c r="H326" s="43"/>
      <c r="J326" s="23"/>
      <c r="S326" s="23"/>
    </row>
    <row r="327" spans="5:19" s="30" customFormat="1" ht="15.75" customHeight="1" x14ac:dyDescent="0.2">
      <c r="E327" s="42"/>
      <c r="H327" s="43"/>
      <c r="J327" s="23"/>
      <c r="S327" s="23"/>
    </row>
    <row r="328" spans="5:19" s="30" customFormat="1" ht="15.75" customHeight="1" x14ac:dyDescent="0.2">
      <c r="E328" s="42"/>
      <c r="H328" s="43"/>
      <c r="J328" s="23"/>
      <c r="S328" s="23"/>
    </row>
    <row r="329" spans="5:19" s="30" customFormat="1" ht="15.75" customHeight="1" x14ac:dyDescent="0.2">
      <c r="E329" s="42"/>
      <c r="H329" s="43"/>
      <c r="J329" s="23"/>
      <c r="S329" s="23"/>
    </row>
    <row r="330" spans="5:19" s="30" customFormat="1" ht="15.75" customHeight="1" x14ac:dyDescent="0.2">
      <c r="E330" s="42"/>
      <c r="H330" s="43"/>
      <c r="J330" s="23"/>
      <c r="S330" s="23"/>
    </row>
    <row r="331" spans="5:19" s="30" customFormat="1" ht="15.75" customHeight="1" x14ac:dyDescent="0.2">
      <c r="E331" s="42"/>
      <c r="H331" s="43"/>
      <c r="J331" s="23"/>
      <c r="S331" s="23"/>
    </row>
    <row r="332" spans="5:19" s="30" customFormat="1" ht="15.75" customHeight="1" x14ac:dyDescent="0.2">
      <c r="E332" s="42"/>
      <c r="H332" s="43"/>
      <c r="J332" s="23"/>
      <c r="S332" s="23"/>
    </row>
    <row r="333" spans="5:19" s="30" customFormat="1" ht="15.75" customHeight="1" x14ac:dyDescent="0.2">
      <c r="E333" s="42"/>
      <c r="H333" s="43"/>
      <c r="J333" s="23"/>
      <c r="S333" s="23"/>
    </row>
    <row r="334" spans="5:19" s="30" customFormat="1" ht="15.75" customHeight="1" x14ac:dyDescent="0.2">
      <c r="E334" s="42"/>
      <c r="H334" s="43"/>
      <c r="J334" s="23"/>
      <c r="S334" s="23"/>
    </row>
    <row r="335" spans="5:19" s="30" customFormat="1" ht="15.75" customHeight="1" x14ac:dyDescent="0.2">
      <c r="E335" s="42"/>
      <c r="H335" s="43"/>
      <c r="J335" s="23"/>
      <c r="S335" s="23"/>
    </row>
    <row r="336" spans="5:19" s="30" customFormat="1" ht="15.75" customHeight="1" x14ac:dyDescent="0.2">
      <c r="E336" s="42"/>
      <c r="H336" s="43"/>
      <c r="J336" s="23"/>
      <c r="S336" s="23"/>
    </row>
    <row r="337" spans="5:19" s="30" customFormat="1" ht="15.75" customHeight="1" x14ac:dyDescent="0.2">
      <c r="E337" s="42"/>
      <c r="H337" s="43"/>
      <c r="J337" s="23"/>
      <c r="S337" s="23"/>
    </row>
    <row r="338" spans="5:19" s="30" customFormat="1" ht="15.75" customHeight="1" x14ac:dyDescent="0.2">
      <c r="E338" s="42"/>
      <c r="H338" s="43"/>
      <c r="J338" s="23"/>
      <c r="S338" s="23"/>
    </row>
    <row r="339" spans="5:19" s="30" customFormat="1" ht="15.75" customHeight="1" x14ac:dyDescent="0.2">
      <c r="E339" s="42"/>
      <c r="H339" s="43"/>
      <c r="J339" s="23"/>
      <c r="S339" s="23"/>
    </row>
    <row r="340" spans="5:19" s="30" customFormat="1" ht="15.75" customHeight="1" x14ac:dyDescent="0.2">
      <c r="E340" s="42"/>
      <c r="H340" s="43"/>
      <c r="J340" s="23"/>
      <c r="S340" s="23"/>
    </row>
    <row r="341" spans="5:19" s="30" customFormat="1" ht="15.75" customHeight="1" x14ac:dyDescent="0.2">
      <c r="E341" s="42"/>
      <c r="H341" s="43"/>
      <c r="J341" s="23"/>
      <c r="S341" s="23"/>
    </row>
    <row r="342" spans="5:19" s="30" customFormat="1" ht="15.75" customHeight="1" x14ac:dyDescent="0.2">
      <c r="E342" s="42"/>
      <c r="H342" s="43"/>
      <c r="J342" s="23"/>
      <c r="S342" s="23"/>
    </row>
    <row r="343" spans="5:19" s="30" customFormat="1" ht="15.75" customHeight="1" x14ac:dyDescent="0.2">
      <c r="E343" s="42"/>
      <c r="H343" s="43"/>
      <c r="J343" s="23"/>
      <c r="S343" s="23"/>
    </row>
    <row r="344" spans="5:19" s="30" customFormat="1" ht="15.75" customHeight="1" x14ac:dyDescent="0.2">
      <c r="E344" s="42"/>
      <c r="H344" s="43"/>
      <c r="J344" s="23"/>
      <c r="S344" s="23"/>
    </row>
    <row r="345" spans="5:19" s="30" customFormat="1" ht="15.75" customHeight="1" x14ac:dyDescent="0.2">
      <c r="E345" s="42"/>
      <c r="H345" s="43"/>
      <c r="J345" s="23"/>
      <c r="S345" s="23"/>
    </row>
    <row r="346" spans="5:19" s="30" customFormat="1" ht="15.75" customHeight="1" x14ac:dyDescent="0.2">
      <c r="E346" s="42"/>
      <c r="H346" s="43"/>
      <c r="J346" s="23"/>
      <c r="S346" s="23"/>
    </row>
    <row r="347" spans="5:19" s="30" customFormat="1" ht="15.75" customHeight="1" x14ac:dyDescent="0.2">
      <c r="E347" s="42"/>
      <c r="H347" s="43"/>
      <c r="J347" s="23"/>
      <c r="S347" s="23"/>
    </row>
    <row r="348" spans="5:19" s="30" customFormat="1" ht="15.75" customHeight="1" x14ac:dyDescent="0.2">
      <c r="E348" s="42"/>
      <c r="H348" s="43"/>
      <c r="J348" s="23"/>
      <c r="S348" s="23"/>
    </row>
    <row r="349" spans="5:19" s="30" customFormat="1" ht="15.75" customHeight="1" x14ac:dyDescent="0.2">
      <c r="E349" s="42"/>
      <c r="H349" s="43"/>
      <c r="J349" s="23"/>
      <c r="S349" s="23"/>
    </row>
    <row r="350" spans="5:19" s="30" customFormat="1" ht="15.75" customHeight="1" x14ac:dyDescent="0.2">
      <c r="E350" s="42"/>
      <c r="H350" s="43"/>
      <c r="J350" s="23"/>
      <c r="S350" s="23"/>
    </row>
    <row r="351" spans="5:19" s="30" customFormat="1" ht="15.75" customHeight="1" x14ac:dyDescent="0.2">
      <c r="E351" s="42"/>
      <c r="H351" s="43"/>
      <c r="J351" s="23"/>
      <c r="S351" s="23"/>
    </row>
    <row r="352" spans="5:19" s="30" customFormat="1" ht="15.75" customHeight="1" x14ac:dyDescent="0.2">
      <c r="E352" s="42"/>
      <c r="H352" s="43"/>
      <c r="J352" s="23"/>
      <c r="S352" s="23"/>
    </row>
    <row r="353" spans="5:19" s="30" customFormat="1" ht="15.75" customHeight="1" x14ac:dyDescent="0.2">
      <c r="E353" s="42"/>
      <c r="H353" s="43"/>
      <c r="J353" s="23"/>
      <c r="S353" s="23"/>
    </row>
    <row r="354" spans="5:19" s="30" customFormat="1" ht="15.75" customHeight="1" x14ac:dyDescent="0.2">
      <c r="E354" s="42"/>
      <c r="H354" s="43"/>
      <c r="J354" s="23"/>
      <c r="S354" s="23"/>
    </row>
    <row r="355" spans="5:19" s="30" customFormat="1" ht="15.75" customHeight="1" x14ac:dyDescent="0.2">
      <c r="E355" s="42"/>
      <c r="H355" s="43"/>
      <c r="J355" s="23"/>
      <c r="S355" s="23"/>
    </row>
    <row r="356" spans="5:19" s="30" customFormat="1" ht="15.75" customHeight="1" x14ac:dyDescent="0.2">
      <c r="E356" s="42"/>
      <c r="H356" s="43"/>
      <c r="J356" s="23"/>
      <c r="S356" s="23"/>
    </row>
    <row r="357" spans="5:19" s="30" customFormat="1" ht="15.75" customHeight="1" x14ac:dyDescent="0.2">
      <c r="E357" s="42"/>
      <c r="H357" s="43"/>
      <c r="J357" s="23"/>
      <c r="S357" s="23"/>
    </row>
    <row r="358" spans="5:19" s="30" customFormat="1" ht="15.75" customHeight="1" x14ac:dyDescent="0.2">
      <c r="E358" s="42"/>
      <c r="H358" s="43"/>
      <c r="J358" s="23"/>
      <c r="S358" s="23"/>
    </row>
    <row r="359" spans="5:19" s="30" customFormat="1" ht="15.75" customHeight="1" x14ac:dyDescent="0.2">
      <c r="E359" s="42"/>
      <c r="H359" s="43"/>
      <c r="J359" s="23"/>
      <c r="S359" s="23"/>
    </row>
    <row r="360" spans="5:19" s="30" customFormat="1" ht="15.75" customHeight="1" x14ac:dyDescent="0.2">
      <c r="E360" s="42"/>
      <c r="H360" s="43"/>
      <c r="J360" s="23"/>
      <c r="S360" s="23"/>
    </row>
    <row r="361" spans="5:19" s="30" customFormat="1" ht="15.75" customHeight="1" x14ac:dyDescent="0.2">
      <c r="E361" s="42"/>
      <c r="H361" s="43"/>
      <c r="J361" s="23"/>
      <c r="S361" s="23"/>
    </row>
    <row r="362" spans="5:19" s="30" customFormat="1" ht="15.75" customHeight="1" x14ac:dyDescent="0.2">
      <c r="E362" s="42"/>
      <c r="H362" s="43"/>
      <c r="J362" s="23"/>
      <c r="S362" s="23"/>
    </row>
    <row r="363" spans="5:19" s="30" customFormat="1" ht="15.75" customHeight="1" x14ac:dyDescent="0.2">
      <c r="E363" s="42"/>
      <c r="H363" s="43"/>
      <c r="J363" s="23"/>
      <c r="S363" s="23"/>
    </row>
    <row r="364" spans="5:19" s="30" customFormat="1" ht="15.75" customHeight="1" x14ac:dyDescent="0.2">
      <c r="E364" s="42"/>
      <c r="H364" s="43"/>
      <c r="J364" s="23"/>
      <c r="S364" s="23"/>
    </row>
    <row r="365" spans="5:19" s="30" customFormat="1" ht="15.75" customHeight="1" x14ac:dyDescent="0.2">
      <c r="E365" s="42"/>
      <c r="H365" s="43"/>
      <c r="J365" s="23"/>
      <c r="S365" s="23"/>
    </row>
    <row r="366" spans="5:19" s="30" customFormat="1" ht="15.75" customHeight="1" x14ac:dyDescent="0.2">
      <c r="E366" s="42"/>
      <c r="H366" s="43"/>
      <c r="J366" s="23"/>
      <c r="S366" s="23"/>
    </row>
    <row r="367" spans="5:19" s="30" customFormat="1" ht="15.75" customHeight="1" x14ac:dyDescent="0.2">
      <c r="E367" s="42"/>
      <c r="H367" s="43"/>
      <c r="J367" s="23"/>
      <c r="S367" s="23"/>
    </row>
    <row r="368" spans="5:19" s="30" customFormat="1" ht="15.75" customHeight="1" x14ac:dyDescent="0.2">
      <c r="E368" s="42"/>
      <c r="H368" s="43"/>
      <c r="J368" s="23"/>
      <c r="S368" s="23"/>
    </row>
    <row r="369" spans="5:19" s="30" customFormat="1" ht="15.75" customHeight="1" x14ac:dyDescent="0.2">
      <c r="E369" s="42"/>
      <c r="H369" s="43"/>
      <c r="J369" s="23"/>
      <c r="S369" s="23"/>
    </row>
    <row r="370" spans="5:19" s="30" customFormat="1" ht="15.75" customHeight="1" x14ac:dyDescent="0.2">
      <c r="E370" s="42"/>
      <c r="H370" s="43"/>
      <c r="J370" s="23"/>
      <c r="S370" s="23"/>
    </row>
    <row r="371" spans="5:19" s="30" customFormat="1" ht="15.75" customHeight="1" x14ac:dyDescent="0.2">
      <c r="E371" s="42"/>
      <c r="H371" s="43"/>
      <c r="J371" s="23"/>
      <c r="S371" s="23"/>
    </row>
    <row r="372" spans="5:19" s="30" customFormat="1" ht="15.75" customHeight="1" x14ac:dyDescent="0.2">
      <c r="E372" s="42"/>
      <c r="H372" s="43"/>
      <c r="J372" s="23"/>
      <c r="S372" s="23"/>
    </row>
    <row r="373" spans="5:19" s="30" customFormat="1" ht="15.75" customHeight="1" x14ac:dyDescent="0.2">
      <c r="E373" s="42"/>
      <c r="H373" s="43"/>
      <c r="J373" s="23"/>
      <c r="S373" s="23"/>
    </row>
    <row r="374" spans="5:19" s="30" customFormat="1" ht="15.75" customHeight="1" x14ac:dyDescent="0.2">
      <c r="E374" s="42"/>
      <c r="H374" s="43"/>
      <c r="J374" s="23"/>
      <c r="S374" s="23"/>
    </row>
    <row r="375" spans="5:19" s="30" customFormat="1" ht="15.75" customHeight="1" x14ac:dyDescent="0.2">
      <c r="E375" s="42"/>
      <c r="H375" s="43"/>
      <c r="J375" s="23"/>
      <c r="S375" s="23"/>
    </row>
    <row r="376" spans="5:19" s="30" customFormat="1" ht="15.75" customHeight="1" x14ac:dyDescent="0.2">
      <c r="E376" s="42"/>
      <c r="H376" s="43"/>
      <c r="J376" s="23"/>
      <c r="S376" s="23"/>
    </row>
    <row r="377" spans="5:19" s="30" customFormat="1" ht="15.75" customHeight="1" x14ac:dyDescent="0.2">
      <c r="E377" s="42"/>
      <c r="H377" s="43"/>
      <c r="J377" s="23"/>
      <c r="S377" s="23"/>
    </row>
    <row r="378" spans="5:19" s="30" customFormat="1" ht="15.75" customHeight="1" x14ac:dyDescent="0.2">
      <c r="E378" s="42"/>
      <c r="H378" s="43"/>
      <c r="J378" s="23"/>
      <c r="S378" s="23"/>
    </row>
    <row r="379" spans="5:19" s="30" customFormat="1" ht="15.75" customHeight="1" x14ac:dyDescent="0.2">
      <c r="E379" s="42"/>
      <c r="H379" s="43"/>
      <c r="J379" s="23"/>
      <c r="S379" s="23"/>
    </row>
    <row r="380" spans="5:19" s="30" customFormat="1" ht="15.75" customHeight="1" x14ac:dyDescent="0.2">
      <c r="E380" s="42"/>
      <c r="H380" s="43"/>
      <c r="J380" s="23"/>
      <c r="S380" s="23"/>
    </row>
    <row r="381" spans="5:19" s="30" customFormat="1" ht="15.75" customHeight="1" x14ac:dyDescent="0.2">
      <c r="E381" s="42"/>
      <c r="H381" s="43"/>
      <c r="J381" s="23"/>
      <c r="S381" s="23"/>
    </row>
    <row r="382" spans="5:19" s="30" customFormat="1" ht="15.75" customHeight="1" x14ac:dyDescent="0.2">
      <c r="E382" s="42"/>
      <c r="H382" s="43"/>
      <c r="J382" s="23"/>
      <c r="S382" s="23"/>
    </row>
    <row r="383" spans="5:19" s="30" customFormat="1" ht="15.75" customHeight="1" x14ac:dyDescent="0.2">
      <c r="E383" s="42"/>
      <c r="H383" s="43"/>
      <c r="J383" s="23"/>
      <c r="S383" s="23"/>
    </row>
    <row r="384" spans="5:19" s="30" customFormat="1" ht="15.75" customHeight="1" x14ac:dyDescent="0.2">
      <c r="E384" s="42"/>
      <c r="H384" s="43"/>
      <c r="J384" s="23"/>
      <c r="S384" s="23"/>
    </row>
    <row r="385" spans="5:19" s="30" customFormat="1" ht="15.75" customHeight="1" x14ac:dyDescent="0.2">
      <c r="E385" s="42"/>
      <c r="H385" s="43"/>
      <c r="J385" s="23"/>
      <c r="S385" s="23"/>
    </row>
    <row r="386" spans="5:19" s="30" customFormat="1" ht="15.75" customHeight="1" x14ac:dyDescent="0.2">
      <c r="E386" s="42"/>
      <c r="H386" s="43"/>
      <c r="J386" s="23"/>
      <c r="S386" s="23"/>
    </row>
    <row r="387" spans="5:19" s="30" customFormat="1" ht="15.75" customHeight="1" x14ac:dyDescent="0.2">
      <c r="E387" s="42"/>
      <c r="H387" s="43"/>
      <c r="J387" s="23"/>
      <c r="S387" s="23"/>
    </row>
    <row r="388" spans="5:19" s="30" customFormat="1" ht="15.75" customHeight="1" x14ac:dyDescent="0.2">
      <c r="E388" s="42"/>
      <c r="H388" s="43"/>
      <c r="J388" s="23"/>
      <c r="S388" s="23"/>
    </row>
    <row r="389" spans="5:19" s="30" customFormat="1" ht="15.75" customHeight="1" x14ac:dyDescent="0.2">
      <c r="E389" s="42"/>
      <c r="H389" s="43"/>
      <c r="J389" s="23"/>
      <c r="S389" s="23"/>
    </row>
    <row r="390" spans="5:19" s="30" customFormat="1" ht="15.75" customHeight="1" x14ac:dyDescent="0.2">
      <c r="E390" s="42"/>
      <c r="H390" s="43"/>
      <c r="J390" s="23"/>
      <c r="S390" s="23"/>
    </row>
    <row r="391" spans="5:19" s="30" customFormat="1" ht="15.75" customHeight="1" x14ac:dyDescent="0.2">
      <c r="E391" s="42"/>
      <c r="H391" s="43"/>
      <c r="J391" s="23"/>
      <c r="S391" s="23"/>
    </row>
    <row r="392" spans="5:19" s="30" customFormat="1" ht="15.75" customHeight="1" x14ac:dyDescent="0.2">
      <c r="E392" s="42"/>
      <c r="H392" s="43"/>
      <c r="J392" s="23"/>
      <c r="S392" s="23"/>
    </row>
    <row r="393" spans="5:19" s="30" customFormat="1" ht="15.75" customHeight="1" x14ac:dyDescent="0.2">
      <c r="E393" s="42"/>
      <c r="H393" s="43"/>
      <c r="J393" s="23"/>
      <c r="S393" s="23"/>
    </row>
    <row r="394" spans="5:19" s="30" customFormat="1" ht="15.75" customHeight="1" x14ac:dyDescent="0.2">
      <c r="E394" s="42"/>
      <c r="H394" s="43"/>
      <c r="J394" s="23"/>
      <c r="S394" s="23"/>
    </row>
    <row r="395" spans="5:19" s="30" customFormat="1" ht="15.75" customHeight="1" x14ac:dyDescent="0.2">
      <c r="E395" s="42"/>
      <c r="H395" s="43"/>
      <c r="J395" s="23"/>
      <c r="S395" s="23"/>
    </row>
    <row r="396" spans="5:19" s="30" customFormat="1" ht="15.75" customHeight="1" x14ac:dyDescent="0.2">
      <c r="E396" s="42"/>
      <c r="H396" s="43"/>
      <c r="J396" s="23"/>
      <c r="S396" s="23"/>
    </row>
    <row r="397" spans="5:19" s="30" customFormat="1" ht="15.75" customHeight="1" x14ac:dyDescent="0.2">
      <c r="E397" s="42"/>
      <c r="H397" s="43"/>
      <c r="J397" s="23"/>
      <c r="S397" s="23"/>
    </row>
    <row r="398" spans="5:19" s="30" customFormat="1" ht="15.75" customHeight="1" x14ac:dyDescent="0.2">
      <c r="E398" s="42"/>
      <c r="H398" s="43"/>
      <c r="J398" s="23"/>
      <c r="S398" s="23"/>
    </row>
    <row r="399" spans="5:19" s="30" customFormat="1" ht="15.75" customHeight="1" x14ac:dyDescent="0.2">
      <c r="E399" s="42"/>
      <c r="H399" s="43"/>
      <c r="J399" s="23"/>
      <c r="S399" s="23"/>
    </row>
    <row r="400" spans="5:19" s="30" customFormat="1" ht="15.75" customHeight="1" x14ac:dyDescent="0.2">
      <c r="E400" s="42"/>
      <c r="H400" s="43"/>
      <c r="J400" s="23"/>
      <c r="S400" s="23"/>
    </row>
    <row r="401" spans="5:19" s="30" customFormat="1" ht="15.75" customHeight="1" x14ac:dyDescent="0.2">
      <c r="E401" s="42"/>
      <c r="H401" s="43"/>
      <c r="J401" s="23"/>
      <c r="S401" s="23"/>
    </row>
    <row r="402" spans="5:19" s="30" customFormat="1" ht="15.75" customHeight="1" x14ac:dyDescent="0.2">
      <c r="E402" s="42"/>
      <c r="H402" s="43"/>
      <c r="J402" s="23"/>
      <c r="S402" s="23"/>
    </row>
    <row r="403" spans="5:19" s="30" customFormat="1" ht="15.75" customHeight="1" x14ac:dyDescent="0.2">
      <c r="E403" s="42"/>
      <c r="H403" s="43"/>
      <c r="J403" s="23"/>
      <c r="S403" s="23"/>
    </row>
    <row r="404" spans="5:19" s="30" customFormat="1" ht="15.75" customHeight="1" x14ac:dyDescent="0.2">
      <c r="E404" s="42"/>
      <c r="H404" s="43"/>
      <c r="J404" s="23"/>
      <c r="S404" s="23"/>
    </row>
    <row r="405" spans="5:19" s="30" customFormat="1" ht="15.75" customHeight="1" x14ac:dyDescent="0.2">
      <c r="E405" s="42"/>
      <c r="H405" s="43"/>
      <c r="J405" s="23"/>
      <c r="S405" s="23"/>
    </row>
    <row r="406" spans="5:19" s="30" customFormat="1" ht="15.75" customHeight="1" x14ac:dyDescent="0.2">
      <c r="E406" s="42"/>
      <c r="H406" s="43"/>
      <c r="J406" s="23"/>
      <c r="S406" s="23"/>
    </row>
    <row r="407" spans="5:19" s="30" customFormat="1" ht="15.75" customHeight="1" x14ac:dyDescent="0.2">
      <c r="E407" s="42"/>
      <c r="H407" s="43"/>
      <c r="J407" s="23"/>
      <c r="S407" s="23"/>
    </row>
    <row r="408" spans="5:19" s="30" customFormat="1" ht="15.75" customHeight="1" x14ac:dyDescent="0.2">
      <c r="E408" s="42"/>
      <c r="H408" s="43"/>
      <c r="J408" s="23"/>
      <c r="S408" s="23"/>
    </row>
    <row r="409" spans="5:19" s="30" customFormat="1" ht="15.75" customHeight="1" x14ac:dyDescent="0.2">
      <c r="E409" s="42"/>
      <c r="H409" s="43"/>
      <c r="J409" s="23"/>
      <c r="S409" s="23"/>
    </row>
    <row r="410" spans="5:19" s="30" customFormat="1" ht="15.75" customHeight="1" x14ac:dyDescent="0.2">
      <c r="E410" s="42"/>
      <c r="H410" s="43"/>
      <c r="J410" s="23"/>
      <c r="S410" s="23"/>
    </row>
    <row r="411" spans="5:19" s="30" customFormat="1" ht="15.75" customHeight="1" x14ac:dyDescent="0.2">
      <c r="E411" s="42"/>
      <c r="H411" s="43"/>
      <c r="J411" s="23"/>
      <c r="S411" s="23"/>
    </row>
    <row r="412" spans="5:19" s="30" customFormat="1" ht="15.75" customHeight="1" x14ac:dyDescent="0.2">
      <c r="E412" s="42"/>
      <c r="H412" s="43"/>
      <c r="J412" s="23"/>
      <c r="S412" s="23"/>
    </row>
    <row r="413" spans="5:19" s="30" customFormat="1" ht="15.75" customHeight="1" x14ac:dyDescent="0.2">
      <c r="E413" s="42"/>
      <c r="H413" s="43"/>
      <c r="J413" s="23"/>
      <c r="S413" s="23"/>
    </row>
    <row r="414" spans="5:19" s="30" customFormat="1" ht="15.75" customHeight="1" x14ac:dyDescent="0.2">
      <c r="E414" s="42"/>
      <c r="H414" s="43"/>
      <c r="J414" s="23"/>
      <c r="S414" s="23"/>
    </row>
    <row r="415" spans="5:19" s="30" customFormat="1" ht="15.75" customHeight="1" x14ac:dyDescent="0.2">
      <c r="E415" s="42"/>
      <c r="H415" s="43"/>
      <c r="J415" s="23"/>
      <c r="S415" s="23"/>
    </row>
    <row r="416" spans="5:19" s="30" customFormat="1" ht="15.75" customHeight="1" x14ac:dyDescent="0.2">
      <c r="E416" s="42"/>
      <c r="H416" s="43"/>
      <c r="J416" s="23"/>
      <c r="S416" s="23"/>
    </row>
    <row r="417" spans="5:19" s="30" customFormat="1" ht="15.75" customHeight="1" x14ac:dyDescent="0.2">
      <c r="E417" s="42"/>
      <c r="H417" s="43"/>
      <c r="J417" s="23"/>
      <c r="S417" s="23"/>
    </row>
    <row r="418" spans="5:19" s="30" customFormat="1" ht="15.75" customHeight="1" x14ac:dyDescent="0.2">
      <c r="E418" s="42"/>
      <c r="H418" s="43"/>
      <c r="J418" s="23"/>
      <c r="S418" s="23"/>
    </row>
    <row r="419" spans="5:19" s="30" customFormat="1" ht="15.75" customHeight="1" x14ac:dyDescent="0.2">
      <c r="E419" s="42"/>
      <c r="H419" s="43"/>
      <c r="J419" s="23"/>
      <c r="S419" s="23"/>
    </row>
    <row r="420" spans="5:19" s="30" customFormat="1" ht="15.75" customHeight="1" x14ac:dyDescent="0.2">
      <c r="E420" s="42"/>
      <c r="H420" s="43"/>
      <c r="J420" s="23"/>
      <c r="S420" s="23"/>
    </row>
    <row r="421" spans="5:19" s="30" customFormat="1" ht="15.75" customHeight="1" x14ac:dyDescent="0.2">
      <c r="E421" s="42"/>
      <c r="H421" s="43"/>
      <c r="J421" s="23"/>
      <c r="S421" s="23"/>
    </row>
    <row r="422" spans="5:19" s="30" customFormat="1" ht="15.75" customHeight="1" x14ac:dyDescent="0.2">
      <c r="E422" s="42"/>
      <c r="H422" s="43"/>
      <c r="J422" s="23"/>
      <c r="S422" s="23"/>
    </row>
    <row r="423" spans="5:19" s="30" customFormat="1" ht="15.75" customHeight="1" x14ac:dyDescent="0.2">
      <c r="E423" s="42"/>
      <c r="H423" s="43"/>
      <c r="J423" s="23"/>
      <c r="S423" s="23"/>
    </row>
    <row r="424" spans="5:19" s="30" customFormat="1" ht="15.75" customHeight="1" x14ac:dyDescent="0.2">
      <c r="E424" s="42"/>
      <c r="H424" s="43"/>
      <c r="J424" s="23"/>
      <c r="S424" s="23"/>
    </row>
    <row r="425" spans="5:19" s="30" customFormat="1" ht="15.75" customHeight="1" x14ac:dyDescent="0.2">
      <c r="E425" s="42"/>
      <c r="H425" s="43"/>
      <c r="J425" s="23"/>
      <c r="S425" s="23"/>
    </row>
    <row r="426" spans="5:19" s="30" customFormat="1" ht="15.75" customHeight="1" x14ac:dyDescent="0.2">
      <c r="E426" s="42"/>
      <c r="H426" s="43"/>
      <c r="J426" s="23"/>
      <c r="S426" s="23"/>
    </row>
    <row r="427" spans="5:19" s="30" customFormat="1" ht="15.75" customHeight="1" x14ac:dyDescent="0.2">
      <c r="E427" s="42"/>
      <c r="H427" s="43"/>
      <c r="J427" s="23"/>
      <c r="S427" s="23"/>
    </row>
    <row r="428" spans="5:19" s="30" customFormat="1" ht="15.75" customHeight="1" x14ac:dyDescent="0.2">
      <c r="E428" s="42"/>
      <c r="H428" s="43"/>
      <c r="J428" s="23"/>
      <c r="S428" s="23"/>
    </row>
    <row r="429" spans="5:19" s="30" customFormat="1" ht="15.75" customHeight="1" x14ac:dyDescent="0.2">
      <c r="E429" s="42"/>
      <c r="H429" s="43"/>
      <c r="J429" s="23"/>
      <c r="S429" s="23"/>
    </row>
    <row r="430" spans="5:19" s="30" customFormat="1" ht="15.75" customHeight="1" x14ac:dyDescent="0.2">
      <c r="E430" s="42"/>
      <c r="H430" s="43"/>
      <c r="J430" s="23"/>
      <c r="S430" s="23"/>
    </row>
    <row r="431" spans="5:19" s="30" customFormat="1" ht="15.75" customHeight="1" x14ac:dyDescent="0.2">
      <c r="E431" s="42"/>
      <c r="H431" s="43"/>
      <c r="J431" s="23"/>
      <c r="S431" s="23"/>
    </row>
    <row r="432" spans="5:19" s="30" customFormat="1" ht="15.75" customHeight="1" x14ac:dyDescent="0.2">
      <c r="E432" s="42"/>
      <c r="H432" s="43"/>
      <c r="J432" s="23"/>
      <c r="S432" s="23"/>
    </row>
    <row r="433" spans="5:19" s="30" customFormat="1" ht="15.75" customHeight="1" x14ac:dyDescent="0.2">
      <c r="E433" s="42"/>
      <c r="H433" s="43"/>
      <c r="J433" s="23"/>
      <c r="S433" s="23"/>
    </row>
    <row r="434" spans="5:19" s="30" customFormat="1" ht="15.75" customHeight="1" x14ac:dyDescent="0.2">
      <c r="E434" s="42"/>
      <c r="H434" s="43"/>
      <c r="J434" s="23"/>
      <c r="S434" s="23"/>
    </row>
    <row r="435" spans="5:19" s="30" customFormat="1" ht="15.75" customHeight="1" x14ac:dyDescent="0.2">
      <c r="E435" s="42"/>
      <c r="H435" s="43"/>
      <c r="J435" s="23"/>
      <c r="S435" s="23"/>
    </row>
    <row r="436" spans="5:19" s="30" customFormat="1" ht="15.75" customHeight="1" x14ac:dyDescent="0.2">
      <c r="E436" s="42"/>
      <c r="H436" s="43"/>
      <c r="J436" s="23"/>
      <c r="S436" s="23"/>
    </row>
    <row r="437" spans="5:19" s="30" customFormat="1" ht="15.75" customHeight="1" x14ac:dyDescent="0.2">
      <c r="E437" s="42"/>
      <c r="H437" s="43"/>
      <c r="J437" s="23"/>
      <c r="S437" s="23"/>
    </row>
    <row r="438" spans="5:19" s="30" customFormat="1" ht="15.75" customHeight="1" x14ac:dyDescent="0.2">
      <c r="E438" s="42"/>
      <c r="H438" s="43"/>
      <c r="J438" s="23"/>
      <c r="S438" s="23"/>
    </row>
    <row r="439" spans="5:19" s="30" customFormat="1" ht="15.75" customHeight="1" x14ac:dyDescent="0.2">
      <c r="E439" s="42"/>
      <c r="H439" s="43"/>
      <c r="J439" s="23"/>
      <c r="S439" s="23"/>
    </row>
    <row r="440" spans="5:19" s="30" customFormat="1" ht="15.75" customHeight="1" x14ac:dyDescent="0.2">
      <c r="E440" s="42"/>
      <c r="H440" s="43"/>
      <c r="J440" s="23"/>
      <c r="S440" s="23"/>
    </row>
    <row r="441" spans="5:19" s="30" customFormat="1" ht="15.75" customHeight="1" x14ac:dyDescent="0.2">
      <c r="E441" s="42"/>
      <c r="H441" s="43"/>
      <c r="J441" s="23"/>
      <c r="S441" s="23"/>
    </row>
    <row r="442" spans="5:19" s="30" customFormat="1" ht="15.75" customHeight="1" x14ac:dyDescent="0.2">
      <c r="E442" s="42"/>
      <c r="H442" s="43"/>
      <c r="J442" s="23"/>
      <c r="S442" s="23"/>
    </row>
    <row r="443" spans="5:19" s="30" customFormat="1" ht="15.75" customHeight="1" x14ac:dyDescent="0.2">
      <c r="E443" s="42"/>
      <c r="H443" s="43"/>
      <c r="J443" s="23"/>
      <c r="S443" s="23"/>
    </row>
    <row r="444" spans="5:19" s="30" customFormat="1" ht="15.75" customHeight="1" x14ac:dyDescent="0.2">
      <c r="E444" s="42"/>
      <c r="H444" s="43"/>
      <c r="J444" s="23"/>
      <c r="S444" s="23"/>
    </row>
    <row r="445" spans="5:19" s="30" customFormat="1" ht="15.75" customHeight="1" x14ac:dyDescent="0.2">
      <c r="E445" s="42"/>
      <c r="H445" s="43"/>
      <c r="J445" s="23"/>
      <c r="S445" s="23"/>
    </row>
    <row r="446" spans="5:19" s="30" customFormat="1" ht="15.75" customHeight="1" x14ac:dyDescent="0.2">
      <c r="E446" s="42"/>
      <c r="H446" s="43"/>
      <c r="J446" s="23"/>
      <c r="S446" s="23"/>
    </row>
    <row r="447" spans="5:19" s="30" customFormat="1" ht="15.75" customHeight="1" x14ac:dyDescent="0.2">
      <c r="E447" s="42"/>
      <c r="H447" s="43"/>
      <c r="J447" s="23"/>
      <c r="S447" s="23"/>
    </row>
    <row r="448" spans="5:19" s="30" customFormat="1" ht="15.75" customHeight="1" x14ac:dyDescent="0.2">
      <c r="E448" s="42"/>
      <c r="H448" s="43"/>
      <c r="J448" s="23"/>
      <c r="S448" s="23"/>
    </row>
    <row r="449" spans="5:19" s="30" customFormat="1" ht="15.75" customHeight="1" x14ac:dyDescent="0.2">
      <c r="E449" s="42"/>
      <c r="H449" s="43"/>
      <c r="J449" s="23"/>
      <c r="S449" s="23"/>
    </row>
    <row r="450" spans="5:19" s="30" customFormat="1" ht="15.75" customHeight="1" x14ac:dyDescent="0.2">
      <c r="E450" s="42"/>
      <c r="H450" s="43"/>
      <c r="J450" s="23"/>
      <c r="S450" s="23"/>
    </row>
    <row r="451" spans="5:19" s="30" customFormat="1" ht="15.75" customHeight="1" x14ac:dyDescent="0.2">
      <c r="E451" s="42"/>
      <c r="H451" s="43"/>
      <c r="J451" s="23"/>
      <c r="S451" s="23"/>
    </row>
    <row r="452" spans="5:19" s="30" customFormat="1" ht="15.75" customHeight="1" x14ac:dyDescent="0.2">
      <c r="E452" s="42"/>
      <c r="H452" s="43"/>
      <c r="J452" s="23"/>
      <c r="S452" s="23"/>
    </row>
    <row r="453" spans="5:19" s="30" customFormat="1" ht="15.75" customHeight="1" x14ac:dyDescent="0.2">
      <c r="E453" s="42"/>
      <c r="H453" s="43"/>
      <c r="J453" s="23"/>
      <c r="S453" s="23"/>
    </row>
    <row r="454" spans="5:19" s="30" customFormat="1" ht="15.75" customHeight="1" x14ac:dyDescent="0.2">
      <c r="E454" s="42"/>
      <c r="H454" s="43"/>
      <c r="J454" s="23"/>
      <c r="S454" s="23"/>
    </row>
    <row r="455" spans="5:19" s="30" customFormat="1" ht="15.75" customHeight="1" x14ac:dyDescent="0.2">
      <c r="E455" s="42"/>
      <c r="H455" s="43"/>
      <c r="J455" s="23"/>
      <c r="S455" s="23"/>
    </row>
    <row r="456" spans="5:19" s="30" customFormat="1" ht="15.75" customHeight="1" x14ac:dyDescent="0.2">
      <c r="E456" s="42"/>
      <c r="H456" s="43"/>
      <c r="J456" s="23"/>
      <c r="S456" s="23"/>
    </row>
    <row r="457" spans="5:19" s="30" customFormat="1" ht="15.75" customHeight="1" x14ac:dyDescent="0.2">
      <c r="E457" s="42"/>
      <c r="H457" s="43"/>
      <c r="J457" s="23"/>
      <c r="S457" s="23"/>
    </row>
    <row r="458" spans="5:19" s="30" customFormat="1" ht="15.75" customHeight="1" x14ac:dyDescent="0.2">
      <c r="E458" s="42"/>
      <c r="H458" s="43"/>
      <c r="J458" s="23"/>
      <c r="S458" s="23"/>
    </row>
    <row r="459" spans="5:19" s="30" customFormat="1" ht="15.75" customHeight="1" x14ac:dyDescent="0.2">
      <c r="E459" s="42"/>
      <c r="H459" s="43"/>
      <c r="J459" s="23"/>
      <c r="S459" s="23"/>
    </row>
    <row r="460" spans="5:19" s="30" customFormat="1" ht="15.75" customHeight="1" x14ac:dyDescent="0.2">
      <c r="E460" s="42"/>
      <c r="H460" s="43"/>
      <c r="J460" s="23"/>
      <c r="S460" s="23"/>
    </row>
    <row r="461" spans="5:19" s="30" customFormat="1" ht="15.75" customHeight="1" x14ac:dyDescent="0.2">
      <c r="E461" s="42"/>
      <c r="H461" s="43"/>
      <c r="J461" s="23"/>
      <c r="S461" s="23"/>
    </row>
    <row r="462" spans="5:19" s="30" customFormat="1" ht="15.75" customHeight="1" x14ac:dyDescent="0.2">
      <c r="E462" s="42"/>
      <c r="H462" s="43"/>
      <c r="J462" s="23"/>
      <c r="S462" s="23"/>
    </row>
    <row r="463" spans="5:19" s="30" customFormat="1" ht="15.75" customHeight="1" x14ac:dyDescent="0.2">
      <c r="E463" s="42"/>
      <c r="H463" s="43"/>
      <c r="J463" s="23"/>
      <c r="S463" s="23"/>
    </row>
    <row r="464" spans="5:19" s="30" customFormat="1" ht="15.75" customHeight="1" x14ac:dyDescent="0.2">
      <c r="E464" s="42"/>
      <c r="H464" s="43"/>
      <c r="J464" s="23"/>
      <c r="S464" s="23"/>
    </row>
    <row r="465" spans="5:19" s="30" customFormat="1" ht="15.75" customHeight="1" x14ac:dyDescent="0.2">
      <c r="E465" s="42"/>
      <c r="H465" s="43"/>
      <c r="J465" s="23"/>
      <c r="S465" s="23"/>
    </row>
    <row r="466" spans="5:19" s="30" customFormat="1" ht="15.75" customHeight="1" x14ac:dyDescent="0.2">
      <c r="E466" s="42"/>
      <c r="H466" s="43"/>
      <c r="J466" s="23"/>
      <c r="S466" s="23"/>
    </row>
    <row r="467" spans="5:19" s="30" customFormat="1" ht="15.75" customHeight="1" x14ac:dyDescent="0.2">
      <c r="E467" s="42"/>
      <c r="H467" s="43"/>
      <c r="J467" s="23"/>
      <c r="S467" s="23"/>
    </row>
    <row r="468" spans="5:19" s="30" customFormat="1" ht="15.75" customHeight="1" x14ac:dyDescent="0.2">
      <c r="E468" s="42"/>
      <c r="H468" s="43"/>
      <c r="J468" s="23"/>
      <c r="S468" s="23"/>
    </row>
    <row r="469" spans="5:19" s="30" customFormat="1" ht="15.75" customHeight="1" x14ac:dyDescent="0.2">
      <c r="E469" s="42"/>
      <c r="H469" s="43"/>
      <c r="J469" s="23"/>
      <c r="S469" s="23"/>
    </row>
    <row r="470" spans="5:19" s="30" customFormat="1" ht="15.75" customHeight="1" x14ac:dyDescent="0.2">
      <c r="E470" s="42"/>
      <c r="H470" s="43"/>
      <c r="J470" s="23"/>
      <c r="S470" s="23"/>
    </row>
    <row r="471" spans="5:19" s="30" customFormat="1" ht="15.75" customHeight="1" x14ac:dyDescent="0.2">
      <c r="E471" s="42"/>
      <c r="H471" s="43"/>
      <c r="J471" s="23"/>
      <c r="S471" s="23"/>
    </row>
    <row r="472" spans="5:19" s="30" customFormat="1" ht="15.75" customHeight="1" x14ac:dyDescent="0.2">
      <c r="E472" s="42"/>
      <c r="H472" s="43"/>
      <c r="J472" s="23"/>
      <c r="S472" s="23"/>
    </row>
    <row r="473" spans="5:19" s="30" customFormat="1" ht="15.75" customHeight="1" x14ac:dyDescent="0.2">
      <c r="E473" s="42"/>
      <c r="H473" s="43"/>
      <c r="J473" s="23"/>
      <c r="S473" s="23"/>
    </row>
    <row r="474" spans="5:19" s="30" customFormat="1" ht="15.75" customHeight="1" x14ac:dyDescent="0.2">
      <c r="E474" s="42"/>
      <c r="H474" s="43"/>
      <c r="J474" s="23"/>
      <c r="S474" s="23"/>
    </row>
    <row r="475" spans="5:19" s="30" customFormat="1" ht="15.75" customHeight="1" x14ac:dyDescent="0.2">
      <c r="E475" s="42"/>
      <c r="H475" s="43"/>
      <c r="J475" s="23"/>
      <c r="S475" s="23"/>
    </row>
    <row r="476" spans="5:19" s="30" customFormat="1" ht="15.75" customHeight="1" x14ac:dyDescent="0.2">
      <c r="E476" s="42"/>
      <c r="H476" s="43"/>
      <c r="J476" s="23"/>
      <c r="S476" s="23"/>
    </row>
    <row r="477" spans="5:19" s="30" customFormat="1" ht="15.75" customHeight="1" x14ac:dyDescent="0.2">
      <c r="E477" s="42"/>
      <c r="H477" s="43"/>
      <c r="J477" s="23"/>
      <c r="S477" s="23"/>
    </row>
    <row r="478" spans="5:19" s="30" customFormat="1" ht="15.75" customHeight="1" x14ac:dyDescent="0.2">
      <c r="E478" s="42"/>
      <c r="H478" s="43"/>
      <c r="J478" s="23"/>
      <c r="S478" s="23"/>
    </row>
    <row r="479" spans="5:19" s="30" customFormat="1" ht="15.75" customHeight="1" x14ac:dyDescent="0.2">
      <c r="E479" s="42"/>
      <c r="H479" s="43"/>
      <c r="J479" s="23"/>
      <c r="S479" s="23"/>
    </row>
    <row r="480" spans="5:19" s="30" customFormat="1" ht="15.75" customHeight="1" x14ac:dyDescent="0.2">
      <c r="E480" s="42"/>
      <c r="H480" s="43"/>
      <c r="J480" s="23"/>
      <c r="S480" s="23"/>
    </row>
    <row r="481" spans="5:19" s="30" customFormat="1" ht="15.75" customHeight="1" x14ac:dyDescent="0.2">
      <c r="E481" s="42"/>
      <c r="H481" s="43"/>
      <c r="J481" s="23"/>
      <c r="S481" s="23"/>
    </row>
    <row r="482" spans="5:19" s="30" customFormat="1" ht="15.75" customHeight="1" x14ac:dyDescent="0.2">
      <c r="E482" s="42"/>
      <c r="H482" s="43"/>
      <c r="J482" s="23"/>
      <c r="S482" s="23"/>
    </row>
    <row r="483" spans="5:19" s="30" customFormat="1" ht="15.75" customHeight="1" x14ac:dyDescent="0.2">
      <c r="E483" s="42"/>
      <c r="H483" s="43"/>
      <c r="J483" s="23"/>
      <c r="S483" s="23"/>
    </row>
    <row r="484" spans="5:19" s="30" customFormat="1" ht="15.75" customHeight="1" x14ac:dyDescent="0.2">
      <c r="E484" s="42"/>
      <c r="H484" s="43"/>
      <c r="J484" s="23"/>
      <c r="S484" s="23"/>
    </row>
    <row r="485" spans="5:19" s="30" customFormat="1" ht="15.75" customHeight="1" x14ac:dyDescent="0.2">
      <c r="E485" s="42"/>
      <c r="H485" s="43"/>
      <c r="J485" s="23"/>
      <c r="S485" s="23"/>
    </row>
    <row r="486" spans="5:19" s="30" customFormat="1" ht="15.75" customHeight="1" x14ac:dyDescent="0.2">
      <c r="E486" s="42"/>
      <c r="H486" s="43"/>
      <c r="J486" s="23"/>
      <c r="S486" s="23"/>
    </row>
    <row r="487" spans="5:19" s="30" customFormat="1" ht="15.75" customHeight="1" x14ac:dyDescent="0.2">
      <c r="E487" s="42"/>
      <c r="H487" s="43"/>
      <c r="J487" s="23"/>
      <c r="S487" s="23"/>
    </row>
    <row r="488" spans="5:19" s="30" customFormat="1" ht="15.75" customHeight="1" x14ac:dyDescent="0.2">
      <c r="E488" s="42"/>
      <c r="H488" s="43"/>
      <c r="J488" s="23"/>
      <c r="S488" s="23"/>
    </row>
    <row r="489" spans="5:19" s="30" customFormat="1" ht="15.75" customHeight="1" x14ac:dyDescent="0.2">
      <c r="E489" s="42"/>
      <c r="H489" s="43"/>
      <c r="J489" s="23"/>
      <c r="S489" s="23"/>
    </row>
    <row r="490" spans="5:19" s="30" customFormat="1" ht="15.75" customHeight="1" x14ac:dyDescent="0.2">
      <c r="E490" s="42"/>
      <c r="H490" s="43"/>
      <c r="J490" s="23"/>
      <c r="S490" s="23"/>
    </row>
    <row r="491" spans="5:19" s="30" customFormat="1" ht="15.75" customHeight="1" x14ac:dyDescent="0.2">
      <c r="E491" s="42"/>
      <c r="H491" s="43"/>
      <c r="J491" s="23"/>
      <c r="S491" s="23"/>
    </row>
    <row r="492" spans="5:19" s="30" customFormat="1" ht="15.75" customHeight="1" x14ac:dyDescent="0.2">
      <c r="E492" s="42"/>
      <c r="H492" s="43"/>
      <c r="J492" s="23"/>
      <c r="S492" s="23"/>
    </row>
    <row r="493" spans="5:19" s="30" customFormat="1" ht="15.75" customHeight="1" x14ac:dyDescent="0.2">
      <c r="E493" s="42"/>
      <c r="H493" s="43"/>
      <c r="J493" s="23"/>
      <c r="S493" s="23"/>
    </row>
    <row r="494" spans="5:19" s="30" customFormat="1" ht="15.75" customHeight="1" x14ac:dyDescent="0.2">
      <c r="E494" s="42"/>
      <c r="H494" s="43"/>
      <c r="J494" s="23"/>
      <c r="S494" s="23"/>
    </row>
    <row r="495" spans="5:19" s="30" customFormat="1" ht="15.75" customHeight="1" x14ac:dyDescent="0.2">
      <c r="E495" s="42"/>
      <c r="H495" s="43"/>
      <c r="J495" s="23"/>
      <c r="S495" s="23"/>
    </row>
    <row r="496" spans="5:19" s="30" customFormat="1" ht="15.75" customHeight="1" x14ac:dyDescent="0.2">
      <c r="E496" s="42"/>
      <c r="H496" s="43"/>
      <c r="J496" s="23"/>
      <c r="S496" s="23"/>
    </row>
    <row r="497" spans="5:19" s="30" customFormat="1" ht="15.75" customHeight="1" x14ac:dyDescent="0.2">
      <c r="E497" s="42"/>
      <c r="H497" s="43"/>
      <c r="J497" s="23"/>
      <c r="S497" s="23"/>
    </row>
    <row r="498" spans="5:19" s="30" customFormat="1" ht="15.75" customHeight="1" x14ac:dyDescent="0.2">
      <c r="E498" s="42"/>
      <c r="H498" s="43"/>
      <c r="J498" s="23"/>
      <c r="S498" s="23"/>
    </row>
    <row r="499" spans="5:19" s="30" customFormat="1" ht="15.75" customHeight="1" x14ac:dyDescent="0.2">
      <c r="E499" s="42"/>
      <c r="H499" s="43"/>
      <c r="J499" s="23"/>
      <c r="S499" s="23"/>
    </row>
    <row r="500" spans="5:19" s="30" customFormat="1" ht="15.75" customHeight="1" x14ac:dyDescent="0.2">
      <c r="E500" s="42"/>
      <c r="H500" s="43"/>
      <c r="J500" s="23"/>
      <c r="S500" s="23"/>
    </row>
    <row r="501" spans="5:19" s="30" customFormat="1" ht="15.75" customHeight="1" x14ac:dyDescent="0.2">
      <c r="E501" s="42"/>
      <c r="H501" s="43"/>
      <c r="J501" s="23"/>
      <c r="S501" s="23"/>
    </row>
    <row r="502" spans="5:19" s="30" customFormat="1" ht="15.75" customHeight="1" x14ac:dyDescent="0.2">
      <c r="E502" s="42"/>
      <c r="H502" s="43"/>
      <c r="J502" s="23"/>
      <c r="S502" s="23"/>
    </row>
    <row r="503" spans="5:19" s="30" customFormat="1" ht="15.75" customHeight="1" x14ac:dyDescent="0.2">
      <c r="E503" s="42"/>
      <c r="H503" s="43"/>
      <c r="J503" s="23"/>
      <c r="S503" s="23"/>
    </row>
    <row r="504" spans="5:19" s="30" customFormat="1" ht="15.75" customHeight="1" x14ac:dyDescent="0.2">
      <c r="E504" s="42"/>
      <c r="H504" s="43"/>
      <c r="J504" s="23"/>
      <c r="S504" s="23"/>
    </row>
    <row r="505" spans="5:19" s="30" customFormat="1" ht="15.75" customHeight="1" x14ac:dyDescent="0.2">
      <c r="E505" s="42"/>
      <c r="H505" s="43"/>
      <c r="J505" s="23"/>
      <c r="S505" s="23"/>
    </row>
    <row r="506" spans="5:19" s="30" customFormat="1" ht="15.75" customHeight="1" x14ac:dyDescent="0.2">
      <c r="E506" s="42"/>
      <c r="H506" s="43"/>
      <c r="J506" s="23"/>
      <c r="S506" s="23"/>
    </row>
    <row r="507" spans="5:19" s="30" customFormat="1" ht="15.75" customHeight="1" x14ac:dyDescent="0.2">
      <c r="E507" s="42"/>
      <c r="H507" s="43"/>
      <c r="J507" s="23"/>
      <c r="S507" s="23"/>
    </row>
    <row r="508" spans="5:19" s="30" customFormat="1" ht="15.75" customHeight="1" x14ac:dyDescent="0.2">
      <c r="E508" s="42"/>
      <c r="H508" s="43"/>
      <c r="J508" s="23"/>
      <c r="S508" s="23"/>
    </row>
    <row r="509" spans="5:19" s="30" customFormat="1" ht="15.75" customHeight="1" x14ac:dyDescent="0.2">
      <c r="E509" s="42"/>
      <c r="H509" s="43"/>
      <c r="J509" s="23"/>
      <c r="S509" s="23"/>
    </row>
    <row r="510" spans="5:19" s="30" customFormat="1" ht="15.75" customHeight="1" x14ac:dyDescent="0.2">
      <c r="E510" s="42"/>
      <c r="H510" s="43"/>
      <c r="J510" s="23"/>
      <c r="S510" s="23"/>
    </row>
    <row r="511" spans="5:19" s="30" customFormat="1" ht="15.75" customHeight="1" x14ac:dyDescent="0.2">
      <c r="E511" s="42"/>
      <c r="H511" s="43"/>
      <c r="J511" s="23"/>
      <c r="S511" s="23"/>
    </row>
    <row r="512" spans="5:19" s="30" customFormat="1" ht="15.75" customHeight="1" x14ac:dyDescent="0.2">
      <c r="E512" s="42"/>
      <c r="H512" s="43"/>
      <c r="J512" s="23"/>
      <c r="S512" s="23"/>
    </row>
    <row r="513" spans="5:19" s="30" customFormat="1" ht="15.75" customHeight="1" x14ac:dyDescent="0.2">
      <c r="E513" s="42"/>
      <c r="H513" s="43"/>
      <c r="J513" s="23"/>
      <c r="S513" s="23"/>
    </row>
    <row r="514" spans="5:19" s="30" customFormat="1" ht="15.75" customHeight="1" x14ac:dyDescent="0.2">
      <c r="E514" s="42"/>
      <c r="H514" s="43"/>
      <c r="J514" s="23"/>
      <c r="S514" s="23"/>
    </row>
    <row r="515" spans="5:19" s="30" customFormat="1" ht="15.75" customHeight="1" x14ac:dyDescent="0.2">
      <c r="E515" s="42"/>
      <c r="H515" s="43"/>
      <c r="J515" s="23"/>
      <c r="S515" s="23"/>
    </row>
    <row r="516" spans="5:19" s="30" customFormat="1" ht="15.75" customHeight="1" x14ac:dyDescent="0.2">
      <c r="E516" s="42"/>
      <c r="H516" s="43"/>
      <c r="J516" s="23"/>
      <c r="S516" s="23"/>
    </row>
    <row r="517" spans="5:19" s="30" customFormat="1" ht="15.75" customHeight="1" x14ac:dyDescent="0.2">
      <c r="E517" s="42"/>
      <c r="H517" s="43"/>
      <c r="J517" s="23"/>
      <c r="S517" s="23"/>
    </row>
    <row r="518" spans="5:19" s="30" customFormat="1" ht="15.75" customHeight="1" x14ac:dyDescent="0.2">
      <c r="E518" s="42"/>
      <c r="H518" s="43"/>
      <c r="J518" s="23"/>
      <c r="S518" s="23"/>
    </row>
    <row r="519" spans="5:19" s="30" customFormat="1" ht="15.75" customHeight="1" x14ac:dyDescent="0.2">
      <c r="E519" s="42"/>
      <c r="H519" s="43"/>
      <c r="J519" s="23"/>
      <c r="S519" s="23"/>
    </row>
    <row r="520" spans="5:19" s="30" customFormat="1" ht="15.75" customHeight="1" x14ac:dyDescent="0.2">
      <c r="E520" s="42"/>
      <c r="H520" s="43"/>
      <c r="J520" s="23"/>
      <c r="S520" s="23"/>
    </row>
    <row r="521" spans="5:19" s="30" customFormat="1" ht="15.75" customHeight="1" x14ac:dyDescent="0.2">
      <c r="E521" s="42"/>
      <c r="H521" s="43"/>
      <c r="J521" s="23"/>
      <c r="S521" s="23"/>
    </row>
    <row r="522" spans="5:19" s="30" customFormat="1" ht="15.75" customHeight="1" x14ac:dyDescent="0.2">
      <c r="E522" s="42"/>
      <c r="H522" s="43"/>
      <c r="J522" s="23"/>
      <c r="S522" s="23"/>
    </row>
    <row r="523" spans="5:19" s="30" customFormat="1" ht="15.75" customHeight="1" x14ac:dyDescent="0.2">
      <c r="E523" s="42"/>
      <c r="H523" s="43"/>
      <c r="J523" s="23"/>
      <c r="S523" s="23"/>
    </row>
    <row r="524" spans="5:19" s="30" customFormat="1" ht="15.75" customHeight="1" x14ac:dyDescent="0.2">
      <c r="E524" s="42"/>
      <c r="H524" s="43"/>
      <c r="J524" s="23"/>
      <c r="S524" s="23"/>
    </row>
    <row r="525" spans="5:19" s="30" customFormat="1" ht="15.75" customHeight="1" x14ac:dyDescent="0.2">
      <c r="E525" s="42"/>
      <c r="H525" s="43"/>
      <c r="J525" s="23"/>
      <c r="S525" s="23"/>
    </row>
    <row r="526" spans="5:19" s="30" customFormat="1" ht="15.75" customHeight="1" x14ac:dyDescent="0.2">
      <c r="E526" s="42"/>
      <c r="H526" s="43"/>
      <c r="J526" s="23"/>
      <c r="S526" s="23"/>
    </row>
    <row r="527" spans="5:19" s="30" customFormat="1" ht="15.75" customHeight="1" x14ac:dyDescent="0.2">
      <c r="E527" s="42"/>
      <c r="H527" s="43"/>
      <c r="J527" s="23"/>
      <c r="S527" s="23"/>
    </row>
    <row r="528" spans="5:19" s="30" customFormat="1" ht="15.75" customHeight="1" x14ac:dyDescent="0.2">
      <c r="E528" s="42"/>
      <c r="H528" s="43"/>
      <c r="J528" s="23"/>
      <c r="S528" s="23"/>
    </row>
    <row r="529" spans="5:19" s="30" customFormat="1" ht="15.75" customHeight="1" x14ac:dyDescent="0.2">
      <c r="E529" s="42"/>
      <c r="H529" s="43"/>
      <c r="J529" s="23"/>
      <c r="S529" s="23"/>
    </row>
    <row r="530" spans="5:19" s="30" customFormat="1" ht="15.75" customHeight="1" x14ac:dyDescent="0.2">
      <c r="E530" s="42"/>
      <c r="H530" s="43"/>
      <c r="J530" s="23"/>
      <c r="S530" s="23"/>
    </row>
    <row r="531" spans="5:19" s="30" customFormat="1" ht="15.75" customHeight="1" x14ac:dyDescent="0.2">
      <c r="E531" s="42"/>
      <c r="H531" s="43"/>
      <c r="J531" s="23"/>
      <c r="S531" s="23"/>
    </row>
    <row r="532" spans="5:19" s="30" customFormat="1" ht="15.75" customHeight="1" x14ac:dyDescent="0.2">
      <c r="E532" s="42"/>
      <c r="H532" s="43"/>
      <c r="J532" s="23"/>
      <c r="S532" s="23"/>
    </row>
    <row r="533" spans="5:19" s="30" customFormat="1" ht="15.75" customHeight="1" x14ac:dyDescent="0.2">
      <c r="E533" s="42"/>
      <c r="H533" s="43"/>
      <c r="J533" s="23"/>
      <c r="S533" s="23"/>
    </row>
    <row r="534" spans="5:19" s="30" customFormat="1" ht="15.75" customHeight="1" x14ac:dyDescent="0.2">
      <c r="E534" s="42"/>
      <c r="H534" s="43"/>
      <c r="J534" s="23"/>
      <c r="S534" s="23"/>
    </row>
    <row r="535" spans="5:19" s="30" customFormat="1" ht="15.75" customHeight="1" x14ac:dyDescent="0.2">
      <c r="E535" s="42"/>
      <c r="H535" s="43"/>
      <c r="J535" s="23"/>
      <c r="S535" s="23"/>
    </row>
    <row r="536" spans="5:19" s="30" customFormat="1" ht="15.75" customHeight="1" x14ac:dyDescent="0.2">
      <c r="E536" s="42"/>
      <c r="H536" s="43"/>
      <c r="J536" s="23"/>
      <c r="S536" s="23"/>
    </row>
    <row r="537" spans="5:19" s="30" customFormat="1" ht="15.75" customHeight="1" x14ac:dyDescent="0.2">
      <c r="E537" s="42"/>
      <c r="H537" s="43"/>
      <c r="J537" s="23"/>
      <c r="S537" s="23"/>
    </row>
    <row r="538" spans="5:19" s="30" customFormat="1" ht="15.75" customHeight="1" x14ac:dyDescent="0.2">
      <c r="E538" s="42"/>
      <c r="H538" s="43"/>
      <c r="J538" s="23"/>
      <c r="S538" s="23"/>
    </row>
    <row r="539" spans="5:19" s="30" customFormat="1" ht="15.75" customHeight="1" x14ac:dyDescent="0.2">
      <c r="E539" s="42"/>
      <c r="H539" s="43"/>
      <c r="J539" s="23"/>
      <c r="S539" s="23"/>
    </row>
    <row r="540" spans="5:19" s="30" customFormat="1" ht="15.75" customHeight="1" x14ac:dyDescent="0.2">
      <c r="E540" s="42"/>
      <c r="H540" s="43"/>
      <c r="J540" s="23"/>
      <c r="S540" s="23"/>
    </row>
    <row r="541" spans="5:19" s="30" customFormat="1" ht="15.75" customHeight="1" x14ac:dyDescent="0.2">
      <c r="E541" s="42"/>
      <c r="H541" s="43"/>
      <c r="J541" s="23"/>
      <c r="S541" s="23"/>
    </row>
    <row r="542" spans="5:19" s="30" customFormat="1" ht="15.75" customHeight="1" x14ac:dyDescent="0.2">
      <c r="E542" s="42"/>
      <c r="H542" s="43"/>
      <c r="J542" s="23"/>
      <c r="S542" s="23"/>
    </row>
    <row r="543" spans="5:19" s="30" customFormat="1" ht="15.75" customHeight="1" x14ac:dyDescent="0.2">
      <c r="E543" s="42"/>
      <c r="H543" s="43"/>
      <c r="J543" s="23"/>
      <c r="S543" s="23"/>
    </row>
    <row r="544" spans="5:19" s="30" customFormat="1" ht="15.75" customHeight="1" x14ac:dyDescent="0.2">
      <c r="E544" s="42"/>
      <c r="H544" s="43"/>
      <c r="J544" s="23"/>
      <c r="S544" s="23"/>
    </row>
    <row r="545" spans="5:19" s="30" customFormat="1" ht="15.75" customHeight="1" x14ac:dyDescent="0.2">
      <c r="E545" s="42"/>
      <c r="H545" s="43"/>
      <c r="J545" s="23"/>
      <c r="S545" s="23"/>
    </row>
    <row r="546" spans="5:19" s="30" customFormat="1" ht="15.75" customHeight="1" x14ac:dyDescent="0.2">
      <c r="E546" s="42"/>
      <c r="H546" s="43"/>
      <c r="J546" s="23"/>
      <c r="S546" s="23"/>
    </row>
    <row r="547" spans="5:19" s="30" customFormat="1" ht="15.75" customHeight="1" x14ac:dyDescent="0.2">
      <c r="E547" s="42"/>
      <c r="H547" s="43"/>
      <c r="J547" s="23"/>
      <c r="S547" s="23"/>
    </row>
    <row r="548" spans="5:19" s="30" customFormat="1" ht="15.75" customHeight="1" x14ac:dyDescent="0.2">
      <c r="E548" s="42"/>
      <c r="H548" s="43"/>
      <c r="J548" s="23"/>
      <c r="S548" s="23"/>
    </row>
    <row r="549" spans="5:19" s="30" customFormat="1" ht="15.75" customHeight="1" x14ac:dyDescent="0.2">
      <c r="E549" s="42"/>
      <c r="H549" s="43"/>
      <c r="J549" s="23"/>
      <c r="S549" s="23"/>
    </row>
    <row r="550" spans="5:19" s="30" customFormat="1" ht="15.75" customHeight="1" x14ac:dyDescent="0.2">
      <c r="E550" s="42"/>
      <c r="H550" s="43"/>
      <c r="J550" s="23"/>
      <c r="S550" s="23"/>
    </row>
    <row r="551" spans="5:19" s="30" customFormat="1" ht="15.75" customHeight="1" x14ac:dyDescent="0.2">
      <c r="E551" s="42"/>
      <c r="H551" s="43"/>
      <c r="J551" s="23"/>
      <c r="S551" s="23"/>
    </row>
    <row r="552" spans="5:19" s="30" customFormat="1" ht="15.75" customHeight="1" x14ac:dyDescent="0.2">
      <c r="E552" s="42"/>
      <c r="H552" s="43"/>
      <c r="J552" s="23"/>
      <c r="S552" s="23"/>
    </row>
    <row r="553" spans="5:19" s="30" customFormat="1" ht="15.75" customHeight="1" x14ac:dyDescent="0.2">
      <c r="E553" s="42"/>
      <c r="H553" s="43"/>
      <c r="J553" s="23"/>
      <c r="S553" s="23"/>
    </row>
    <row r="554" spans="5:19" s="30" customFormat="1" ht="15.75" customHeight="1" x14ac:dyDescent="0.2">
      <c r="E554" s="42"/>
      <c r="H554" s="43"/>
      <c r="J554" s="23"/>
      <c r="S554" s="23"/>
    </row>
    <row r="555" spans="5:19" s="30" customFormat="1" ht="15.75" customHeight="1" x14ac:dyDescent="0.2">
      <c r="E555" s="42"/>
      <c r="H555" s="43"/>
      <c r="J555" s="23"/>
      <c r="S555" s="23"/>
    </row>
    <row r="556" spans="5:19" s="30" customFormat="1" ht="15.75" customHeight="1" x14ac:dyDescent="0.2">
      <c r="E556" s="42"/>
      <c r="H556" s="43"/>
      <c r="J556" s="23"/>
      <c r="S556" s="23"/>
    </row>
    <row r="557" spans="5:19" s="30" customFormat="1" ht="15.75" customHeight="1" x14ac:dyDescent="0.2">
      <c r="E557" s="42"/>
      <c r="H557" s="43"/>
      <c r="J557" s="23"/>
      <c r="S557" s="23"/>
    </row>
    <row r="558" spans="5:19" s="30" customFormat="1" ht="15.75" customHeight="1" x14ac:dyDescent="0.2">
      <c r="E558" s="42"/>
      <c r="H558" s="43"/>
      <c r="J558" s="23"/>
      <c r="S558" s="23"/>
    </row>
    <row r="559" spans="5:19" s="30" customFormat="1" ht="15.75" customHeight="1" x14ac:dyDescent="0.2">
      <c r="E559" s="42"/>
      <c r="H559" s="43"/>
      <c r="J559" s="23"/>
      <c r="S559" s="23"/>
    </row>
    <row r="560" spans="5:19" s="30" customFormat="1" ht="15.75" customHeight="1" x14ac:dyDescent="0.2">
      <c r="E560" s="42"/>
      <c r="H560" s="43"/>
      <c r="J560" s="23"/>
      <c r="S560" s="23"/>
    </row>
    <row r="561" spans="5:19" s="30" customFormat="1" ht="15.75" customHeight="1" x14ac:dyDescent="0.2">
      <c r="E561" s="42"/>
      <c r="H561" s="43"/>
      <c r="J561" s="23"/>
      <c r="S561" s="23"/>
    </row>
    <row r="562" spans="5:19" s="30" customFormat="1" ht="15.75" customHeight="1" x14ac:dyDescent="0.2">
      <c r="E562" s="42"/>
      <c r="H562" s="43"/>
      <c r="J562" s="23"/>
      <c r="S562" s="23"/>
    </row>
    <row r="563" spans="5:19" s="30" customFormat="1" ht="15.75" customHeight="1" x14ac:dyDescent="0.2">
      <c r="E563" s="42"/>
      <c r="H563" s="43"/>
      <c r="J563" s="23"/>
      <c r="S563" s="23"/>
    </row>
    <row r="564" spans="5:19" s="30" customFormat="1" ht="15.75" customHeight="1" x14ac:dyDescent="0.2">
      <c r="E564" s="42"/>
      <c r="H564" s="43"/>
      <c r="J564" s="23"/>
      <c r="S564" s="23"/>
    </row>
    <row r="565" spans="5:19" s="30" customFormat="1" ht="15.75" customHeight="1" x14ac:dyDescent="0.2">
      <c r="E565" s="42"/>
      <c r="H565" s="43"/>
      <c r="J565" s="23"/>
      <c r="S565" s="23"/>
    </row>
    <row r="566" spans="5:19" s="30" customFormat="1" ht="15.75" customHeight="1" x14ac:dyDescent="0.2">
      <c r="E566" s="42"/>
      <c r="H566" s="43"/>
      <c r="J566" s="23"/>
      <c r="S566" s="23"/>
    </row>
    <row r="567" spans="5:19" s="30" customFormat="1" ht="15.75" customHeight="1" x14ac:dyDescent="0.2">
      <c r="E567" s="42"/>
      <c r="H567" s="43"/>
      <c r="J567" s="23"/>
      <c r="S567" s="23"/>
    </row>
    <row r="568" spans="5:19" s="30" customFormat="1" ht="15.75" customHeight="1" x14ac:dyDescent="0.2">
      <c r="E568" s="42"/>
      <c r="H568" s="43"/>
      <c r="J568" s="23"/>
      <c r="S568" s="23"/>
    </row>
    <row r="569" spans="5:19" s="30" customFormat="1" ht="15.75" customHeight="1" x14ac:dyDescent="0.2">
      <c r="E569" s="42"/>
      <c r="H569" s="43"/>
      <c r="J569" s="23"/>
      <c r="S569" s="23"/>
    </row>
    <row r="570" spans="5:19" s="30" customFormat="1" ht="15.75" customHeight="1" x14ac:dyDescent="0.2">
      <c r="E570" s="42"/>
      <c r="H570" s="43"/>
      <c r="J570" s="23"/>
      <c r="S570" s="23"/>
    </row>
    <row r="571" spans="5:19" s="30" customFormat="1" ht="15.75" customHeight="1" x14ac:dyDescent="0.2">
      <c r="E571" s="42"/>
      <c r="H571" s="43"/>
      <c r="J571" s="23"/>
      <c r="S571" s="23"/>
    </row>
    <row r="572" spans="5:19" s="30" customFormat="1" ht="15.75" customHeight="1" x14ac:dyDescent="0.2">
      <c r="E572" s="42"/>
      <c r="H572" s="43"/>
      <c r="J572" s="23"/>
      <c r="S572" s="23"/>
    </row>
    <row r="573" spans="5:19" s="30" customFormat="1" ht="15.75" customHeight="1" x14ac:dyDescent="0.2">
      <c r="E573" s="42"/>
      <c r="H573" s="43"/>
      <c r="J573" s="23"/>
      <c r="S573" s="23"/>
    </row>
    <row r="574" spans="5:19" s="30" customFormat="1" ht="15.75" customHeight="1" x14ac:dyDescent="0.2">
      <c r="E574" s="42"/>
      <c r="H574" s="43"/>
      <c r="J574" s="23"/>
      <c r="S574" s="23"/>
    </row>
    <row r="575" spans="5:19" s="30" customFormat="1" ht="15.75" customHeight="1" x14ac:dyDescent="0.2">
      <c r="E575" s="42"/>
      <c r="H575" s="43"/>
      <c r="J575" s="23"/>
      <c r="S575" s="23"/>
    </row>
    <row r="576" spans="5:19" s="30" customFormat="1" ht="15.75" customHeight="1" x14ac:dyDescent="0.2">
      <c r="E576" s="42"/>
      <c r="H576" s="43"/>
      <c r="J576" s="23"/>
      <c r="S576" s="23"/>
    </row>
    <row r="577" spans="5:19" s="30" customFormat="1" ht="15.75" customHeight="1" x14ac:dyDescent="0.2">
      <c r="E577" s="42"/>
      <c r="H577" s="43"/>
      <c r="J577" s="23"/>
      <c r="S577" s="23"/>
    </row>
    <row r="578" spans="5:19" s="30" customFormat="1" ht="15.75" customHeight="1" x14ac:dyDescent="0.2">
      <c r="E578" s="42"/>
      <c r="H578" s="43"/>
      <c r="J578" s="23"/>
      <c r="S578" s="23"/>
    </row>
    <row r="579" spans="5:19" s="30" customFormat="1" ht="15.75" customHeight="1" x14ac:dyDescent="0.2">
      <c r="E579" s="42"/>
      <c r="H579" s="43"/>
      <c r="J579" s="23"/>
      <c r="S579" s="23"/>
    </row>
    <row r="580" spans="5:19" s="30" customFormat="1" ht="15.75" customHeight="1" x14ac:dyDescent="0.2">
      <c r="E580" s="42"/>
      <c r="H580" s="43"/>
      <c r="J580" s="23"/>
      <c r="S580" s="23"/>
    </row>
    <row r="581" spans="5:19" s="30" customFormat="1" ht="15.75" customHeight="1" x14ac:dyDescent="0.2">
      <c r="E581" s="42"/>
      <c r="H581" s="43"/>
      <c r="J581" s="23"/>
      <c r="S581" s="23"/>
    </row>
    <row r="582" spans="5:19" s="30" customFormat="1" ht="15.75" customHeight="1" x14ac:dyDescent="0.2">
      <c r="E582" s="42"/>
      <c r="H582" s="43"/>
      <c r="J582" s="23"/>
      <c r="S582" s="23"/>
    </row>
    <row r="583" spans="5:19" s="30" customFormat="1" ht="15.75" customHeight="1" x14ac:dyDescent="0.2">
      <c r="E583" s="42"/>
      <c r="H583" s="43"/>
      <c r="J583" s="23"/>
      <c r="S583" s="23"/>
    </row>
    <row r="584" spans="5:19" s="30" customFormat="1" ht="15.75" customHeight="1" x14ac:dyDescent="0.2">
      <c r="E584" s="42"/>
      <c r="H584" s="43"/>
      <c r="J584" s="23"/>
      <c r="S584" s="23"/>
    </row>
    <row r="585" spans="5:19" s="30" customFormat="1" ht="15.75" customHeight="1" x14ac:dyDescent="0.2">
      <c r="E585" s="42"/>
      <c r="H585" s="43"/>
      <c r="J585" s="23"/>
      <c r="S585" s="23"/>
    </row>
    <row r="586" spans="5:19" s="30" customFormat="1" ht="15.75" customHeight="1" x14ac:dyDescent="0.2">
      <c r="E586" s="42"/>
      <c r="H586" s="43"/>
      <c r="J586" s="23"/>
      <c r="S586" s="23"/>
    </row>
    <row r="587" spans="5:19" s="30" customFormat="1" ht="15.75" customHeight="1" x14ac:dyDescent="0.2">
      <c r="E587" s="42"/>
      <c r="H587" s="43"/>
      <c r="J587" s="23"/>
      <c r="S587" s="23"/>
    </row>
    <row r="588" spans="5:19" s="30" customFormat="1" ht="15.75" customHeight="1" x14ac:dyDescent="0.2">
      <c r="E588" s="42"/>
      <c r="H588" s="43"/>
      <c r="J588" s="23"/>
      <c r="S588" s="23"/>
    </row>
    <row r="589" spans="5:19" s="30" customFormat="1" ht="15.75" customHeight="1" x14ac:dyDescent="0.2">
      <c r="E589" s="42"/>
      <c r="H589" s="43"/>
      <c r="J589" s="23"/>
      <c r="S589" s="23"/>
    </row>
    <row r="590" spans="5:19" s="30" customFormat="1" ht="15.75" customHeight="1" x14ac:dyDescent="0.2">
      <c r="E590" s="42"/>
      <c r="H590" s="43"/>
      <c r="J590" s="23"/>
      <c r="S590" s="23"/>
    </row>
    <row r="591" spans="5:19" s="30" customFormat="1" ht="15.75" customHeight="1" x14ac:dyDescent="0.2">
      <c r="E591" s="42"/>
      <c r="H591" s="43"/>
      <c r="J591" s="23"/>
      <c r="S591" s="23"/>
    </row>
    <row r="592" spans="5:19" s="30" customFormat="1" ht="15.75" customHeight="1" x14ac:dyDescent="0.2">
      <c r="E592" s="42"/>
      <c r="H592" s="43"/>
      <c r="J592" s="23"/>
      <c r="S592" s="23"/>
    </row>
    <row r="593" spans="5:19" s="30" customFormat="1" ht="15.75" customHeight="1" x14ac:dyDescent="0.2">
      <c r="E593" s="42"/>
      <c r="H593" s="43"/>
      <c r="J593" s="23"/>
      <c r="S593" s="23"/>
    </row>
    <row r="594" spans="5:19" s="30" customFormat="1" ht="15.75" customHeight="1" x14ac:dyDescent="0.2">
      <c r="E594" s="42"/>
      <c r="H594" s="43"/>
      <c r="J594" s="23"/>
      <c r="S594" s="23"/>
    </row>
    <row r="595" spans="5:19" s="30" customFormat="1" ht="15.75" customHeight="1" x14ac:dyDescent="0.2">
      <c r="E595" s="42"/>
      <c r="H595" s="43"/>
      <c r="J595" s="23"/>
      <c r="S595" s="23"/>
    </row>
    <row r="596" spans="5:19" s="30" customFormat="1" ht="15.75" customHeight="1" x14ac:dyDescent="0.2">
      <c r="E596" s="42"/>
      <c r="H596" s="43"/>
      <c r="J596" s="23"/>
      <c r="S596" s="23"/>
    </row>
    <row r="597" spans="5:19" s="30" customFormat="1" ht="15.75" customHeight="1" x14ac:dyDescent="0.2">
      <c r="E597" s="42"/>
      <c r="H597" s="43"/>
      <c r="J597" s="23"/>
      <c r="S597" s="23"/>
    </row>
    <row r="598" spans="5:19" s="30" customFormat="1" ht="15.75" customHeight="1" x14ac:dyDescent="0.2">
      <c r="E598" s="42"/>
      <c r="H598" s="43"/>
      <c r="J598" s="23"/>
      <c r="S598" s="23"/>
    </row>
    <row r="599" spans="5:19" s="30" customFormat="1" ht="15.75" customHeight="1" x14ac:dyDescent="0.2">
      <c r="E599" s="42"/>
      <c r="H599" s="43"/>
      <c r="J599" s="23"/>
      <c r="S599" s="23"/>
    </row>
    <row r="600" spans="5:19" s="30" customFormat="1" ht="15.75" customHeight="1" x14ac:dyDescent="0.2">
      <c r="E600" s="42"/>
      <c r="H600" s="43"/>
      <c r="J600" s="23"/>
      <c r="S600" s="23"/>
    </row>
    <row r="601" spans="5:19" s="30" customFormat="1" ht="15.75" customHeight="1" x14ac:dyDescent="0.2">
      <c r="E601" s="42"/>
      <c r="H601" s="43"/>
      <c r="J601" s="23"/>
      <c r="S601" s="23"/>
    </row>
    <row r="602" spans="5:19" s="30" customFormat="1" ht="15.75" customHeight="1" x14ac:dyDescent="0.2">
      <c r="E602" s="42"/>
      <c r="H602" s="43"/>
      <c r="J602" s="23"/>
      <c r="S602" s="23"/>
    </row>
    <row r="603" spans="5:19" s="30" customFormat="1" ht="15.75" customHeight="1" x14ac:dyDescent="0.2">
      <c r="E603" s="42"/>
      <c r="H603" s="43"/>
      <c r="J603" s="23"/>
      <c r="S603" s="23"/>
    </row>
    <row r="604" spans="5:19" s="30" customFormat="1" ht="15.75" customHeight="1" x14ac:dyDescent="0.2">
      <c r="E604" s="42"/>
      <c r="H604" s="43"/>
      <c r="J604" s="23"/>
      <c r="S604" s="23"/>
    </row>
    <row r="605" spans="5:19" s="30" customFormat="1" ht="15.75" customHeight="1" x14ac:dyDescent="0.2">
      <c r="E605" s="42"/>
      <c r="H605" s="43"/>
      <c r="J605" s="23"/>
      <c r="S605" s="23"/>
    </row>
    <row r="606" spans="5:19" s="30" customFormat="1" ht="15.75" customHeight="1" x14ac:dyDescent="0.2">
      <c r="E606" s="42"/>
      <c r="H606" s="43"/>
      <c r="J606" s="23"/>
      <c r="S606" s="23"/>
    </row>
    <row r="607" spans="5:19" s="30" customFormat="1" ht="15.75" customHeight="1" x14ac:dyDescent="0.2">
      <c r="E607" s="42"/>
      <c r="H607" s="43"/>
      <c r="J607" s="23"/>
      <c r="S607" s="23"/>
    </row>
    <row r="608" spans="5:19" s="30" customFormat="1" ht="15.75" customHeight="1" x14ac:dyDescent="0.2">
      <c r="E608" s="42"/>
      <c r="H608" s="43"/>
      <c r="J608" s="23"/>
      <c r="S608" s="23"/>
    </row>
    <row r="609" spans="5:19" s="30" customFormat="1" ht="15.75" customHeight="1" x14ac:dyDescent="0.2">
      <c r="E609" s="42"/>
      <c r="H609" s="43"/>
      <c r="J609" s="23"/>
      <c r="S609" s="23"/>
    </row>
    <row r="610" spans="5:19" s="30" customFormat="1" ht="15.75" customHeight="1" x14ac:dyDescent="0.2">
      <c r="E610" s="42"/>
      <c r="H610" s="43"/>
      <c r="J610" s="23"/>
      <c r="S610" s="23"/>
    </row>
    <row r="611" spans="5:19" s="30" customFormat="1" ht="15.75" customHeight="1" x14ac:dyDescent="0.2">
      <c r="E611" s="42"/>
      <c r="H611" s="43"/>
      <c r="J611" s="23"/>
      <c r="S611" s="23"/>
    </row>
    <row r="612" spans="5:19" s="30" customFormat="1" ht="15.75" customHeight="1" x14ac:dyDescent="0.2">
      <c r="E612" s="42"/>
      <c r="H612" s="43"/>
      <c r="J612" s="23"/>
      <c r="S612" s="23"/>
    </row>
    <row r="613" spans="5:19" s="30" customFormat="1" ht="15.75" customHeight="1" x14ac:dyDescent="0.2">
      <c r="E613" s="42"/>
      <c r="H613" s="43"/>
      <c r="J613" s="23"/>
      <c r="S613" s="23"/>
    </row>
    <row r="614" spans="5:19" s="30" customFormat="1" ht="15.75" customHeight="1" x14ac:dyDescent="0.2">
      <c r="E614" s="42"/>
      <c r="H614" s="43"/>
      <c r="J614" s="23"/>
      <c r="S614" s="23"/>
    </row>
    <row r="615" spans="5:19" s="30" customFormat="1" ht="15.75" customHeight="1" x14ac:dyDescent="0.2">
      <c r="E615" s="42"/>
      <c r="H615" s="43"/>
      <c r="J615" s="23"/>
      <c r="S615" s="23"/>
    </row>
    <row r="616" spans="5:19" s="30" customFormat="1" ht="15.75" customHeight="1" x14ac:dyDescent="0.2">
      <c r="E616" s="42"/>
      <c r="H616" s="43"/>
      <c r="J616" s="23"/>
      <c r="S616" s="23"/>
    </row>
    <row r="617" spans="5:19" s="30" customFormat="1" ht="15.75" customHeight="1" x14ac:dyDescent="0.2">
      <c r="E617" s="42"/>
      <c r="H617" s="43"/>
      <c r="J617" s="23"/>
      <c r="S617" s="23"/>
    </row>
    <row r="618" spans="5:19" s="30" customFormat="1" ht="15.75" customHeight="1" x14ac:dyDescent="0.2">
      <c r="E618" s="42"/>
      <c r="H618" s="43"/>
      <c r="J618" s="23"/>
      <c r="S618" s="23"/>
    </row>
    <row r="619" spans="5:19" s="30" customFormat="1" ht="15.75" customHeight="1" x14ac:dyDescent="0.2">
      <c r="E619" s="42"/>
      <c r="H619" s="43"/>
      <c r="J619" s="23"/>
      <c r="S619" s="23"/>
    </row>
    <row r="620" spans="5:19" s="30" customFormat="1" ht="15.75" customHeight="1" x14ac:dyDescent="0.2">
      <c r="E620" s="42"/>
      <c r="H620" s="43"/>
      <c r="J620" s="23"/>
      <c r="S620" s="23"/>
    </row>
    <row r="621" spans="5:19" s="30" customFormat="1" ht="15.75" customHeight="1" x14ac:dyDescent="0.2">
      <c r="E621" s="42"/>
      <c r="H621" s="43"/>
      <c r="J621" s="23"/>
      <c r="S621" s="23"/>
    </row>
    <row r="622" spans="5:19" s="30" customFormat="1" ht="15.75" customHeight="1" x14ac:dyDescent="0.2">
      <c r="E622" s="42"/>
      <c r="H622" s="43"/>
      <c r="J622" s="23"/>
      <c r="S622" s="23"/>
    </row>
    <row r="623" spans="5:19" s="30" customFormat="1" ht="15.75" customHeight="1" x14ac:dyDescent="0.2">
      <c r="E623" s="42"/>
      <c r="H623" s="43"/>
      <c r="J623" s="23"/>
      <c r="S623" s="23"/>
    </row>
    <row r="624" spans="5:19" s="30" customFormat="1" ht="15.75" customHeight="1" x14ac:dyDescent="0.2">
      <c r="E624" s="42"/>
      <c r="H624" s="43"/>
      <c r="J624" s="23"/>
      <c r="S624" s="23"/>
    </row>
    <row r="625" spans="5:19" s="30" customFormat="1" ht="15.75" customHeight="1" x14ac:dyDescent="0.2">
      <c r="E625" s="42"/>
      <c r="H625" s="43"/>
      <c r="J625" s="23"/>
      <c r="S625" s="23"/>
    </row>
    <row r="626" spans="5:19" s="30" customFormat="1" ht="15.75" customHeight="1" x14ac:dyDescent="0.2">
      <c r="E626" s="42"/>
      <c r="H626" s="43"/>
      <c r="J626" s="23"/>
      <c r="S626" s="23"/>
    </row>
    <row r="627" spans="5:19" s="30" customFormat="1" ht="15.75" customHeight="1" x14ac:dyDescent="0.2">
      <c r="E627" s="42"/>
      <c r="H627" s="43"/>
      <c r="J627" s="23"/>
      <c r="S627" s="23"/>
    </row>
    <row r="628" spans="5:19" s="30" customFormat="1" ht="15.75" customHeight="1" x14ac:dyDescent="0.2">
      <c r="E628" s="42"/>
      <c r="H628" s="43"/>
      <c r="J628" s="23"/>
      <c r="S628" s="23"/>
    </row>
    <row r="629" spans="5:19" s="30" customFormat="1" ht="15.75" customHeight="1" x14ac:dyDescent="0.2">
      <c r="E629" s="42"/>
      <c r="H629" s="43"/>
      <c r="J629" s="23"/>
      <c r="S629" s="23"/>
    </row>
    <row r="630" spans="5:19" s="30" customFormat="1" ht="15.75" customHeight="1" x14ac:dyDescent="0.2">
      <c r="E630" s="42"/>
      <c r="H630" s="43"/>
      <c r="J630" s="23"/>
      <c r="S630" s="23"/>
    </row>
    <row r="631" spans="5:19" s="30" customFormat="1" ht="15.75" customHeight="1" x14ac:dyDescent="0.2">
      <c r="E631" s="42"/>
      <c r="H631" s="43"/>
      <c r="J631" s="23"/>
      <c r="S631" s="23"/>
    </row>
    <row r="632" spans="5:19" s="30" customFormat="1" ht="15.75" customHeight="1" x14ac:dyDescent="0.2">
      <c r="E632" s="42"/>
      <c r="H632" s="43"/>
      <c r="J632" s="23"/>
      <c r="S632" s="23"/>
    </row>
    <row r="633" spans="5:19" s="30" customFormat="1" ht="15.75" customHeight="1" x14ac:dyDescent="0.2">
      <c r="E633" s="42"/>
      <c r="H633" s="43"/>
      <c r="J633" s="23"/>
      <c r="S633" s="23"/>
    </row>
    <row r="634" spans="5:19" s="30" customFormat="1" ht="15.75" customHeight="1" x14ac:dyDescent="0.2">
      <c r="E634" s="42"/>
      <c r="H634" s="43"/>
      <c r="J634" s="23"/>
      <c r="S634" s="23"/>
    </row>
    <row r="635" spans="5:19" s="30" customFormat="1" ht="15.75" customHeight="1" x14ac:dyDescent="0.2">
      <c r="E635" s="42"/>
      <c r="H635" s="43"/>
      <c r="J635" s="23"/>
      <c r="S635" s="23"/>
    </row>
    <row r="636" spans="5:19" s="30" customFormat="1" ht="15.75" customHeight="1" x14ac:dyDescent="0.2">
      <c r="E636" s="42"/>
      <c r="H636" s="43"/>
      <c r="J636" s="23"/>
      <c r="S636" s="23"/>
    </row>
    <row r="637" spans="5:19" s="30" customFormat="1" ht="15.75" customHeight="1" x14ac:dyDescent="0.2">
      <c r="E637" s="42"/>
      <c r="H637" s="43"/>
      <c r="J637" s="23"/>
      <c r="S637" s="23"/>
    </row>
    <row r="638" spans="5:19" s="30" customFormat="1" ht="15.75" customHeight="1" x14ac:dyDescent="0.2">
      <c r="E638" s="42"/>
      <c r="H638" s="43"/>
      <c r="J638" s="23"/>
      <c r="S638" s="23"/>
    </row>
    <row r="639" spans="5:19" s="30" customFormat="1" ht="15.75" customHeight="1" x14ac:dyDescent="0.2">
      <c r="E639" s="42"/>
      <c r="H639" s="43"/>
      <c r="J639" s="23"/>
      <c r="S639" s="23"/>
    </row>
    <row r="640" spans="5:19" s="30" customFormat="1" ht="15.75" customHeight="1" x14ac:dyDescent="0.2">
      <c r="E640" s="42"/>
      <c r="H640" s="43"/>
      <c r="J640" s="23"/>
      <c r="S640" s="23"/>
    </row>
    <row r="641" spans="5:19" s="30" customFormat="1" ht="15.75" customHeight="1" x14ac:dyDescent="0.2">
      <c r="E641" s="42"/>
      <c r="H641" s="43"/>
      <c r="J641" s="23"/>
      <c r="S641" s="23"/>
    </row>
    <row r="642" spans="5:19" s="30" customFormat="1" ht="15.75" customHeight="1" x14ac:dyDescent="0.2">
      <c r="E642" s="42"/>
      <c r="H642" s="43"/>
      <c r="J642" s="23"/>
      <c r="S642" s="23"/>
    </row>
    <row r="643" spans="5:19" s="30" customFormat="1" ht="15.75" customHeight="1" x14ac:dyDescent="0.2">
      <c r="E643" s="42"/>
      <c r="H643" s="43"/>
      <c r="J643" s="23"/>
      <c r="S643" s="23"/>
    </row>
    <row r="644" spans="5:19" s="30" customFormat="1" ht="15.75" customHeight="1" x14ac:dyDescent="0.2">
      <c r="E644" s="42"/>
      <c r="H644" s="43"/>
      <c r="J644" s="23"/>
      <c r="S644" s="23"/>
    </row>
    <row r="645" spans="5:19" s="30" customFormat="1" ht="15.75" customHeight="1" x14ac:dyDescent="0.2">
      <c r="E645" s="42"/>
      <c r="H645" s="43"/>
      <c r="J645" s="23"/>
      <c r="S645" s="23"/>
    </row>
    <row r="646" spans="5:19" s="30" customFormat="1" ht="15.75" customHeight="1" x14ac:dyDescent="0.2">
      <c r="E646" s="42"/>
      <c r="H646" s="43"/>
      <c r="J646" s="23"/>
      <c r="S646" s="23"/>
    </row>
    <row r="647" spans="5:19" s="30" customFormat="1" ht="15.75" customHeight="1" x14ac:dyDescent="0.2">
      <c r="E647" s="42"/>
      <c r="H647" s="43"/>
      <c r="J647" s="23"/>
      <c r="S647" s="23"/>
    </row>
    <row r="648" spans="5:19" s="30" customFormat="1" ht="15.75" customHeight="1" x14ac:dyDescent="0.2">
      <c r="E648" s="42"/>
      <c r="H648" s="43"/>
      <c r="J648" s="23"/>
      <c r="S648" s="23"/>
    </row>
    <row r="649" spans="5:19" s="30" customFormat="1" ht="15.75" customHeight="1" x14ac:dyDescent="0.2">
      <c r="E649" s="42"/>
      <c r="H649" s="43"/>
      <c r="J649" s="23"/>
      <c r="S649" s="23"/>
    </row>
    <row r="650" spans="5:19" s="30" customFormat="1" ht="15.75" customHeight="1" x14ac:dyDescent="0.2">
      <c r="E650" s="42"/>
      <c r="H650" s="43"/>
      <c r="J650" s="23"/>
      <c r="S650" s="23"/>
    </row>
    <row r="651" spans="5:19" s="30" customFormat="1" ht="15.75" customHeight="1" x14ac:dyDescent="0.2">
      <c r="E651" s="42"/>
      <c r="H651" s="43"/>
      <c r="J651" s="23"/>
      <c r="S651" s="23"/>
    </row>
    <row r="652" spans="5:19" s="30" customFormat="1" ht="15.75" customHeight="1" x14ac:dyDescent="0.2">
      <c r="E652" s="42"/>
      <c r="H652" s="43"/>
      <c r="J652" s="23"/>
      <c r="S652" s="23"/>
    </row>
    <row r="653" spans="5:19" s="30" customFormat="1" ht="15.75" customHeight="1" x14ac:dyDescent="0.2">
      <c r="E653" s="42"/>
      <c r="H653" s="43"/>
      <c r="J653" s="23"/>
      <c r="S653" s="23"/>
    </row>
    <row r="654" spans="5:19" s="30" customFormat="1" ht="15.75" customHeight="1" x14ac:dyDescent="0.2">
      <c r="E654" s="42"/>
      <c r="H654" s="43"/>
      <c r="J654" s="23"/>
      <c r="S654" s="23"/>
    </row>
    <row r="655" spans="5:19" s="30" customFormat="1" ht="15.75" customHeight="1" x14ac:dyDescent="0.2">
      <c r="E655" s="42"/>
      <c r="H655" s="43"/>
      <c r="J655" s="23"/>
      <c r="S655" s="23"/>
    </row>
    <row r="656" spans="5:19" s="30" customFormat="1" ht="15.75" customHeight="1" x14ac:dyDescent="0.2">
      <c r="E656" s="42"/>
      <c r="H656" s="43"/>
      <c r="J656" s="23"/>
      <c r="S656" s="23"/>
    </row>
    <row r="657" spans="5:19" s="30" customFormat="1" ht="15.75" customHeight="1" x14ac:dyDescent="0.2">
      <c r="E657" s="42"/>
      <c r="H657" s="43"/>
      <c r="J657" s="23"/>
      <c r="S657" s="23"/>
    </row>
    <row r="658" spans="5:19" s="30" customFormat="1" ht="15.75" customHeight="1" x14ac:dyDescent="0.2">
      <c r="E658" s="42"/>
      <c r="H658" s="43"/>
      <c r="J658" s="23"/>
      <c r="S658" s="23"/>
    </row>
    <row r="659" spans="5:19" s="30" customFormat="1" ht="15.75" customHeight="1" x14ac:dyDescent="0.2">
      <c r="E659" s="42"/>
      <c r="H659" s="43"/>
      <c r="J659" s="23"/>
      <c r="S659" s="23"/>
    </row>
    <row r="660" spans="5:19" s="30" customFormat="1" ht="15.75" customHeight="1" x14ac:dyDescent="0.2">
      <c r="E660" s="42"/>
      <c r="H660" s="43"/>
      <c r="J660" s="23"/>
      <c r="S660" s="23"/>
    </row>
    <row r="661" spans="5:19" s="30" customFormat="1" ht="15.75" customHeight="1" x14ac:dyDescent="0.2">
      <c r="E661" s="42"/>
      <c r="H661" s="43"/>
      <c r="J661" s="23"/>
      <c r="S661" s="23"/>
    </row>
    <row r="662" spans="5:19" s="30" customFormat="1" ht="15.75" customHeight="1" x14ac:dyDescent="0.2">
      <c r="E662" s="42"/>
      <c r="H662" s="43"/>
      <c r="J662" s="23"/>
      <c r="S662" s="23"/>
    </row>
    <row r="663" spans="5:19" s="30" customFormat="1" ht="15.75" customHeight="1" x14ac:dyDescent="0.2">
      <c r="E663" s="42"/>
      <c r="H663" s="43"/>
      <c r="J663" s="23"/>
      <c r="S663" s="23"/>
    </row>
    <row r="664" spans="5:19" s="30" customFormat="1" ht="15.75" customHeight="1" x14ac:dyDescent="0.2">
      <c r="E664" s="42"/>
      <c r="H664" s="43"/>
      <c r="J664" s="23"/>
      <c r="S664" s="23"/>
    </row>
    <row r="665" spans="5:19" s="30" customFormat="1" ht="15.75" customHeight="1" x14ac:dyDescent="0.2">
      <c r="E665" s="42"/>
      <c r="H665" s="43"/>
      <c r="J665" s="23"/>
      <c r="S665" s="23"/>
    </row>
    <row r="666" spans="5:19" s="30" customFormat="1" ht="15.75" customHeight="1" x14ac:dyDescent="0.2">
      <c r="E666" s="42"/>
      <c r="H666" s="43"/>
      <c r="J666" s="23"/>
      <c r="S666" s="23"/>
    </row>
    <row r="667" spans="5:19" s="30" customFormat="1" ht="15.75" customHeight="1" x14ac:dyDescent="0.2">
      <c r="E667" s="42"/>
      <c r="H667" s="43"/>
      <c r="J667" s="23"/>
      <c r="S667" s="23"/>
    </row>
    <row r="668" spans="5:19" s="30" customFormat="1" ht="15.75" customHeight="1" x14ac:dyDescent="0.2">
      <c r="E668" s="42"/>
      <c r="H668" s="43"/>
      <c r="J668" s="23"/>
      <c r="S668" s="23"/>
    </row>
    <row r="669" spans="5:19" s="30" customFormat="1" ht="15.75" customHeight="1" x14ac:dyDescent="0.2">
      <c r="E669" s="42"/>
      <c r="H669" s="43"/>
      <c r="J669" s="23"/>
      <c r="S669" s="23"/>
    </row>
    <row r="670" spans="5:19" s="30" customFormat="1" ht="15.75" customHeight="1" x14ac:dyDescent="0.2">
      <c r="E670" s="42"/>
      <c r="H670" s="43"/>
      <c r="J670" s="23"/>
      <c r="S670" s="23"/>
    </row>
    <row r="671" spans="5:19" s="30" customFormat="1" ht="15.75" customHeight="1" x14ac:dyDescent="0.2">
      <c r="E671" s="42"/>
      <c r="H671" s="43"/>
      <c r="J671" s="23"/>
      <c r="S671" s="23"/>
    </row>
    <row r="672" spans="5:19" s="30" customFormat="1" ht="15.75" customHeight="1" x14ac:dyDescent="0.2">
      <c r="E672" s="42"/>
      <c r="H672" s="43"/>
      <c r="J672" s="23"/>
      <c r="S672" s="23"/>
    </row>
    <row r="673" spans="5:19" s="30" customFormat="1" ht="15.75" customHeight="1" x14ac:dyDescent="0.2">
      <c r="E673" s="42"/>
      <c r="H673" s="43"/>
      <c r="J673" s="23"/>
      <c r="S673" s="23"/>
    </row>
    <row r="674" spans="5:19" s="30" customFormat="1" ht="15.75" customHeight="1" x14ac:dyDescent="0.2">
      <c r="E674" s="42"/>
      <c r="H674" s="43"/>
      <c r="J674" s="23"/>
      <c r="S674" s="23"/>
    </row>
    <row r="675" spans="5:19" s="30" customFormat="1" ht="15.75" customHeight="1" x14ac:dyDescent="0.2">
      <c r="E675" s="42"/>
      <c r="H675" s="43"/>
      <c r="J675" s="23"/>
      <c r="S675" s="23"/>
    </row>
    <row r="676" spans="5:19" s="30" customFormat="1" ht="15.75" customHeight="1" x14ac:dyDescent="0.2">
      <c r="E676" s="42"/>
      <c r="H676" s="43"/>
      <c r="J676" s="23"/>
      <c r="S676" s="23"/>
    </row>
    <row r="677" spans="5:19" s="30" customFormat="1" ht="15.75" customHeight="1" x14ac:dyDescent="0.2">
      <c r="E677" s="42"/>
      <c r="H677" s="43"/>
      <c r="J677" s="23"/>
      <c r="S677" s="23"/>
    </row>
    <row r="678" spans="5:19" s="30" customFormat="1" ht="15.75" customHeight="1" x14ac:dyDescent="0.2">
      <c r="E678" s="42"/>
      <c r="H678" s="43"/>
      <c r="J678" s="23"/>
      <c r="S678" s="23"/>
    </row>
    <row r="679" spans="5:19" s="30" customFormat="1" ht="15.75" customHeight="1" x14ac:dyDescent="0.2">
      <c r="E679" s="42"/>
      <c r="H679" s="43"/>
      <c r="J679" s="23"/>
      <c r="S679" s="23"/>
    </row>
    <row r="680" spans="5:19" s="30" customFormat="1" ht="15.75" customHeight="1" x14ac:dyDescent="0.2">
      <c r="E680" s="42"/>
      <c r="H680" s="43"/>
      <c r="J680" s="23"/>
      <c r="S680" s="23"/>
    </row>
    <row r="681" spans="5:19" s="30" customFormat="1" ht="15.75" customHeight="1" x14ac:dyDescent="0.2">
      <c r="E681" s="42"/>
      <c r="H681" s="43"/>
      <c r="J681" s="23"/>
      <c r="S681" s="23"/>
    </row>
    <row r="682" spans="5:19" s="30" customFormat="1" ht="15.75" customHeight="1" x14ac:dyDescent="0.2">
      <c r="E682" s="42"/>
      <c r="H682" s="43"/>
      <c r="J682" s="23"/>
      <c r="S682" s="23"/>
    </row>
    <row r="683" spans="5:19" s="30" customFormat="1" ht="15.75" customHeight="1" x14ac:dyDescent="0.2">
      <c r="E683" s="42"/>
      <c r="H683" s="43"/>
      <c r="J683" s="23"/>
      <c r="S683" s="23"/>
    </row>
    <row r="684" spans="5:19" s="30" customFormat="1" ht="15.75" customHeight="1" x14ac:dyDescent="0.2">
      <c r="E684" s="42"/>
      <c r="H684" s="43"/>
      <c r="J684" s="23"/>
      <c r="S684" s="23"/>
    </row>
    <row r="685" spans="5:19" s="30" customFormat="1" ht="15.75" customHeight="1" x14ac:dyDescent="0.2">
      <c r="E685" s="42"/>
      <c r="H685" s="43"/>
      <c r="J685" s="23"/>
      <c r="S685" s="23"/>
    </row>
    <row r="686" spans="5:19" s="30" customFormat="1" ht="15.75" customHeight="1" x14ac:dyDescent="0.2">
      <c r="E686" s="42"/>
      <c r="H686" s="43"/>
      <c r="J686" s="23"/>
      <c r="S686" s="23"/>
    </row>
    <row r="687" spans="5:19" s="30" customFormat="1" ht="15.75" customHeight="1" x14ac:dyDescent="0.2">
      <c r="E687" s="42"/>
      <c r="H687" s="43"/>
      <c r="J687" s="23"/>
      <c r="S687" s="23"/>
    </row>
    <row r="688" spans="5:19" s="30" customFormat="1" ht="15.75" customHeight="1" x14ac:dyDescent="0.2">
      <c r="E688" s="42"/>
      <c r="H688" s="43"/>
      <c r="J688" s="23"/>
      <c r="S688" s="23"/>
    </row>
    <row r="689" spans="5:19" s="30" customFormat="1" ht="15.75" customHeight="1" x14ac:dyDescent="0.2">
      <c r="E689" s="42"/>
      <c r="H689" s="43"/>
      <c r="J689" s="23"/>
      <c r="S689" s="23"/>
    </row>
    <row r="690" spans="5:19" s="30" customFormat="1" ht="15.75" customHeight="1" x14ac:dyDescent="0.2">
      <c r="E690" s="42"/>
      <c r="H690" s="43"/>
      <c r="J690" s="23"/>
      <c r="S690" s="23"/>
    </row>
    <row r="691" spans="5:19" s="30" customFormat="1" ht="15.75" customHeight="1" x14ac:dyDescent="0.2">
      <c r="E691" s="42"/>
      <c r="H691" s="43"/>
      <c r="J691" s="23"/>
      <c r="S691" s="23"/>
    </row>
    <row r="692" spans="5:19" s="30" customFormat="1" ht="15.75" customHeight="1" x14ac:dyDescent="0.2">
      <c r="E692" s="42"/>
      <c r="H692" s="43"/>
      <c r="J692" s="23"/>
      <c r="S692" s="23"/>
    </row>
    <row r="693" spans="5:19" s="30" customFormat="1" ht="15.75" customHeight="1" x14ac:dyDescent="0.2">
      <c r="E693" s="42"/>
      <c r="H693" s="43"/>
      <c r="J693" s="23"/>
      <c r="S693" s="23"/>
    </row>
    <row r="694" spans="5:19" s="30" customFormat="1" ht="15.75" customHeight="1" x14ac:dyDescent="0.2">
      <c r="E694" s="42"/>
      <c r="H694" s="43"/>
      <c r="J694" s="23"/>
      <c r="S694" s="23"/>
    </row>
    <row r="695" spans="5:19" s="30" customFormat="1" ht="15.75" customHeight="1" x14ac:dyDescent="0.2">
      <c r="E695" s="42"/>
      <c r="H695" s="43"/>
      <c r="J695" s="23"/>
      <c r="S695" s="23"/>
    </row>
    <row r="696" spans="5:19" s="30" customFormat="1" ht="15.75" customHeight="1" x14ac:dyDescent="0.2">
      <c r="E696" s="42"/>
      <c r="H696" s="43"/>
      <c r="J696" s="23"/>
      <c r="S696" s="23"/>
    </row>
    <row r="697" spans="5:19" s="30" customFormat="1" ht="15.75" customHeight="1" x14ac:dyDescent="0.2">
      <c r="E697" s="42"/>
      <c r="H697" s="43"/>
      <c r="J697" s="23"/>
      <c r="S697" s="23"/>
    </row>
    <row r="698" spans="5:19" s="30" customFormat="1" ht="15.75" customHeight="1" x14ac:dyDescent="0.2">
      <c r="E698" s="42"/>
      <c r="H698" s="43"/>
      <c r="J698" s="23"/>
      <c r="S698" s="23"/>
    </row>
    <row r="699" spans="5:19" s="30" customFormat="1" ht="15.75" customHeight="1" x14ac:dyDescent="0.2">
      <c r="E699" s="42"/>
      <c r="H699" s="43"/>
      <c r="J699" s="23"/>
      <c r="S699" s="23"/>
    </row>
    <row r="700" spans="5:19" s="30" customFormat="1" ht="15.75" customHeight="1" x14ac:dyDescent="0.2">
      <c r="E700" s="42"/>
      <c r="H700" s="43"/>
      <c r="J700" s="23"/>
      <c r="S700" s="23"/>
    </row>
    <row r="701" spans="5:19" s="30" customFormat="1" ht="15.75" customHeight="1" x14ac:dyDescent="0.2">
      <c r="E701" s="42"/>
      <c r="H701" s="43"/>
      <c r="J701" s="23"/>
      <c r="S701" s="23"/>
    </row>
    <row r="702" spans="5:19" s="30" customFormat="1" ht="15.75" customHeight="1" x14ac:dyDescent="0.2">
      <c r="E702" s="42"/>
      <c r="H702" s="43"/>
      <c r="J702" s="23"/>
      <c r="S702" s="23"/>
    </row>
    <row r="703" spans="5:19" s="30" customFormat="1" ht="15.75" customHeight="1" x14ac:dyDescent="0.2">
      <c r="E703" s="42"/>
      <c r="H703" s="43"/>
      <c r="J703" s="23"/>
      <c r="S703" s="23"/>
    </row>
    <row r="704" spans="5:19" s="30" customFormat="1" ht="15.75" customHeight="1" x14ac:dyDescent="0.2">
      <c r="E704" s="42"/>
      <c r="H704" s="43"/>
      <c r="J704" s="23"/>
      <c r="S704" s="23"/>
    </row>
    <row r="705" spans="5:19" s="30" customFormat="1" ht="15.75" customHeight="1" x14ac:dyDescent="0.2">
      <c r="E705" s="42"/>
      <c r="H705" s="43"/>
      <c r="J705" s="23"/>
      <c r="S705" s="23"/>
    </row>
    <row r="706" spans="5:19" s="30" customFormat="1" ht="15.75" customHeight="1" x14ac:dyDescent="0.2">
      <c r="E706" s="42"/>
      <c r="H706" s="43"/>
      <c r="J706" s="23"/>
      <c r="S706" s="23"/>
    </row>
    <row r="707" spans="5:19" s="30" customFormat="1" ht="15.75" customHeight="1" x14ac:dyDescent="0.2">
      <c r="E707" s="42"/>
      <c r="H707" s="43"/>
      <c r="J707" s="23"/>
      <c r="S707" s="23"/>
    </row>
    <row r="708" spans="5:19" s="30" customFormat="1" ht="15.75" customHeight="1" x14ac:dyDescent="0.2">
      <c r="E708" s="42"/>
      <c r="H708" s="43"/>
      <c r="J708" s="23"/>
      <c r="S708" s="23"/>
    </row>
    <row r="709" spans="5:19" s="30" customFormat="1" ht="15.75" customHeight="1" x14ac:dyDescent="0.2">
      <c r="E709" s="42"/>
      <c r="H709" s="43"/>
      <c r="J709" s="23"/>
      <c r="S709" s="23"/>
    </row>
    <row r="710" spans="5:19" s="30" customFormat="1" ht="15.75" customHeight="1" x14ac:dyDescent="0.2">
      <c r="E710" s="42"/>
      <c r="H710" s="43"/>
      <c r="J710" s="23"/>
      <c r="S710" s="23"/>
    </row>
    <row r="711" spans="5:19" s="30" customFormat="1" ht="15.75" customHeight="1" x14ac:dyDescent="0.2">
      <c r="E711" s="42"/>
      <c r="H711" s="43"/>
      <c r="J711" s="23"/>
      <c r="S711" s="23"/>
    </row>
    <row r="712" spans="5:19" s="30" customFormat="1" ht="15.75" customHeight="1" x14ac:dyDescent="0.2">
      <c r="E712" s="42"/>
      <c r="H712" s="43"/>
      <c r="J712" s="23"/>
      <c r="S712" s="23"/>
    </row>
    <row r="713" spans="5:19" s="30" customFormat="1" ht="15.75" customHeight="1" x14ac:dyDescent="0.2">
      <c r="E713" s="42"/>
      <c r="H713" s="43"/>
      <c r="J713" s="23"/>
      <c r="S713" s="23"/>
    </row>
    <row r="714" spans="5:19" s="30" customFormat="1" ht="15.75" customHeight="1" x14ac:dyDescent="0.2">
      <c r="E714" s="42"/>
      <c r="H714" s="43"/>
      <c r="J714" s="23"/>
      <c r="S714" s="23"/>
    </row>
    <row r="715" spans="5:19" s="30" customFormat="1" ht="15.75" customHeight="1" x14ac:dyDescent="0.2">
      <c r="E715" s="42"/>
      <c r="H715" s="43"/>
      <c r="J715" s="23"/>
      <c r="S715" s="23"/>
    </row>
    <row r="716" spans="5:19" s="30" customFormat="1" ht="15.75" customHeight="1" x14ac:dyDescent="0.2">
      <c r="E716" s="42"/>
      <c r="H716" s="43"/>
      <c r="J716" s="23"/>
      <c r="S716" s="23"/>
    </row>
    <row r="717" spans="5:19" s="30" customFormat="1" ht="15.75" customHeight="1" x14ac:dyDescent="0.2">
      <c r="E717" s="42"/>
      <c r="H717" s="43"/>
      <c r="J717" s="23"/>
      <c r="S717" s="23"/>
    </row>
    <row r="718" spans="5:19" s="30" customFormat="1" ht="15.75" customHeight="1" x14ac:dyDescent="0.2">
      <c r="E718" s="42"/>
      <c r="H718" s="43"/>
      <c r="J718" s="23"/>
      <c r="S718" s="23"/>
    </row>
    <row r="719" spans="5:19" s="30" customFormat="1" ht="15.75" customHeight="1" x14ac:dyDescent="0.2">
      <c r="E719" s="42"/>
      <c r="H719" s="43"/>
      <c r="J719" s="23"/>
      <c r="S719" s="23"/>
    </row>
    <row r="720" spans="5:19" s="30" customFormat="1" ht="15.75" customHeight="1" x14ac:dyDescent="0.2">
      <c r="E720" s="42"/>
      <c r="H720" s="43"/>
      <c r="J720" s="23"/>
      <c r="S720" s="23"/>
    </row>
    <row r="721" spans="5:19" s="30" customFormat="1" ht="15.75" customHeight="1" x14ac:dyDescent="0.2">
      <c r="E721" s="42"/>
      <c r="H721" s="43"/>
      <c r="J721" s="23"/>
      <c r="S721" s="23"/>
    </row>
    <row r="722" spans="5:19" s="30" customFormat="1" ht="15.75" customHeight="1" x14ac:dyDescent="0.2">
      <c r="E722" s="42"/>
      <c r="H722" s="43"/>
      <c r="J722" s="23"/>
      <c r="S722" s="23"/>
    </row>
    <row r="723" spans="5:19" s="30" customFormat="1" ht="15.75" customHeight="1" x14ac:dyDescent="0.2">
      <c r="E723" s="42"/>
      <c r="H723" s="43"/>
      <c r="J723" s="23"/>
      <c r="S723" s="23"/>
    </row>
    <row r="724" spans="5:19" s="30" customFormat="1" ht="15.75" customHeight="1" x14ac:dyDescent="0.2">
      <c r="E724" s="42"/>
      <c r="H724" s="43"/>
      <c r="J724" s="23"/>
      <c r="S724" s="23"/>
    </row>
    <row r="725" spans="5:19" s="30" customFormat="1" ht="15.75" customHeight="1" x14ac:dyDescent="0.2">
      <c r="E725" s="42"/>
      <c r="H725" s="43"/>
      <c r="J725" s="23"/>
      <c r="S725" s="23"/>
    </row>
    <row r="726" spans="5:19" s="30" customFormat="1" ht="15.75" customHeight="1" x14ac:dyDescent="0.2">
      <c r="E726" s="42"/>
      <c r="H726" s="43"/>
      <c r="J726" s="23"/>
      <c r="S726" s="23"/>
    </row>
    <row r="727" spans="5:19" s="30" customFormat="1" ht="15.75" customHeight="1" x14ac:dyDescent="0.2">
      <c r="E727" s="42"/>
      <c r="H727" s="43"/>
      <c r="J727" s="23"/>
      <c r="S727" s="23"/>
    </row>
    <row r="728" spans="5:19" s="30" customFormat="1" ht="15.75" customHeight="1" x14ac:dyDescent="0.2">
      <c r="E728" s="42"/>
      <c r="H728" s="43"/>
      <c r="J728" s="23"/>
      <c r="S728" s="23"/>
    </row>
    <row r="729" spans="5:19" s="30" customFormat="1" ht="15.75" customHeight="1" x14ac:dyDescent="0.2">
      <c r="E729" s="42"/>
      <c r="H729" s="43"/>
      <c r="J729" s="23"/>
      <c r="S729" s="23"/>
    </row>
    <row r="730" spans="5:19" s="30" customFormat="1" ht="15.75" customHeight="1" x14ac:dyDescent="0.2">
      <c r="E730" s="42"/>
      <c r="H730" s="43"/>
      <c r="J730" s="23"/>
      <c r="S730" s="23"/>
    </row>
    <row r="731" spans="5:19" s="30" customFormat="1" ht="15.75" customHeight="1" x14ac:dyDescent="0.2">
      <c r="E731" s="42"/>
      <c r="H731" s="43"/>
      <c r="J731" s="23"/>
      <c r="S731" s="23"/>
    </row>
    <row r="732" spans="5:19" s="30" customFormat="1" ht="15.75" customHeight="1" x14ac:dyDescent="0.2">
      <c r="E732" s="42"/>
      <c r="H732" s="43"/>
      <c r="J732" s="23"/>
      <c r="S732" s="23"/>
    </row>
    <row r="733" spans="5:19" s="30" customFormat="1" ht="15.75" customHeight="1" x14ac:dyDescent="0.2">
      <c r="E733" s="42"/>
      <c r="H733" s="43"/>
      <c r="J733" s="23"/>
      <c r="S733" s="23"/>
    </row>
    <row r="734" spans="5:19" s="30" customFormat="1" ht="15.75" customHeight="1" x14ac:dyDescent="0.2">
      <c r="E734" s="42"/>
      <c r="H734" s="43"/>
      <c r="J734" s="23"/>
      <c r="S734" s="23"/>
    </row>
    <row r="735" spans="5:19" s="30" customFormat="1" ht="15.75" customHeight="1" x14ac:dyDescent="0.2">
      <c r="E735" s="42"/>
      <c r="H735" s="43"/>
      <c r="J735" s="23"/>
      <c r="S735" s="23"/>
    </row>
    <row r="736" spans="5:19" s="30" customFormat="1" ht="15.75" customHeight="1" x14ac:dyDescent="0.2">
      <c r="E736" s="42"/>
      <c r="H736" s="43"/>
      <c r="J736" s="23"/>
      <c r="S736" s="23"/>
    </row>
    <row r="737" spans="5:19" s="30" customFormat="1" ht="15.75" customHeight="1" x14ac:dyDescent="0.2">
      <c r="E737" s="42"/>
      <c r="H737" s="43"/>
      <c r="J737" s="23"/>
      <c r="S737" s="23"/>
    </row>
    <row r="738" spans="5:19" s="30" customFormat="1" ht="15.75" customHeight="1" x14ac:dyDescent="0.2">
      <c r="E738" s="42"/>
      <c r="H738" s="43"/>
      <c r="J738" s="23"/>
      <c r="S738" s="23"/>
    </row>
    <row r="739" spans="5:19" s="30" customFormat="1" ht="15.75" customHeight="1" x14ac:dyDescent="0.2">
      <c r="E739" s="42"/>
      <c r="H739" s="43"/>
      <c r="J739" s="23"/>
      <c r="S739" s="23"/>
    </row>
    <row r="740" spans="5:19" s="30" customFormat="1" ht="15.75" customHeight="1" x14ac:dyDescent="0.2">
      <c r="E740" s="42"/>
      <c r="H740" s="43"/>
      <c r="J740" s="23"/>
      <c r="S740" s="23"/>
    </row>
    <row r="741" spans="5:19" s="30" customFormat="1" ht="15.75" customHeight="1" x14ac:dyDescent="0.2">
      <c r="E741" s="42"/>
      <c r="H741" s="43"/>
      <c r="J741" s="23"/>
      <c r="S741" s="23"/>
    </row>
    <row r="742" spans="5:19" s="30" customFormat="1" ht="15.75" customHeight="1" x14ac:dyDescent="0.2">
      <c r="E742" s="42"/>
      <c r="H742" s="43"/>
      <c r="J742" s="23"/>
      <c r="S742" s="23"/>
    </row>
    <row r="743" spans="5:19" s="30" customFormat="1" ht="15.75" customHeight="1" x14ac:dyDescent="0.2">
      <c r="E743" s="42"/>
      <c r="H743" s="43"/>
      <c r="J743" s="23"/>
      <c r="S743" s="23"/>
    </row>
    <row r="744" spans="5:19" s="30" customFormat="1" ht="15.75" customHeight="1" x14ac:dyDescent="0.2">
      <c r="E744" s="42"/>
      <c r="H744" s="43"/>
      <c r="J744" s="23"/>
      <c r="S744" s="23"/>
    </row>
    <row r="745" spans="5:19" s="30" customFormat="1" ht="15.75" customHeight="1" x14ac:dyDescent="0.2">
      <c r="E745" s="42"/>
      <c r="H745" s="43"/>
      <c r="J745" s="23"/>
      <c r="S745" s="23"/>
    </row>
    <row r="746" spans="5:19" s="30" customFormat="1" ht="15.75" customHeight="1" x14ac:dyDescent="0.2">
      <c r="E746" s="42"/>
      <c r="H746" s="43"/>
      <c r="J746" s="23"/>
      <c r="S746" s="23"/>
    </row>
    <row r="747" spans="5:19" s="30" customFormat="1" ht="15.75" customHeight="1" x14ac:dyDescent="0.2">
      <c r="E747" s="42"/>
      <c r="H747" s="43"/>
      <c r="J747" s="23"/>
      <c r="S747" s="23"/>
    </row>
    <row r="748" spans="5:19" s="30" customFormat="1" ht="15.75" customHeight="1" x14ac:dyDescent="0.2">
      <c r="E748" s="42"/>
      <c r="H748" s="43"/>
      <c r="J748" s="23"/>
      <c r="S748" s="23"/>
    </row>
    <row r="749" spans="5:19" s="30" customFormat="1" ht="15.75" customHeight="1" x14ac:dyDescent="0.2">
      <c r="E749" s="42"/>
      <c r="H749" s="43"/>
      <c r="J749" s="23"/>
      <c r="S749" s="23"/>
    </row>
    <row r="750" spans="5:19" s="30" customFormat="1" ht="15.75" customHeight="1" x14ac:dyDescent="0.2">
      <c r="E750" s="42"/>
      <c r="H750" s="43"/>
      <c r="J750" s="23"/>
      <c r="S750" s="23"/>
    </row>
    <row r="751" spans="5:19" s="30" customFormat="1" ht="15.75" customHeight="1" x14ac:dyDescent="0.2">
      <c r="E751" s="42"/>
      <c r="H751" s="43"/>
      <c r="J751" s="23"/>
      <c r="S751" s="23"/>
    </row>
    <row r="752" spans="5:19" s="30" customFormat="1" ht="15.75" customHeight="1" x14ac:dyDescent="0.2">
      <c r="E752" s="42"/>
      <c r="H752" s="43"/>
      <c r="J752" s="23"/>
      <c r="S752" s="23"/>
    </row>
    <row r="753" spans="5:19" s="30" customFormat="1" ht="15.75" customHeight="1" x14ac:dyDescent="0.2">
      <c r="E753" s="42"/>
      <c r="H753" s="43"/>
      <c r="J753" s="23"/>
      <c r="S753" s="23"/>
    </row>
    <row r="754" spans="5:19" s="30" customFormat="1" ht="15.75" customHeight="1" x14ac:dyDescent="0.2">
      <c r="E754" s="42"/>
      <c r="H754" s="43"/>
      <c r="J754" s="23"/>
      <c r="S754" s="23"/>
    </row>
    <row r="755" spans="5:19" s="30" customFormat="1" ht="15.75" customHeight="1" x14ac:dyDescent="0.2">
      <c r="E755" s="42"/>
      <c r="H755" s="43"/>
      <c r="J755" s="23"/>
      <c r="S755" s="23"/>
    </row>
    <row r="756" spans="5:19" s="30" customFormat="1" ht="15.75" customHeight="1" x14ac:dyDescent="0.2">
      <c r="E756" s="42"/>
      <c r="H756" s="43"/>
      <c r="J756" s="23"/>
      <c r="S756" s="23"/>
    </row>
    <row r="757" spans="5:19" s="30" customFormat="1" ht="15.75" customHeight="1" x14ac:dyDescent="0.2">
      <c r="E757" s="42"/>
      <c r="H757" s="43"/>
      <c r="J757" s="23"/>
      <c r="S757" s="23"/>
    </row>
    <row r="758" spans="5:19" s="30" customFormat="1" ht="15.75" customHeight="1" x14ac:dyDescent="0.2">
      <c r="E758" s="42"/>
      <c r="H758" s="43"/>
      <c r="J758" s="23"/>
      <c r="S758" s="23"/>
    </row>
    <row r="759" spans="5:19" s="30" customFormat="1" ht="15.75" customHeight="1" x14ac:dyDescent="0.2">
      <c r="E759" s="42"/>
      <c r="H759" s="43"/>
      <c r="J759" s="23"/>
      <c r="S759" s="23"/>
    </row>
    <row r="760" spans="5:19" s="30" customFormat="1" ht="15.75" customHeight="1" x14ac:dyDescent="0.2">
      <c r="E760" s="42"/>
      <c r="H760" s="43"/>
      <c r="J760" s="23"/>
      <c r="S760" s="23"/>
    </row>
    <row r="761" spans="5:19" s="30" customFormat="1" ht="15.75" customHeight="1" x14ac:dyDescent="0.2">
      <c r="E761" s="42"/>
      <c r="H761" s="43"/>
      <c r="J761" s="23"/>
      <c r="S761" s="23"/>
    </row>
    <row r="762" spans="5:19" s="30" customFormat="1" ht="15.75" customHeight="1" x14ac:dyDescent="0.2">
      <c r="E762" s="42"/>
      <c r="H762" s="43"/>
      <c r="J762" s="23"/>
      <c r="S762" s="23"/>
    </row>
    <row r="763" spans="5:19" s="30" customFormat="1" ht="15.75" customHeight="1" x14ac:dyDescent="0.2">
      <c r="E763" s="42"/>
      <c r="H763" s="43"/>
      <c r="J763" s="23"/>
      <c r="S763" s="23"/>
    </row>
    <row r="764" spans="5:19" s="30" customFormat="1" ht="15.75" customHeight="1" x14ac:dyDescent="0.2">
      <c r="E764" s="42"/>
      <c r="H764" s="43"/>
      <c r="J764" s="23"/>
      <c r="S764" s="23"/>
    </row>
    <row r="765" spans="5:19" s="30" customFormat="1" ht="15.75" customHeight="1" x14ac:dyDescent="0.2">
      <c r="E765" s="42"/>
      <c r="H765" s="43"/>
      <c r="J765" s="23"/>
      <c r="S765" s="23"/>
    </row>
    <row r="766" spans="5:19" s="30" customFormat="1" ht="15.75" customHeight="1" x14ac:dyDescent="0.2">
      <c r="E766" s="42"/>
      <c r="H766" s="43"/>
      <c r="J766" s="23"/>
      <c r="S766" s="23"/>
    </row>
    <row r="767" spans="5:19" s="30" customFormat="1" ht="15.75" customHeight="1" x14ac:dyDescent="0.2">
      <c r="E767" s="42"/>
      <c r="H767" s="43"/>
      <c r="J767" s="23"/>
      <c r="S767" s="23"/>
    </row>
    <row r="768" spans="5:19" s="30" customFormat="1" ht="15.75" customHeight="1" x14ac:dyDescent="0.2">
      <c r="E768" s="42"/>
      <c r="H768" s="43"/>
      <c r="J768" s="23"/>
      <c r="S768" s="23"/>
    </row>
    <row r="769" spans="5:19" s="30" customFormat="1" ht="15.75" customHeight="1" x14ac:dyDescent="0.2">
      <c r="E769" s="42"/>
      <c r="H769" s="43"/>
      <c r="J769" s="23"/>
      <c r="S769" s="23"/>
    </row>
    <row r="770" spans="5:19" s="30" customFormat="1" ht="15.75" customHeight="1" x14ac:dyDescent="0.2">
      <c r="E770" s="42"/>
      <c r="H770" s="43"/>
      <c r="J770" s="23"/>
      <c r="S770" s="23"/>
    </row>
    <row r="771" spans="5:19" s="30" customFormat="1" ht="15.75" customHeight="1" x14ac:dyDescent="0.2">
      <c r="E771" s="42"/>
      <c r="H771" s="43"/>
      <c r="J771" s="23"/>
      <c r="S771" s="23"/>
    </row>
    <row r="772" spans="5:19" s="30" customFormat="1" ht="15.75" customHeight="1" x14ac:dyDescent="0.2">
      <c r="E772" s="42"/>
      <c r="H772" s="43"/>
      <c r="J772" s="23"/>
      <c r="S772" s="23"/>
    </row>
    <row r="773" spans="5:19" s="30" customFormat="1" ht="15.75" customHeight="1" x14ac:dyDescent="0.2">
      <c r="E773" s="42"/>
      <c r="H773" s="43"/>
      <c r="J773" s="23"/>
      <c r="S773" s="23"/>
    </row>
    <row r="774" spans="5:19" s="30" customFormat="1" ht="15.75" customHeight="1" x14ac:dyDescent="0.2">
      <c r="E774" s="42"/>
      <c r="H774" s="43"/>
      <c r="J774" s="23"/>
      <c r="S774" s="23"/>
    </row>
    <row r="775" spans="5:19" s="30" customFormat="1" ht="15.75" customHeight="1" x14ac:dyDescent="0.2">
      <c r="E775" s="42"/>
      <c r="H775" s="43"/>
      <c r="J775" s="23"/>
      <c r="S775" s="23"/>
    </row>
    <row r="776" spans="5:19" s="30" customFormat="1" ht="15.75" customHeight="1" x14ac:dyDescent="0.2">
      <c r="E776" s="42"/>
      <c r="H776" s="43"/>
      <c r="J776" s="23"/>
      <c r="S776" s="23"/>
    </row>
    <row r="777" spans="5:19" s="30" customFormat="1" ht="15.75" customHeight="1" x14ac:dyDescent="0.2">
      <c r="E777" s="42"/>
      <c r="H777" s="43"/>
      <c r="J777" s="23"/>
      <c r="S777" s="23"/>
    </row>
    <row r="778" spans="5:19" s="30" customFormat="1" ht="15.75" customHeight="1" x14ac:dyDescent="0.2">
      <c r="E778" s="42"/>
      <c r="H778" s="43"/>
      <c r="J778" s="23"/>
      <c r="S778" s="23"/>
    </row>
    <row r="779" spans="5:19" s="30" customFormat="1" ht="15.75" customHeight="1" x14ac:dyDescent="0.2">
      <c r="E779" s="42"/>
      <c r="H779" s="43"/>
      <c r="J779" s="23"/>
      <c r="S779" s="23"/>
    </row>
    <row r="780" spans="5:19" s="30" customFormat="1" ht="15.75" customHeight="1" x14ac:dyDescent="0.2">
      <c r="E780" s="42"/>
      <c r="H780" s="43"/>
      <c r="J780" s="23"/>
      <c r="S780" s="23"/>
    </row>
    <row r="781" spans="5:19" s="30" customFormat="1" ht="15.75" customHeight="1" x14ac:dyDescent="0.2">
      <c r="E781" s="42"/>
      <c r="H781" s="43"/>
      <c r="J781" s="23"/>
      <c r="S781" s="23"/>
    </row>
    <row r="782" spans="5:19" s="30" customFormat="1" ht="15.75" customHeight="1" x14ac:dyDescent="0.2">
      <c r="E782" s="42"/>
      <c r="H782" s="43"/>
      <c r="J782" s="23"/>
      <c r="S782" s="23"/>
    </row>
    <row r="783" spans="5:19" s="30" customFormat="1" ht="15.75" customHeight="1" x14ac:dyDescent="0.2">
      <c r="E783" s="42"/>
      <c r="H783" s="43"/>
      <c r="J783" s="23"/>
      <c r="S783" s="23"/>
    </row>
    <row r="784" spans="5:19" s="30" customFormat="1" ht="15.75" customHeight="1" x14ac:dyDescent="0.2">
      <c r="E784" s="42"/>
      <c r="H784" s="43"/>
      <c r="J784" s="23"/>
      <c r="S784" s="23"/>
    </row>
    <row r="785" spans="5:19" s="30" customFormat="1" ht="15.75" customHeight="1" x14ac:dyDescent="0.2">
      <c r="E785" s="42"/>
      <c r="H785" s="43"/>
      <c r="J785" s="23"/>
      <c r="S785" s="23"/>
    </row>
    <row r="786" spans="5:19" s="30" customFormat="1" ht="15.75" customHeight="1" x14ac:dyDescent="0.2">
      <c r="E786" s="42"/>
      <c r="H786" s="43"/>
      <c r="J786" s="23"/>
      <c r="S786" s="23"/>
    </row>
    <row r="787" spans="5:19" s="30" customFormat="1" ht="15.75" customHeight="1" x14ac:dyDescent="0.2">
      <c r="E787" s="42"/>
      <c r="H787" s="43"/>
      <c r="J787" s="23"/>
      <c r="S787" s="23"/>
    </row>
    <row r="788" spans="5:19" s="30" customFormat="1" ht="15.75" customHeight="1" x14ac:dyDescent="0.2">
      <c r="E788" s="42"/>
      <c r="H788" s="43"/>
      <c r="J788" s="23"/>
      <c r="S788" s="23"/>
    </row>
    <row r="789" spans="5:19" s="30" customFormat="1" ht="15.75" customHeight="1" x14ac:dyDescent="0.2">
      <c r="E789" s="42"/>
      <c r="H789" s="43"/>
      <c r="J789" s="23"/>
      <c r="S789" s="23"/>
    </row>
    <row r="790" spans="5:19" s="30" customFormat="1" ht="15.75" customHeight="1" x14ac:dyDescent="0.2">
      <c r="E790" s="42"/>
      <c r="H790" s="43"/>
      <c r="J790" s="23"/>
      <c r="S790" s="23"/>
    </row>
    <row r="791" spans="5:19" s="30" customFormat="1" ht="15.75" customHeight="1" x14ac:dyDescent="0.2">
      <c r="E791" s="42"/>
      <c r="H791" s="43"/>
      <c r="J791" s="23"/>
      <c r="S791" s="23"/>
    </row>
    <row r="792" spans="5:19" s="30" customFormat="1" ht="15.75" customHeight="1" x14ac:dyDescent="0.2">
      <c r="E792" s="42"/>
      <c r="H792" s="43"/>
      <c r="J792" s="23"/>
      <c r="S792" s="23"/>
    </row>
    <row r="793" spans="5:19" s="30" customFormat="1" ht="15.75" customHeight="1" x14ac:dyDescent="0.2">
      <c r="E793" s="42"/>
      <c r="H793" s="43"/>
      <c r="J793" s="23"/>
      <c r="S793" s="23"/>
    </row>
    <row r="794" spans="5:19" s="30" customFormat="1" ht="15.75" customHeight="1" x14ac:dyDescent="0.2">
      <c r="E794" s="42"/>
      <c r="H794" s="43"/>
      <c r="J794" s="23"/>
      <c r="S794" s="23"/>
    </row>
    <row r="795" spans="5:19" s="30" customFormat="1" ht="15.75" customHeight="1" x14ac:dyDescent="0.2">
      <c r="E795" s="42"/>
      <c r="H795" s="43"/>
      <c r="J795" s="23"/>
      <c r="S795" s="23"/>
    </row>
    <row r="796" spans="5:19" s="30" customFormat="1" ht="15.75" customHeight="1" x14ac:dyDescent="0.2">
      <c r="E796" s="42"/>
      <c r="H796" s="43"/>
      <c r="J796" s="23"/>
      <c r="S796" s="23"/>
    </row>
    <row r="797" spans="5:19" s="30" customFormat="1" ht="15.75" customHeight="1" x14ac:dyDescent="0.2">
      <c r="E797" s="42"/>
      <c r="H797" s="43"/>
      <c r="J797" s="23"/>
      <c r="S797" s="23"/>
    </row>
    <row r="798" spans="5:19" s="30" customFormat="1" ht="15.75" customHeight="1" x14ac:dyDescent="0.2">
      <c r="E798" s="42"/>
      <c r="H798" s="43"/>
      <c r="J798" s="23"/>
      <c r="S798" s="23"/>
    </row>
    <row r="799" spans="5:19" s="30" customFormat="1" ht="15.75" customHeight="1" x14ac:dyDescent="0.2">
      <c r="E799" s="42"/>
      <c r="H799" s="43"/>
      <c r="J799" s="23"/>
      <c r="S799" s="23"/>
    </row>
    <row r="800" spans="5:19" s="30" customFormat="1" ht="15.75" customHeight="1" x14ac:dyDescent="0.2">
      <c r="E800" s="42"/>
      <c r="H800" s="43"/>
      <c r="J800" s="23"/>
      <c r="S800" s="23"/>
    </row>
    <row r="801" spans="5:19" s="30" customFormat="1" ht="15.75" customHeight="1" x14ac:dyDescent="0.2">
      <c r="E801" s="42"/>
      <c r="H801" s="43"/>
      <c r="J801" s="23"/>
      <c r="S801" s="23"/>
    </row>
    <row r="802" spans="5:19" s="30" customFormat="1" ht="15.75" customHeight="1" x14ac:dyDescent="0.2">
      <c r="E802" s="42"/>
      <c r="H802" s="43"/>
      <c r="J802" s="23"/>
      <c r="S802" s="23"/>
    </row>
    <row r="803" spans="5:19" s="30" customFormat="1" ht="15.75" customHeight="1" x14ac:dyDescent="0.2">
      <c r="E803" s="42"/>
      <c r="H803" s="43"/>
      <c r="J803" s="23"/>
      <c r="S803" s="23"/>
    </row>
    <row r="804" spans="5:19" s="30" customFormat="1" ht="15.75" customHeight="1" x14ac:dyDescent="0.2">
      <c r="E804" s="42"/>
      <c r="H804" s="43"/>
      <c r="J804" s="23"/>
      <c r="S804" s="23"/>
    </row>
    <row r="805" spans="5:19" s="30" customFormat="1" ht="15.75" customHeight="1" x14ac:dyDescent="0.2">
      <c r="E805" s="42"/>
      <c r="H805" s="43"/>
      <c r="J805" s="23"/>
      <c r="S805" s="23"/>
    </row>
    <row r="806" spans="5:19" s="30" customFormat="1" ht="15.75" customHeight="1" x14ac:dyDescent="0.2">
      <c r="E806" s="42"/>
      <c r="H806" s="43"/>
      <c r="J806" s="23"/>
      <c r="S806" s="23"/>
    </row>
    <row r="807" spans="5:19" s="30" customFormat="1" ht="15.75" customHeight="1" x14ac:dyDescent="0.2">
      <c r="E807" s="42"/>
      <c r="H807" s="43"/>
      <c r="J807" s="23"/>
      <c r="S807" s="23"/>
    </row>
    <row r="808" spans="5:19" s="30" customFormat="1" ht="15.75" customHeight="1" x14ac:dyDescent="0.2">
      <c r="E808" s="42"/>
      <c r="H808" s="43"/>
      <c r="J808" s="23"/>
      <c r="S808" s="23"/>
    </row>
    <row r="809" spans="5:19" s="30" customFormat="1" ht="15.75" customHeight="1" x14ac:dyDescent="0.2">
      <c r="E809" s="42"/>
      <c r="H809" s="43"/>
      <c r="J809" s="23"/>
      <c r="S809" s="23"/>
    </row>
    <row r="810" spans="5:19" s="30" customFormat="1" ht="15.75" customHeight="1" x14ac:dyDescent="0.2">
      <c r="E810" s="42"/>
      <c r="H810" s="43"/>
      <c r="J810" s="23"/>
      <c r="S810" s="23"/>
    </row>
    <row r="811" spans="5:19" s="30" customFormat="1" ht="15.75" customHeight="1" x14ac:dyDescent="0.2">
      <c r="E811" s="42"/>
      <c r="H811" s="43"/>
      <c r="J811" s="23"/>
      <c r="S811" s="23"/>
    </row>
    <row r="812" spans="5:19" s="30" customFormat="1" ht="15.75" customHeight="1" x14ac:dyDescent="0.2">
      <c r="E812" s="42"/>
      <c r="H812" s="43"/>
      <c r="J812" s="23"/>
      <c r="S812" s="23"/>
    </row>
    <row r="813" spans="5:19" s="30" customFormat="1" ht="15.75" customHeight="1" x14ac:dyDescent="0.2">
      <c r="E813" s="42"/>
      <c r="H813" s="43"/>
      <c r="J813" s="23"/>
      <c r="S813" s="23"/>
    </row>
    <row r="814" spans="5:19" s="30" customFormat="1" ht="15.75" customHeight="1" x14ac:dyDescent="0.2">
      <c r="E814" s="42"/>
      <c r="H814" s="43"/>
      <c r="J814" s="23"/>
      <c r="S814" s="23"/>
    </row>
    <row r="815" spans="5:19" s="30" customFormat="1" ht="15.75" customHeight="1" x14ac:dyDescent="0.2">
      <c r="E815" s="42"/>
      <c r="H815" s="43"/>
      <c r="J815" s="23"/>
      <c r="S815" s="23"/>
    </row>
    <row r="816" spans="5:19" s="30" customFormat="1" ht="15.75" customHeight="1" x14ac:dyDescent="0.2">
      <c r="E816" s="42"/>
      <c r="H816" s="43"/>
      <c r="J816" s="23"/>
      <c r="S816" s="23"/>
    </row>
    <row r="817" spans="5:19" s="30" customFormat="1" ht="15.75" customHeight="1" x14ac:dyDescent="0.2">
      <c r="E817" s="42"/>
      <c r="H817" s="43"/>
      <c r="J817" s="23"/>
      <c r="S817" s="23"/>
    </row>
    <row r="818" spans="5:19" s="30" customFormat="1" ht="15.75" customHeight="1" x14ac:dyDescent="0.2">
      <c r="E818" s="42"/>
      <c r="H818" s="43"/>
      <c r="J818" s="23"/>
      <c r="S818" s="23"/>
    </row>
    <row r="819" spans="5:19" s="30" customFormat="1" ht="15.75" customHeight="1" x14ac:dyDescent="0.2">
      <c r="E819" s="42"/>
      <c r="H819" s="43"/>
      <c r="J819" s="23"/>
      <c r="S819" s="23"/>
    </row>
    <row r="820" spans="5:19" s="30" customFormat="1" ht="15.75" customHeight="1" x14ac:dyDescent="0.2">
      <c r="E820" s="42"/>
      <c r="H820" s="43"/>
      <c r="J820" s="23"/>
      <c r="S820" s="23"/>
    </row>
    <row r="821" spans="5:19" s="30" customFormat="1" ht="15.75" customHeight="1" x14ac:dyDescent="0.2">
      <c r="E821" s="42"/>
      <c r="H821" s="43"/>
      <c r="J821" s="23"/>
      <c r="S821" s="23"/>
    </row>
    <row r="822" spans="5:19" s="30" customFormat="1" ht="15.75" customHeight="1" x14ac:dyDescent="0.2">
      <c r="E822" s="42"/>
      <c r="H822" s="43"/>
      <c r="J822" s="23"/>
      <c r="S822" s="23"/>
    </row>
    <row r="823" spans="5:19" s="30" customFormat="1" ht="15.75" customHeight="1" x14ac:dyDescent="0.2">
      <c r="E823" s="42"/>
      <c r="H823" s="43"/>
      <c r="J823" s="23"/>
      <c r="S823" s="23"/>
    </row>
    <row r="824" spans="5:19" s="30" customFormat="1" ht="15.75" customHeight="1" x14ac:dyDescent="0.2">
      <c r="E824" s="42"/>
      <c r="H824" s="43"/>
      <c r="J824" s="23"/>
      <c r="S824" s="23"/>
    </row>
    <row r="825" spans="5:19" s="30" customFormat="1" ht="15.75" customHeight="1" x14ac:dyDescent="0.2">
      <c r="E825" s="42"/>
      <c r="H825" s="43"/>
      <c r="J825" s="23"/>
      <c r="S825" s="23"/>
    </row>
    <row r="826" spans="5:19" s="30" customFormat="1" ht="15.75" customHeight="1" x14ac:dyDescent="0.2">
      <c r="E826" s="42"/>
      <c r="H826" s="43"/>
      <c r="J826" s="23"/>
      <c r="S826" s="23"/>
    </row>
    <row r="827" spans="5:19" s="30" customFormat="1" ht="15.75" customHeight="1" x14ac:dyDescent="0.2">
      <c r="E827" s="42"/>
      <c r="H827" s="43"/>
      <c r="J827" s="23"/>
      <c r="S827" s="23"/>
    </row>
    <row r="828" spans="5:19" s="30" customFormat="1" ht="15.75" customHeight="1" x14ac:dyDescent="0.2">
      <c r="E828" s="42"/>
      <c r="H828" s="43"/>
      <c r="J828" s="23"/>
      <c r="S828" s="23"/>
    </row>
    <row r="829" spans="5:19" s="30" customFormat="1" ht="15.75" customHeight="1" x14ac:dyDescent="0.2">
      <c r="E829" s="42"/>
      <c r="H829" s="43"/>
      <c r="J829" s="23"/>
      <c r="S829" s="23"/>
    </row>
    <row r="830" spans="5:19" s="30" customFormat="1" ht="15.75" customHeight="1" x14ac:dyDescent="0.2">
      <c r="E830" s="42"/>
      <c r="H830" s="43"/>
      <c r="J830" s="23"/>
      <c r="S830" s="23"/>
    </row>
    <row r="831" spans="5:19" s="30" customFormat="1" ht="15.75" customHeight="1" x14ac:dyDescent="0.2">
      <c r="E831" s="42"/>
      <c r="H831" s="43"/>
      <c r="J831" s="23"/>
      <c r="S831" s="23"/>
    </row>
    <row r="832" spans="5:19" s="30" customFormat="1" ht="15.75" customHeight="1" x14ac:dyDescent="0.2">
      <c r="E832" s="42"/>
      <c r="H832" s="43"/>
      <c r="J832" s="23"/>
      <c r="S832" s="23"/>
    </row>
    <row r="833" spans="5:19" s="30" customFormat="1" ht="15.75" customHeight="1" x14ac:dyDescent="0.2">
      <c r="E833" s="42"/>
      <c r="H833" s="43"/>
      <c r="J833" s="23"/>
      <c r="S833" s="23"/>
    </row>
    <row r="834" spans="5:19" s="30" customFormat="1" ht="15.75" customHeight="1" x14ac:dyDescent="0.2">
      <c r="E834" s="42"/>
      <c r="H834" s="43"/>
      <c r="J834" s="23"/>
      <c r="S834" s="23"/>
    </row>
    <row r="835" spans="5:19" s="30" customFormat="1" ht="15.75" customHeight="1" x14ac:dyDescent="0.2">
      <c r="E835" s="42"/>
      <c r="H835" s="43"/>
      <c r="J835" s="23"/>
      <c r="S835" s="23"/>
    </row>
    <row r="836" spans="5:19" s="30" customFormat="1" ht="15.75" customHeight="1" x14ac:dyDescent="0.2">
      <c r="E836" s="42"/>
      <c r="H836" s="43"/>
      <c r="J836" s="23"/>
      <c r="S836" s="23"/>
    </row>
    <row r="837" spans="5:19" s="30" customFormat="1" ht="15.75" customHeight="1" x14ac:dyDescent="0.2">
      <c r="E837" s="42"/>
      <c r="H837" s="43"/>
      <c r="J837" s="23"/>
      <c r="S837" s="23"/>
    </row>
    <row r="838" spans="5:19" s="30" customFormat="1" ht="15.75" customHeight="1" x14ac:dyDescent="0.2">
      <c r="E838" s="42"/>
      <c r="H838" s="43"/>
      <c r="J838" s="23"/>
      <c r="S838" s="23"/>
    </row>
    <row r="839" spans="5:19" s="30" customFormat="1" ht="15.75" customHeight="1" x14ac:dyDescent="0.2">
      <c r="E839" s="42"/>
      <c r="H839" s="43"/>
      <c r="J839" s="23"/>
      <c r="S839" s="23"/>
    </row>
    <row r="840" spans="5:19" s="30" customFormat="1" ht="15.75" customHeight="1" x14ac:dyDescent="0.2">
      <c r="E840" s="42"/>
      <c r="H840" s="43"/>
      <c r="J840" s="23"/>
      <c r="S840" s="23"/>
    </row>
    <row r="841" spans="5:19" s="30" customFormat="1" ht="15.75" customHeight="1" x14ac:dyDescent="0.2">
      <c r="E841" s="42"/>
      <c r="H841" s="43"/>
      <c r="J841" s="23"/>
      <c r="S841" s="23"/>
    </row>
    <row r="842" spans="5:19" s="30" customFormat="1" ht="15.75" customHeight="1" x14ac:dyDescent="0.2">
      <c r="E842" s="42"/>
      <c r="H842" s="43"/>
      <c r="J842" s="23"/>
      <c r="S842" s="23"/>
    </row>
    <row r="843" spans="5:19" s="30" customFormat="1" ht="15.75" customHeight="1" x14ac:dyDescent="0.2">
      <c r="E843" s="42"/>
      <c r="H843" s="43"/>
      <c r="J843" s="23"/>
      <c r="S843" s="23"/>
    </row>
    <row r="844" spans="5:19" s="30" customFormat="1" ht="15.75" customHeight="1" x14ac:dyDescent="0.2">
      <c r="E844" s="42"/>
      <c r="H844" s="43"/>
      <c r="J844" s="23"/>
      <c r="S844" s="23"/>
    </row>
    <row r="845" spans="5:19" s="30" customFormat="1" ht="15.75" customHeight="1" x14ac:dyDescent="0.2">
      <c r="E845" s="42"/>
      <c r="H845" s="43"/>
      <c r="J845" s="23"/>
      <c r="S845" s="23"/>
    </row>
    <row r="846" spans="5:19" s="30" customFormat="1" ht="15.75" customHeight="1" x14ac:dyDescent="0.2">
      <c r="E846" s="42"/>
      <c r="H846" s="43"/>
      <c r="J846" s="23"/>
      <c r="S846" s="23"/>
    </row>
    <row r="847" spans="5:19" s="30" customFormat="1" ht="15.75" customHeight="1" x14ac:dyDescent="0.2">
      <c r="E847" s="42"/>
      <c r="H847" s="43"/>
      <c r="J847" s="23"/>
      <c r="S847" s="23"/>
    </row>
    <row r="848" spans="5:19" s="30" customFormat="1" ht="15.75" customHeight="1" x14ac:dyDescent="0.2">
      <c r="E848" s="42"/>
      <c r="H848" s="43"/>
      <c r="J848" s="23"/>
      <c r="S848" s="23"/>
    </row>
    <row r="849" spans="5:19" s="30" customFormat="1" ht="15.75" customHeight="1" x14ac:dyDescent="0.2">
      <c r="E849" s="42"/>
      <c r="H849" s="43"/>
      <c r="J849" s="23"/>
      <c r="S849" s="23"/>
    </row>
    <row r="850" spans="5:19" s="30" customFormat="1" ht="15.75" customHeight="1" x14ac:dyDescent="0.2">
      <c r="E850" s="42"/>
      <c r="H850" s="43"/>
      <c r="J850" s="23"/>
      <c r="S850" s="23"/>
    </row>
    <row r="851" spans="5:19" s="30" customFormat="1" ht="15.75" customHeight="1" x14ac:dyDescent="0.2">
      <c r="E851" s="42"/>
      <c r="H851" s="43"/>
      <c r="J851" s="23"/>
      <c r="S851" s="23"/>
    </row>
    <row r="852" spans="5:19" s="30" customFormat="1" ht="15.75" customHeight="1" x14ac:dyDescent="0.2">
      <c r="E852" s="42"/>
      <c r="H852" s="43"/>
      <c r="J852" s="23"/>
      <c r="S852" s="23"/>
    </row>
    <row r="853" spans="5:19" s="30" customFormat="1" ht="15.75" customHeight="1" x14ac:dyDescent="0.2">
      <c r="E853" s="42"/>
      <c r="H853" s="43"/>
      <c r="J853" s="23"/>
      <c r="S853" s="23"/>
    </row>
    <row r="854" spans="5:19" s="30" customFormat="1" ht="15.75" customHeight="1" x14ac:dyDescent="0.2">
      <c r="E854" s="42"/>
      <c r="H854" s="43"/>
      <c r="J854" s="23"/>
      <c r="S854" s="23"/>
    </row>
    <row r="855" spans="5:19" s="30" customFormat="1" ht="15.75" customHeight="1" x14ac:dyDescent="0.2">
      <c r="E855" s="42"/>
      <c r="H855" s="43"/>
      <c r="J855" s="23"/>
      <c r="S855" s="23"/>
    </row>
    <row r="856" spans="5:19" s="30" customFormat="1" ht="15.75" customHeight="1" x14ac:dyDescent="0.2">
      <c r="E856" s="42"/>
      <c r="H856" s="43"/>
      <c r="J856" s="23"/>
      <c r="S856" s="23"/>
    </row>
    <row r="857" spans="5:19" s="30" customFormat="1" ht="15.75" customHeight="1" x14ac:dyDescent="0.2">
      <c r="E857" s="42"/>
      <c r="H857" s="43"/>
      <c r="J857" s="23"/>
      <c r="S857" s="23"/>
    </row>
    <row r="858" spans="5:19" s="30" customFormat="1" ht="15.75" customHeight="1" x14ac:dyDescent="0.2">
      <c r="E858" s="42"/>
      <c r="H858" s="43"/>
      <c r="J858" s="23"/>
      <c r="S858" s="23"/>
    </row>
    <row r="859" spans="5:19" s="30" customFormat="1" ht="15.75" customHeight="1" x14ac:dyDescent="0.2">
      <c r="E859" s="42"/>
      <c r="H859" s="43"/>
      <c r="J859" s="23"/>
      <c r="S859" s="23"/>
    </row>
    <row r="860" spans="5:19" s="30" customFormat="1" ht="15.75" customHeight="1" x14ac:dyDescent="0.2">
      <c r="E860" s="42"/>
      <c r="H860" s="43"/>
      <c r="J860" s="23"/>
      <c r="S860" s="23"/>
    </row>
    <row r="861" spans="5:19" s="30" customFormat="1" ht="15.75" customHeight="1" x14ac:dyDescent="0.2">
      <c r="E861" s="42"/>
      <c r="H861" s="43"/>
      <c r="J861" s="23"/>
      <c r="S861" s="23"/>
    </row>
    <row r="862" spans="5:19" s="30" customFormat="1" ht="15.75" customHeight="1" x14ac:dyDescent="0.2">
      <c r="E862" s="42"/>
      <c r="H862" s="43"/>
      <c r="J862" s="23"/>
      <c r="S862" s="23"/>
    </row>
    <row r="863" spans="5:19" s="30" customFormat="1" ht="15.75" customHeight="1" x14ac:dyDescent="0.2">
      <c r="E863" s="42"/>
      <c r="H863" s="43"/>
      <c r="J863" s="23"/>
      <c r="S863" s="23"/>
    </row>
    <row r="864" spans="5:19" s="30" customFormat="1" ht="15.75" customHeight="1" x14ac:dyDescent="0.2">
      <c r="E864" s="42"/>
      <c r="H864" s="43"/>
      <c r="J864" s="23"/>
      <c r="S864" s="23"/>
    </row>
    <row r="865" spans="5:19" s="30" customFormat="1" ht="15.75" customHeight="1" x14ac:dyDescent="0.2">
      <c r="E865" s="42"/>
      <c r="H865" s="43"/>
      <c r="J865" s="23"/>
      <c r="S865" s="23"/>
    </row>
    <row r="866" spans="5:19" s="30" customFormat="1" ht="15.75" customHeight="1" x14ac:dyDescent="0.2">
      <c r="E866" s="42"/>
      <c r="H866" s="43"/>
      <c r="J866" s="23"/>
      <c r="S866" s="23"/>
    </row>
    <row r="867" spans="5:19" s="30" customFormat="1" ht="15.75" customHeight="1" x14ac:dyDescent="0.2">
      <c r="E867" s="42"/>
      <c r="H867" s="43"/>
      <c r="J867" s="23"/>
      <c r="S867" s="23"/>
    </row>
    <row r="868" spans="5:19" s="30" customFormat="1" ht="15.75" customHeight="1" x14ac:dyDescent="0.2">
      <c r="E868" s="42"/>
      <c r="H868" s="43"/>
      <c r="J868" s="23"/>
      <c r="S868" s="23"/>
    </row>
    <row r="869" spans="5:19" s="30" customFormat="1" ht="15.75" customHeight="1" x14ac:dyDescent="0.2">
      <c r="E869" s="42"/>
      <c r="H869" s="43"/>
      <c r="J869" s="23"/>
      <c r="S869" s="23"/>
    </row>
    <row r="870" spans="5:19" s="30" customFormat="1" ht="15.75" customHeight="1" x14ac:dyDescent="0.2">
      <c r="E870" s="42"/>
      <c r="H870" s="43"/>
      <c r="J870" s="23"/>
      <c r="S870" s="23"/>
    </row>
    <row r="871" spans="5:19" s="30" customFormat="1" ht="15.75" customHeight="1" x14ac:dyDescent="0.2">
      <c r="E871" s="42"/>
      <c r="H871" s="43"/>
      <c r="J871" s="23"/>
      <c r="S871" s="23"/>
    </row>
    <row r="872" spans="5:19" s="30" customFormat="1" ht="15.75" customHeight="1" x14ac:dyDescent="0.2">
      <c r="E872" s="42"/>
      <c r="H872" s="43"/>
      <c r="J872" s="23"/>
      <c r="S872" s="23"/>
    </row>
    <row r="873" spans="5:19" s="30" customFormat="1" ht="15.75" customHeight="1" x14ac:dyDescent="0.2">
      <c r="E873" s="42"/>
      <c r="H873" s="43"/>
      <c r="J873" s="23"/>
      <c r="S873" s="23"/>
    </row>
    <row r="874" spans="5:19" s="30" customFormat="1" ht="15.75" customHeight="1" x14ac:dyDescent="0.2">
      <c r="E874" s="42"/>
      <c r="H874" s="43"/>
      <c r="J874" s="23"/>
      <c r="S874" s="23"/>
    </row>
    <row r="875" spans="5:19" s="30" customFormat="1" ht="15.75" customHeight="1" x14ac:dyDescent="0.2">
      <c r="E875" s="42"/>
      <c r="H875" s="43"/>
      <c r="J875" s="23"/>
      <c r="S875" s="23"/>
    </row>
    <row r="876" spans="5:19" s="30" customFormat="1" ht="15.75" customHeight="1" x14ac:dyDescent="0.2">
      <c r="E876" s="42"/>
      <c r="H876" s="43"/>
      <c r="J876" s="23"/>
      <c r="S876" s="23"/>
    </row>
    <row r="877" spans="5:19" s="30" customFormat="1" ht="15.75" customHeight="1" x14ac:dyDescent="0.2">
      <c r="E877" s="42"/>
      <c r="H877" s="43"/>
      <c r="J877" s="23"/>
      <c r="S877" s="23"/>
    </row>
    <row r="878" spans="5:19" s="30" customFormat="1" ht="15.75" customHeight="1" x14ac:dyDescent="0.2">
      <c r="E878" s="42"/>
      <c r="H878" s="43"/>
      <c r="J878" s="23"/>
      <c r="S878" s="23"/>
    </row>
    <row r="879" spans="5:19" s="30" customFormat="1" ht="15.75" customHeight="1" x14ac:dyDescent="0.2">
      <c r="E879" s="42"/>
      <c r="H879" s="43"/>
      <c r="J879" s="23"/>
      <c r="S879" s="23"/>
    </row>
    <row r="880" spans="5:19" s="30" customFormat="1" ht="15.75" customHeight="1" x14ac:dyDescent="0.2">
      <c r="E880" s="42"/>
      <c r="H880" s="43"/>
      <c r="J880" s="23"/>
      <c r="S880" s="23"/>
    </row>
    <row r="881" spans="5:19" s="30" customFormat="1" ht="15.75" customHeight="1" x14ac:dyDescent="0.2">
      <c r="E881" s="42"/>
      <c r="H881" s="43"/>
      <c r="J881" s="23"/>
      <c r="S881" s="23"/>
    </row>
    <row r="882" spans="5:19" s="30" customFormat="1" ht="15.75" customHeight="1" x14ac:dyDescent="0.2">
      <c r="E882" s="42"/>
      <c r="H882" s="43"/>
      <c r="J882" s="23"/>
      <c r="S882" s="23"/>
    </row>
    <row r="883" spans="5:19" s="30" customFormat="1" ht="15.75" customHeight="1" x14ac:dyDescent="0.2">
      <c r="E883" s="42"/>
      <c r="H883" s="43"/>
      <c r="J883" s="23"/>
      <c r="S883" s="23"/>
    </row>
    <row r="884" spans="5:19" s="30" customFormat="1" ht="15.75" customHeight="1" x14ac:dyDescent="0.2">
      <c r="E884" s="42"/>
      <c r="H884" s="43"/>
      <c r="J884" s="23"/>
      <c r="S884" s="23"/>
    </row>
    <row r="885" spans="5:19" s="30" customFormat="1" ht="15.75" customHeight="1" x14ac:dyDescent="0.2">
      <c r="E885" s="42"/>
      <c r="H885" s="43"/>
      <c r="J885" s="23"/>
      <c r="S885" s="23"/>
    </row>
    <row r="886" spans="5:19" s="30" customFormat="1" ht="15.75" customHeight="1" x14ac:dyDescent="0.2">
      <c r="E886" s="42"/>
      <c r="H886" s="43"/>
      <c r="J886" s="23"/>
      <c r="S886" s="23"/>
    </row>
    <row r="887" spans="5:19" s="30" customFormat="1" ht="15.75" customHeight="1" x14ac:dyDescent="0.2">
      <c r="E887" s="42"/>
      <c r="H887" s="43"/>
      <c r="J887" s="23"/>
      <c r="S887" s="23"/>
    </row>
    <row r="888" spans="5:19" s="30" customFormat="1" ht="15.75" customHeight="1" x14ac:dyDescent="0.2">
      <c r="E888" s="42"/>
      <c r="H888" s="43"/>
      <c r="J888" s="23"/>
      <c r="S888" s="23"/>
    </row>
    <row r="889" spans="5:19" s="30" customFormat="1" ht="15.75" customHeight="1" x14ac:dyDescent="0.2">
      <c r="E889" s="42"/>
      <c r="H889" s="43"/>
      <c r="J889" s="23"/>
      <c r="S889" s="23"/>
    </row>
    <row r="890" spans="5:19" s="30" customFormat="1" ht="15.75" customHeight="1" x14ac:dyDescent="0.2">
      <c r="E890" s="42"/>
      <c r="H890" s="43"/>
      <c r="J890" s="23"/>
      <c r="S890" s="23"/>
    </row>
    <row r="891" spans="5:19" s="30" customFormat="1" ht="15.75" customHeight="1" x14ac:dyDescent="0.2">
      <c r="E891" s="42"/>
      <c r="H891" s="43"/>
      <c r="J891" s="23"/>
      <c r="S891" s="23"/>
    </row>
    <row r="892" spans="5:19" s="30" customFormat="1" ht="15.75" customHeight="1" x14ac:dyDescent="0.2">
      <c r="E892" s="42"/>
      <c r="H892" s="43"/>
      <c r="J892" s="23"/>
      <c r="S892" s="23"/>
    </row>
    <row r="893" spans="5:19" s="30" customFormat="1" ht="15.75" customHeight="1" x14ac:dyDescent="0.2">
      <c r="E893" s="42"/>
      <c r="H893" s="43"/>
      <c r="J893" s="23"/>
      <c r="S893" s="23"/>
    </row>
    <row r="894" spans="5:19" s="30" customFormat="1" ht="15.75" customHeight="1" x14ac:dyDescent="0.2">
      <c r="E894" s="42"/>
      <c r="H894" s="43"/>
      <c r="J894" s="23"/>
      <c r="S894" s="23"/>
    </row>
    <row r="895" spans="5:19" s="30" customFormat="1" ht="15.75" customHeight="1" x14ac:dyDescent="0.2">
      <c r="E895" s="42"/>
      <c r="H895" s="43"/>
      <c r="J895" s="23"/>
      <c r="S895" s="23"/>
    </row>
    <row r="896" spans="5:19" s="30" customFormat="1" ht="15.75" customHeight="1" x14ac:dyDescent="0.2">
      <c r="E896" s="42"/>
      <c r="H896" s="43"/>
      <c r="J896" s="23"/>
      <c r="S896" s="23"/>
    </row>
    <row r="897" spans="5:19" s="30" customFormat="1" ht="15.75" customHeight="1" x14ac:dyDescent="0.2">
      <c r="E897" s="42"/>
      <c r="H897" s="43"/>
      <c r="J897" s="23"/>
      <c r="S897" s="23"/>
    </row>
    <row r="898" spans="5:19" s="30" customFormat="1" ht="15.75" customHeight="1" x14ac:dyDescent="0.2">
      <c r="E898" s="42"/>
      <c r="H898" s="43"/>
      <c r="J898" s="23"/>
      <c r="S898" s="23"/>
    </row>
    <row r="899" spans="5:19" s="30" customFormat="1" ht="15.75" customHeight="1" x14ac:dyDescent="0.2">
      <c r="E899" s="42"/>
      <c r="H899" s="43"/>
      <c r="J899" s="23"/>
      <c r="S899" s="23"/>
    </row>
    <row r="900" spans="5:19" s="30" customFormat="1" ht="15.75" customHeight="1" x14ac:dyDescent="0.2">
      <c r="E900" s="42"/>
      <c r="H900" s="43"/>
      <c r="J900" s="23"/>
      <c r="S900" s="23"/>
    </row>
    <row r="901" spans="5:19" s="30" customFormat="1" ht="15.75" customHeight="1" x14ac:dyDescent="0.2">
      <c r="E901" s="42"/>
      <c r="H901" s="43"/>
      <c r="J901" s="23"/>
      <c r="S901" s="23"/>
    </row>
    <row r="902" spans="5:19" s="30" customFormat="1" ht="15.75" customHeight="1" x14ac:dyDescent="0.2">
      <c r="E902" s="42"/>
      <c r="H902" s="43"/>
      <c r="J902" s="23"/>
      <c r="S902" s="23"/>
    </row>
    <row r="903" spans="5:19" s="30" customFormat="1" ht="15.75" customHeight="1" x14ac:dyDescent="0.2">
      <c r="E903" s="42"/>
      <c r="H903" s="43"/>
      <c r="J903" s="23"/>
      <c r="S903" s="23"/>
    </row>
    <row r="904" spans="5:19" s="30" customFormat="1" ht="15.75" customHeight="1" x14ac:dyDescent="0.2">
      <c r="E904" s="42"/>
      <c r="H904" s="43"/>
      <c r="J904" s="23"/>
      <c r="S904" s="23"/>
    </row>
    <row r="905" spans="5:19" s="30" customFormat="1" ht="15.75" customHeight="1" x14ac:dyDescent="0.2">
      <c r="E905" s="42"/>
      <c r="H905" s="43"/>
      <c r="J905" s="23"/>
      <c r="S905" s="23"/>
    </row>
    <row r="906" spans="5:19" s="30" customFormat="1" ht="15.75" customHeight="1" x14ac:dyDescent="0.2">
      <c r="E906" s="42"/>
      <c r="H906" s="43"/>
      <c r="J906" s="23"/>
      <c r="S906" s="23"/>
    </row>
    <row r="907" spans="5:19" s="30" customFormat="1" ht="15.75" customHeight="1" x14ac:dyDescent="0.2">
      <c r="E907" s="42"/>
      <c r="H907" s="43"/>
      <c r="J907" s="23"/>
      <c r="S907" s="23"/>
    </row>
    <row r="908" spans="5:19" s="30" customFormat="1" ht="15.75" customHeight="1" x14ac:dyDescent="0.2">
      <c r="E908" s="42"/>
      <c r="H908" s="43"/>
      <c r="J908" s="23"/>
      <c r="S908" s="23"/>
    </row>
    <row r="909" spans="5:19" s="30" customFormat="1" ht="15.75" customHeight="1" x14ac:dyDescent="0.2">
      <c r="E909" s="42"/>
      <c r="H909" s="43"/>
      <c r="J909" s="23"/>
      <c r="S909" s="23"/>
    </row>
    <row r="910" spans="5:19" s="30" customFormat="1" ht="15.75" customHeight="1" x14ac:dyDescent="0.2">
      <c r="E910" s="42"/>
      <c r="H910" s="43"/>
      <c r="J910" s="23"/>
      <c r="S910" s="23"/>
    </row>
    <row r="911" spans="5:19" s="30" customFormat="1" ht="15.75" customHeight="1" x14ac:dyDescent="0.2">
      <c r="E911" s="42"/>
      <c r="H911" s="43"/>
      <c r="J911" s="23"/>
      <c r="S911" s="23"/>
    </row>
    <row r="912" spans="5:19" s="30" customFormat="1" ht="15.75" customHeight="1" x14ac:dyDescent="0.2">
      <c r="E912" s="42"/>
      <c r="H912" s="43"/>
      <c r="J912" s="23"/>
      <c r="S912" s="23"/>
    </row>
    <row r="913" spans="5:19" s="30" customFormat="1" ht="15.75" customHeight="1" x14ac:dyDescent="0.2">
      <c r="E913" s="42"/>
      <c r="H913" s="43"/>
      <c r="J913" s="23"/>
      <c r="S913" s="23"/>
    </row>
    <row r="914" spans="5:19" s="30" customFormat="1" ht="15.75" customHeight="1" x14ac:dyDescent="0.2">
      <c r="E914" s="42"/>
      <c r="H914" s="43"/>
      <c r="J914" s="23"/>
      <c r="S914" s="23"/>
    </row>
    <row r="915" spans="5:19" s="30" customFormat="1" ht="15.75" customHeight="1" x14ac:dyDescent="0.2">
      <c r="E915" s="42"/>
      <c r="H915" s="43"/>
      <c r="J915" s="23"/>
      <c r="S915" s="23"/>
    </row>
    <row r="916" spans="5:19" s="30" customFormat="1" ht="15.75" customHeight="1" x14ac:dyDescent="0.2">
      <c r="E916" s="42"/>
      <c r="H916" s="43"/>
      <c r="J916" s="23"/>
      <c r="S916" s="23"/>
    </row>
    <row r="917" spans="5:19" s="30" customFormat="1" ht="15.75" customHeight="1" x14ac:dyDescent="0.2">
      <c r="E917" s="42"/>
      <c r="H917" s="43"/>
      <c r="J917" s="23"/>
      <c r="S917" s="23"/>
    </row>
    <row r="918" spans="5:19" s="30" customFormat="1" ht="15.75" customHeight="1" x14ac:dyDescent="0.2">
      <c r="E918" s="42"/>
      <c r="H918" s="43"/>
      <c r="J918" s="23"/>
      <c r="S918" s="23"/>
    </row>
    <row r="919" spans="5:19" s="30" customFormat="1" ht="15.75" customHeight="1" x14ac:dyDescent="0.2">
      <c r="E919" s="42"/>
      <c r="H919" s="43"/>
      <c r="J919" s="23"/>
      <c r="S919" s="23"/>
    </row>
    <row r="920" spans="5:19" s="30" customFormat="1" ht="15.75" customHeight="1" x14ac:dyDescent="0.2">
      <c r="E920" s="42"/>
      <c r="H920" s="43"/>
      <c r="J920" s="23"/>
      <c r="S920" s="23"/>
    </row>
    <row r="921" spans="5:19" s="30" customFormat="1" ht="15.75" customHeight="1" x14ac:dyDescent="0.2">
      <c r="E921" s="42"/>
      <c r="H921" s="43"/>
      <c r="J921" s="23"/>
      <c r="S921" s="23"/>
    </row>
    <row r="922" spans="5:19" s="30" customFormat="1" ht="15.75" customHeight="1" x14ac:dyDescent="0.2">
      <c r="E922" s="42"/>
      <c r="H922" s="43"/>
      <c r="J922" s="23"/>
      <c r="S922" s="23"/>
    </row>
    <row r="923" spans="5:19" s="30" customFormat="1" ht="15.75" customHeight="1" x14ac:dyDescent="0.2">
      <c r="E923" s="42"/>
      <c r="H923" s="43"/>
      <c r="J923" s="23"/>
      <c r="S923" s="23"/>
    </row>
    <row r="924" spans="5:19" s="30" customFormat="1" ht="15.75" customHeight="1" x14ac:dyDescent="0.2">
      <c r="E924" s="42"/>
      <c r="H924" s="43"/>
      <c r="J924" s="23"/>
      <c r="S924" s="23"/>
    </row>
    <row r="925" spans="5:19" s="30" customFormat="1" ht="15.75" customHeight="1" x14ac:dyDescent="0.2">
      <c r="E925" s="42"/>
      <c r="H925" s="43"/>
      <c r="J925" s="23"/>
      <c r="S925" s="23"/>
    </row>
    <row r="926" spans="5:19" s="30" customFormat="1" ht="15.75" customHeight="1" x14ac:dyDescent="0.2">
      <c r="E926" s="42"/>
      <c r="H926" s="43"/>
      <c r="J926" s="23"/>
      <c r="S926" s="23"/>
    </row>
    <row r="927" spans="5:19" s="30" customFormat="1" ht="15.75" customHeight="1" x14ac:dyDescent="0.2">
      <c r="E927" s="42"/>
      <c r="H927" s="43"/>
      <c r="J927" s="23"/>
      <c r="S927" s="23"/>
    </row>
    <row r="928" spans="5:19" s="30" customFormat="1" ht="15.75" customHeight="1" x14ac:dyDescent="0.2">
      <c r="E928" s="42"/>
      <c r="H928" s="43"/>
      <c r="J928" s="23"/>
      <c r="S928" s="23"/>
    </row>
    <row r="929" spans="5:19" s="30" customFormat="1" ht="15.75" customHeight="1" x14ac:dyDescent="0.2">
      <c r="E929" s="42"/>
      <c r="H929" s="43"/>
      <c r="J929" s="23"/>
      <c r="S929" s="23"/>
    </row>
    <row r="930" spans="5:19" s="30" customFormat="1" ht="15.75" customHeight="1" x14ac:dyDescent="0.2">
      <c r="E930" s="42"/>
      <c r="H930" s="43"/>
      <c r="J930" s="23"/>
      <c r="S930" s="23"/>
    </row>
    <row r="931" spans="5:19" s="30" customFormat="1" ht="15.75" customHeight="1" x14ac:dyDescent="0.2">
      <c r="E931" s="42"/>
      <c r="H931" s="43"/>
      <c r="J931" s="23"/>
      <c r="S931" s="23"/>
    </row>
    <row r="932" spans="5:19" s="30" customFormat="1" ht="15.75" customHeight="1" x14ac:dyDescent="0.2">
      <c r="E932" s="42"/>
      <c r="H932" s="43"/>
      <c r="J932" s="23"/>
      <c r="S932" s="23"/>
    </row>
    <row r="933" spans="5:19" s="30" customFormat="1" ht="15.75" customHeight="1" x14ac:dyDescent="0.2">
      <c r="E933" s="42"/>
      <c r="H933" s="43"/>
      <c r="J933" s="23"/>
      <c r="S933" s="23"/>
    </row>
    <row r="934" spans="5:19" s="30" customFormat="1" ht="15.75" customHeight="1" x14ac:dyDescent="0.2">
      <c r="E934" s="42"/>
      <c r="H934" s="43"/>
      <c r="J934" s="23"/>
      <c r="S934" s="23"/>
    </row>
    <row r="935" spans="5:19" s="30" customFormat="1" ht="15.75" customHeight="1" x14ac:dyDescent="0.2">
      <c r="E935" s="42"/>
      <c r="H935" s="43"/>
      <c r="J935" s="23"/>
      <c r="S935" s="23"/>
    </row>
    <row r="936" spans="5:19" s="30" customFormat="1" ht="15.75" customHeight="1" x14ac:dyDescent="0.2">
      <c r="E936" s="42"/>
      <c r="H936" s="43"/>
      <c r="J936" s="23"/>
      <c r="S936" s="23"/>
    </row>
    <row r="937" spans="5:19" s="30" customFormat="1" ht="15.75" customHeight="1" x14ac:dyDescent="0.2">
      <c r="E937" s="42"/>
      <c r="H937" s="43"/>
      <c r="J937" s="23"/>
      <c r="S937" s="23"/>
    </row>
    <row r="938" spans="5:19" s="30" customFormat="1" ht="15.75" customHeight="1" x14ac:dyDescent="0.2">
      <c r="E938" s="42"/>
      <c r="H938" s="43"/>
      <c r="J938" s="23"/>
      <c r="S938" s="23"/>
    </row>
    <row r="939" spans="5:19" s="30" customFormat="1" ht="15.75" customHeight="1" x14ac:dyDescent="0.2">
      <c r="E939" s="42"/>
      <c r="H939" s="43"/>
      <c r="J939" s="23"/>
      <c r="S939" s="23"/>
    </row>
    <row r="940" spans="5:19" s="30" customFormat="1" ht="15.75" customHeight="1" x14ac:dyDescent="0.2">
      <c r="E940" s="42"/>
      <c r="H940" s="43"/>
      <c r="J940" s="23"/>
      <c r="S940" s="23"/>
    </row>
    <row r="941" spans="5:19" s="30" customFormat="1" ht="15.75" customHeight="1" x14ac:dyDescent="0.2">
      <c r="E941" s="42"/>
      <c r="H941" s="43"/>
      <c r="J941" s="23"/>
      <c r="S941" s="23"/>
    </row>
    <row r="942" spans="5:19" s="30" customFormat="1" ht="15.75" customHeight="1" x14ac:dyDescent="0.2">
      <c r="E942" s="42"/>
      <c r="H942" s="43"/>
      <c r="J942" s="23"/>
      <c r="S942" s="23"/>
    </row>
    <row r="943" spans="5:19" s="30" customFormat="1" ht="15.75" customHeight="1" x14ac:dyDescent="0.2">
      <c r="E943" s="42"/>
      <c r="H943" s="43"/>
      <c r="J943" s="23"/>
      <c r="S943" s="23"/>
    </row>
    <row r="944" spans="5:19" s="30" customFormat="1" ht="15.75" customHeight="1" x14ac:dyDescent="0.2">
      <c r="E944" s="42"/>
      <c r="H944" s="43"/>
      <c r="J944" s="23"/>
      <c r="S944" s="23"/>
    </row>
    <row r="945" spans="5:19" s="30" customFormat="1" ht="15.75" customHeight="1" x14ac:dyDescent="0.2">
      <c r="E945" s="42"/>
      <c r="H945" s="43"/>
      <c r="J945" s="23"/>
      <c r="S945" s="23"/>
    </row>
    <row r="946" spans="5:19" s="30" customFormat="1" ht="15.75" customHeight="1" x14ac:dyDescent="0.2">
      <c r="E946" s="42"/>
      <c r="H946" s="43"/>
      <c r="J946" s="23"/>
      <c r="S946" s="23"/>
    </row>
    <row r="947" spans="5:19" s="30" customFormat="1" ht="15.75" customHeight="1" x14ac:dyDescent="0.2">
      <c r="E947" s="42"/>
      <c r="H947" s="43"/>
      <c r="J947" s="23"/>
      <c r="S947" s="23"/>
    </row>
    <row r="948" spans="5:19" s="30" customFormat="1" ht="15.75" customHeight="1" x14ac:dyDescent="0.2">
      <c r="E948" s="42"/>
      <c r="H948" s="43"/>
      <c r="J948" s="23"/>
      <c r="S948" s="23"/>
    </row>
    <row r="949" spans="5:19" s="30" customFormat="1" ht="15.75" customHeight="1" x14ac:dyDescent="0.2">
      <c r="E949" s="42"/>
      <c r="H949" s="43"/>
      <c r="J949" s="23"/>
      <c r="S949" s="23"/>
    </row>
    <row r="950" spans="5:19" s="30" customFormat="1" ht="15.75" customHeight="1" x14ac:dyDescent="0.2">
      <c r="E950" s="42"/>
      <c r="H950" s="43"/>
      <c r="J950" s="23"/>
      <c r="S950" s="23"/>
    </row>
    <row r="951" spans="5:19" s="30" customFormat="1" ht="15.75" customHeight="1" x14ac:dyDescent="0.2">
      <c r="E951" s="42"/>
      <c r="H951" s="43"/>
      <c r="J951" s="23"/>
      <c r="S951" s="23"/>
    </row>
    <row r="952" spans="5:19" s="30" customFormat="1" ht="15.75" customHeight="1" x14ac:dyDescent="0.2">
      <c r="E952" s="42"/>
      <c r="H952" s="43"/>
      <c r="J952" s="23"/>
      <c r="S952" s="23"/>
    </row>
    <row r="953" spans="5:19" s="30" customFormat="1" ht="15.75" customHeight="1" x14ac:dyDescent="0.2">
      <c r="E953" s="42"/>
      <c r="H953" s="43"/>
      <c r="J953" s="23"/>
      <c r="S953" s="23"/>
    </row>
    <row r="954" spans="5:19" s="30" customFormat="1" ht="15.75" customHeight="1" x14ac:dyDescent="0.2">
      <c r="E954" s="42"/>
      <c r="H954" s="43"/>
      <c r="J954" s="23"/>
      <c r="S954" s="23"/>
    </row>
    <row r="955" spans="5:19" s="30" customFormat="1" ht="15.75" customHeight="1" x14ac:dyDescent="0.2">
      <c r="E955" s="42"/>
      <c r="H955" s="43"/>
      <c r="J955" s="23"/>
      <c r="S955" s="23"/>
    </row>
    <row r="956" spans="5:19" s="30" customFormat="1" ht="15.75" customHeight="1" x14ac:dyDescent="0.2">
      <c r="E956" s="42"/>
      <c r="H956" s="43"/>
      <c r="J956" s="23"/>
      <c r="S956" s="23"/>
    </row>
    <row r="957" spans="5:19" s="30" customFormat="1" ht="15.75" customHeight="1" x14ac:dyDescent="0.2">
      <c r="E957" s="42"/>
      <c r="H957" s="43"/>
      <c r="J957" s="23"/>
      <c r="S957" s="23"/>
    </row>
    <row r="958" spans="5:19" s="30" customFormat="1" ht="15.75" customHeight="1" x14ac:dyDescent="0.2">
      <c r="E958" s="42"/>
      <c r="H958" s="43"/>
      <c r="J958" s="23"/>
      <c r="S958" s="23"/>
    </row>
    <row r="959" spans="5:19" s="30" customFormat="1" ht="15.75" customHeight="1" x14ac:dyDescent="0.2">
      <c r="E959" s="42"/>
      <c r="H959" s="43"/>
      <c r="J959" s="23"/>
      <c r="S959" s="23"/>
    </row>
    <row r="960" spans="5:19" s="30" customFormat="1" ht="15.75" customHeight="1" x14ac:dyDescent="0.2">
      <c r="E960" s="42"/>
      <c r="H960" s="43"/>
      <c r="J960" s="23"/>
      <c r="S960" s="23"/>
    </row>
    <row r="961" spans="5:19" s="30" customFormat="1" ht="15.75" customHeight="1" x14ac:dyDescent="0.2">
      <c r="E961" s="42"/>
      <c r="H961" s="43"/>
      <c r="J961" s="23"/>
      <c r="S961" s="23"/>
    </row>
    <row r="962" spans="5:19" s="30" customFormat="1" ht="15.75" customHeight="1" x14ac:dyDescent="0.2">
      <c r="E962" s="42"/>
      <c r="H962" s="43"/>
      <c r="J962" s="23"/>
      <c r="S962" s="23"/>
    </row>
    <row r="963" spans="5:19" s="30" customFormat="1" ht="15.75" customHeight="1" x14ac:dyDescent="0.2">
      <c r="E963" s="42"/>
      <c r="H963" s="43"/>
      <c r="J963" s="23"/>
      <c r="S963" s="23"/>
    </row>
    <row r="964" spans="5:19" s="30" customFormat="1" ht="15.75" customHeight="1" x14ac:dyDescent="0.2">
      <c r="E964" s="42"/>
      <c r="H964" s="43"/>
      <c r="J964" s="23"/>
      <c r="S964" s="23"/>
    </row>
    <row r="965" spans="5:19" s="30" customFormat="1" ht="15.75" customHeight="1" x14ac:dyDescent="0.2">
      <c r="E965" s="42"/>
      <c r="H965" s="43"/>
      <c r="J965" s="23"/>
      <c r="S965" s="23"/>
    </row>
    <row r="966" spans="5:19" s="30" customFormat="1" ht="15.75" customHeight="1" x14ac:dyDescent="0.2">
      <c r="E966" s="42"/>
      <c r="H966" s="43"/>
      <c r="J966" s="23"/>
      <c r="S966" s="23"/>
    </row>
    <row r="967" spans="5:19" s="30" customFormat="1" ht="15.75" customHeight="1" x14ac:dyDescent="0.2">
      <c r="E967" s="42"/>
      <c r="H967" s="43"/>
      <c r="J967" s="23"/>
      <c r="S967" s="23"/>
    </row>
    <row r="968" spans="5:19" s="30" customFormat="1" ht="15.75" customHeight="1" x14ac:dyDescent="0.2">
      <c r="E968" s="42"/>
      <c r="H968" s="43"/>
      <c r="J968" s="23"/>
      <c r="S968" s="23"/>
    </row>
    <row r="969" spans="5:19" s="30" customFormat="1" ht="15.75" customHeight="1" x14ac:dyDescent="0.2">
      <c r="E969" s="42"/>
      <c r="H969" s="43"/>
      <c r="J969" s="23"/>
      <c r="S969" s="23"/>
    </row>
    <row r="970" spans="5:19" s="30" customFormat="1" ht="15.75" customHeight="1" x14ac:dyDescent="0.2">
      <c r="E970" s="42"/>
      <c r="H970" s="43"/>
      <c r="J970" s="23"/>
      <c r="S970" s="23"/>
    </row>
    <row r="971" spans="5:19" s="30" customFormat="1" ht="15.75" customHeight="1" x14ac:dyDescent="0.2">
      <c r="E971" s="42"/>
      <c r="H971" s="43"/>
      <c r="J971" s="23"/>
      <c r="S971" s="23"/>
    </row>
    <row r="972" spans="5:19" s="30" customFormat="1" ht="15.75" customHeight="1" x14ac:dyDescent="0.2">
      <c r="E972" s="42"/>
      <c r="H972" s="43"/>
      <c r="J972" s="23"/>
      <c r="S972" s="23"/>
    </row>
    <row r="973" spans="5:19" s="30" customFormat="1" ht="15.75" customHeight="1" x14ac:dyDescent="0.2">
      <c r="E973" s="42"/>
      <c r="H973" s="43"/>
      <c r="J973" s="23"/>
      <c r="S973" s="23"/>
    </row>
    <row r="974" spans="5:19" s="30" customFormat="1" ht="15.75" customHeight="1" x14ac:dyDescent="0.2">
      <c r="E974" s="42"/>
      <c r="H974" s="43"/>
      <c r="J974" s="23"/>
      <c r="S974" s="23"/>
    </row>
    <row r="975" spans="5:19" s="30" customFormat="1" ht="15.75" customHeight="1" x14ac:dyDescent="0.2">
      <c r="E975" s="42"/>
      <c r="H975" s="43"/>
      <c r="J975" s="23"/>
      <c r="S975" s="23"/>
    </row>
    <row r="976" spans="5:19" s="30" customFormat="1" ht="15.75" customHeight="1" x14ac:dyDescent="0.2">
      <c r="E976" s="42"/>
      <c r="H976" s="43"/>
      <c r="J976" s="23"/>
      <c r="S976" s="23"/>
    </row>
    <row r="977" spans="5:19" s="30" customFormat="1" ht="15.75" customHeight="1" x14ac:dyDescent="0.2">
      <c r="E977" s="42"/>
      <c r="H977" s="43"/>
      <c r="J977" s="23"/>
      <c r="S977" s="23"/>
    </row>
    <row r="978" spans="5:19" s="30" customFormat="1" ht="15.75" customHeight="1" x14ac:dyDescent="0.2">
      <c r="E978" s="42"/>
      <c r="H978" s="43"/>
      <c r="J978" s="23"/>
      <c r="S978" s="23"/>
    </row>
    <row r="979" spans="5:19" s="30" customFormat="1" ht="15.75" customHeight="1" x14ac:dyDescent="0.2">
      <c r="E979" s="42"/>
      <c r="H979" s="43"/>
      <c r="J979" s="23"/>
      <c r="S979" s="23"/>
    </row>
    <row r="980" spans="5:19" s="30" customFormat="1" ht="15.75" customHeight="1" x14ac:dyDescent="0.2">
      <c r="E980" s="42"/>
      <c r="H980" s="43"/>
      <c r="J980" s="23"/>
      <c r="S980" s="23"/>
    </row>
    <row r="981" spans="5:19" s="30" customFormat="1" ht="15.75" customHeight="1" x14ac:dyDescent="0.2">
      <c r="E981" s="42"/>
      <c r="H981" s="43"/>
      <c r="J981" s="23"/>
      <c r="S981" s="23"/>
    </row>
    <row r="982" spans="5:19" s="30" customFormat="1" ht="15.75" customHeight="1" x14ac:dyDescent="0.2">
      <c r="E982" s="42"/>
      <c r="H982" s="43"/>
      <c r="J982" s="23"/>
      <c r="S982" s="23"/>
    </row>
    <row r="983" spans="5:19" s="30" customFormat="1" ht="15.75" customHeight="1" x14ac:dyDescent="0.2">
      <c r="E983" s="42"/>
      <c r="H983" s="43"/>
      <c r="J983" s="23"/>
      <c r="S983" s="23"/>
    </row>
    <row r="984" spans="5:19" s="30" customFormat="1" ht="15.75" customHeight="1" x14ac:dyDescent="0.2">
      <c r="E984" s="42"/>
      <c r="H984" s="43"/>
      <c r="J984" s="23"/>
      <c r="S984" s="23"/>
    </row>
    <row r="985" spans="5:19" s="30" customFormat="1" ht="15.75" customHeight="1" x14ac:dyDescent="0.2">
      <c r="E985" s="42"/>
      <c r="H985" s="43"/>
      <c r="J985" s="23"/>
      <c r="S985" s="23"/>
    </row>
    <row r="986" spans="5:19" s="30" customFormat="1" ht="15.75" customHeight="1" x14ac:dyDescent="0.2">
      <c r="E986" s="42"/>
      <c r="H986" s="43"/>
      <c r="J986" s="23"/>
      <c r="S986" s="23"/>
    </row>
    <row r="987" spans="5:19" s="30" customFormat="1" ht="15.75" customHeight="1" x14ac:dyDescent="0.2">
      <c r="E987" s="42"/>
      <c r="H987" s="43"/>
      <c r="J987" s="23"/>
      <c r="S987" s="23"/>
    </row>
    <row r="988" spans="5:19" s="30" customFormat="1" ht="15.75" customHeight="1" x14ac:dyDescent="0.2">
      <c r="E988" s="42"/>
      <c r="H988" s="43"/>
      <c r="J988" s="23"/>
      <c r="S988" s="23"/>
    </row>
    <row r="989" spans="5:19" s="30" customFormat="1" ht="15.75" customHeight="1" x14ac:dyDescent="0.2">
      <c r="E989" s="42"/>
      <c r="H989" s="43"/>
      <c r="J989" s="23"/>
      <c r="S989" s="23"/>
    </row>
    <row r="990" spans="5:19" s="30" customFormat="1" ht="15.75" customHeight="1" x14ac:dyDescent="0.2">
      <c r="E990" s="42"/>
      <c r="H990" s="43"/>
      <c r="J990" s="23"/>
      <c r="S990" s="23"/>
    </row>
    <row r="991" spans="5:19" s="30" customFormat="1" ht="15.75" customHeight="1" x14ac:dyDescent="0.2">
      <c r="E991" s="42"/>
      <c r="H991" s="43"/>
      <c r="J991" s="23"/>
      <c r="S991" s="23"/>
    </row>
    <row r="992" spans="5:19" s="30" customFormat="1" ht="15.75" customHeight="1" x14ac:dyDescent="0.2">
      <c r="E992" s="42"/>
      <c r="H992" s="43"/>
      <c r="J992" s="23"/>
      <c r="S992" s="23"/>
    </row>
    <row r="993" spans="5:19" s="30" customFormat="1" ht="15.75" customHeight="1" x14ac:dyDescent="0.2">
      <c r="E993" s="42"/>
      <c r="H993" s="43"/>
      <c r="J993" s="23"/>
      <c r="S993" s="23"/>
    </row>
    <row r="994" spans="5:19" s="30" customFormat="1" ht="15.75" customHeight="1" x14ac:dyDescent="0.2">
      <c r="E994" s="42"/>
      <c r="H994" s="43"/>
      <c r="J994" s="23"/>
      <c r="S994" s="23"/>
    </row>
    <row r="995" spans="5:19" s="30" customFormat="1" ht="15.75" customHeight="1" x14ac:dyDescent="0.2">
      <c r="E995" s="42"/>
      <c r="H995" s="43"/>
      <c r="J995" s="23"/>
      <c r="S995" s="23"/>
    </row>
    <row r="996" spans="5:19" s="30" customFormat="1" ht="15.75" customHeight="1" x14ac:dyDescent="0.2">
      <c r="E996" s="42"/>
      <c r="H996" s="43"/>
      <c r="J996" s="23"/>
      <c r="S996" s="23"/>
    </row>
    <row r="997" spans="5:19" s="30" customFormat="1" ht="15.75" customHeight="1" x14ac:dyDescent="0.2">
      <c r="E997" s="42"/>
      <c r="H997" s="43"/>
      <c r="J997" s="23"/>
      <c r="S997" s="23"/>
    </row>
    <row r="998" spans="5:19" s="30" customFormat="1" ht="15.75" customHeight="1" x14ac:dyDescent="0.2">
      <c r="E998" s="42"/>
      <c r="H998" s="43"/>
      <c r="J998" s="23"/>
      <c r="S998" s="23"/>
    </row>
    <row r="999" spans="5:19" s="30" customFormat="1" ht="15.75" customHeight="1" x14ac:dyDescent="0.2">
      <c r="E999" s="42"/>
      <c r="H999" s="43"/>
      <c r="J999" s="23"/>
      <c r="S999" s="23"/>
    </row>
    <row r="1000" spans="5:19" s="30" customFormat="1" ht="15.75" customHeight="1" x14ac:dyDescent="0.2">
      <c r="E1000" s="42"/>
      <c r="H1000" s="43"/>
      <c r="J1000" s="23"/>
      <c r="S1000" s="23"/>
    </row>
    <row r="1001" spans="5:19" s="30" customFormat="1" ht="15.75" customHeight="1" x14ac:dyDescent="0.2">
      <c r="E1001" s="42"/>
      <c r="H1001" s="43"/>
      <c r="J1001" s="23"/>
      <c r="S1001" s="23"/>
    </row>
    <row r="1002" spans="5:19" s="30" customFormat="1" ht="15.75" customHeight="1" x14ac:dyDescent="0.2">
      <c r="E1002" s="42"/>
      <c r="H1002" s="43"/>
      <c r="J1002" s="23"/>
      <c r="S1002" s="23"/>
    </row>
    <row r="1003" spans="5:19" s="30" customFormat="1" ht="15.75" customHeight="1" x14ac:dyDescent="0.2">
      <c r="E1003" s="42"/>
      <c r="H1003" s="43"/>
      <c r="J1003" s="23"/>
      <c r="S1003" s="23"/>
    </row>
    <row r="1004" spans="5:19" s="30" customFormat="1" ht="15.75" customHeight="1" x14ac:dyDescent="0.2">
      <c r="E1004" s="42"/>
      <c r="H1004" s="43"/>
      <c r="J1004" s="23"/>
      <c r="S1004" s="23"/>
    </row>
    <row r="1005" spans="5:19" s="30" customFormat="1" ht="15.75" customHeight="1" x14ac:dyDescent="0.2">
      <c r="E1005" s="42"/>
      <c r="H1005" s="43"/>
      <c r="J1005" s="23"/>
      <c r="S1005" s="23"/>
    </row>
    <row r="1006" spans="5:19" s="30" customFormat="1" ht="15.75" customHeight="1" x14ac:dyDescent="0.2">
      <c r="E1006" s="42"/>
      <c r="H1006" s="43"/>
      <c r="J1006" s="23"/>
      <c r="S1006" s="23"/>
    </row>
    <row r="1007" spans="5:19" s="30" customFormat="1" ht="15.75" customHeight="1" x14ac:dyDescent="0.2">
      <c r="E1007" s="42"/>
      <c r="H1007" s="43"/>
      <c r="J1007" s="23"/>
      <c r="S1007" s="23"/>
    </row>
    <row r="1008" spans="5:19" s="30" customFormat="1" ht="15.75" customHeight="1" x14ac:dyDescent="0.2">
      <c r="E1008" s="42"/>
      <c r="H1008" s="43"/>
      <c r="J1008" s="23"/>
      <c r="S1008" s="23"/>
    </row>
    <row r="1009" spans="5:19" s="30" customFormat="1" ht="15.75" customHeight="1" x14ac:dyDescent="0.2">
      <c r="E1009" s="42"/>
      <c r="H1009" s="43"/>
      <c r="J1009" s="23"/>
      <c r="S1009" s="23"/>
    </row>
    <row r="1010" spans="5:19" s="30" customFormat="1" ht="15.75" customHeight="1" x14ac:dyDescent="0.2">
      <c r="E1010" s="42"/>
      <c r="H1010" s="43"/>
      <c r="J1010" s="23"/>
      <c r="S1010" s="23"/>
    </row>
    <row r="1011" spans="5:19" s="30" customFormat="1" ht="15.75" customHeight="1" x14ac:dyDescent="0.2">
      <c r="E1011" s="42"/>
      <c r="H1011" s="43"/>
      <c r="J1011" s="23"/>
      <c r="S1011" s="23"/>
    </row>
    <row r="1012" spans="5:19" s="30" customFormat="1" ht="15.75" customHeight="1" x14ac:dyDescent="0.2">
      <c r="E1012" s="42"/>
      <c r="H1012" s="43"/>
      <c r="J1012" s="23"/>
      <c r="S1012" s="23"/>
    </row>
    <row r="1013" spans="5:19" s="30" customFormat="1" ht="15.75" customHeight="1" x14ac:dyDescent="0.2">
      <c r="E1013" s="42"/>
      <c r="H1013" s="43"/>
      <c r="J1013" s="23"/>
      <c r="S1013" s="23"/>
    </row>
    <row r="1014" spans="5:19" s="30" customFormat="1" ht="15.75" customHeight="1" x14ac:dyDescent="0.2">
      <c r="E1014" s="42"/>
      <c r="H1014" s="43"/>
      <c r="J1014" s="23"/>
      <c r="S1014" s="23"/>
    </row>
    <row r="1015" spans="5:19" s="30" customFormat="1" ht="15.75" customHeight="1" x14ac:dyDescent="0.2">
      <c r="E1015" s="42"/>
      <c r="H1015" s="43"/>
      <c r="J1015" s="23"/>
      <c r="S1015" s="23"/>
    </row>
    <row r="1016" spans="5:19" s="30" customFormat="1" ht="15.75" customHeight="1" x14ac:dyDescent="0.2">
      <c r="E1016" s="42"/>
      <c r="H1016" s="43"/>
      <c r="J1016" s="23"/>
      <c r="S1016" s="23"/>
    </row>
    <row r="1017" spans="5:19" s="30" customFormat="1" ht="15.75" customHeight="1" x14ac:dyDescent="0.2">
      <c r="E1017" s="42"/>
      <c r="H1017" s="43"/>
      <c r="J1017" s="23"/>
      <c r="S1017" s="23"/>
    </row>
    <row r="1018" spans="5:19" s="30" customFormat="1" ht="15.75" customHeight="1" x14ac:dyDescent="0.2">
      <c r="E1018" s="42"/>
      <c r="H1018" s="43"/>
      <c r="J1018" s="23"/>
      <c r="S1018" s="23"/>
    </row>
    <row r="1019" spans="5:19" s="30" customFormat="1" ht="15.75" customHeight="1" x14ac:dyDescent="0.2">
      <c r="E1019" s="42"/>
      <c r="H1019" s="43"/>
      <c r="J1019" s="23"/>
      <c r="S1019" s="23"/>
    </row>
    <row r="1020" spans="5:19" s="30" customFormat="1" ht="15.75" customHeight="1" x14ac:dyDescent="0.2">
      <c r="E1020" s="42"/>
      <c r="H1020" s="43"/>
      <c r="J1020" s="23"/>
      <c r="S1020" s="23"/>
    </row>
    <row r="1021" spans="5:19" s="30" customFormat="1" ht="15.75" customHeight="1" x14ac:dyDescent="0.2">
      <c r="E1021" s="42"/>
      <c r="H1021" s="43"/>
      <c r="J1021" s="23"/>
      <c r="S1021" s="23"/>
    </row>
    <row r="1022" spans="5:19" s="30" customFormat="1" ht="15.75" customHeight="1" x14ac:dyDescent="0.2">
      <c r="E1022" s="42"/>
      <c r="H1022" s="43"/>
      <c r="J1022" s="23"/>
      <c r="S1022" s="23"/>
    </row>
    <row r="1023" spans="5:19" s="30" customFormat="1" ht="15.75" customHeight="1" x14ac:dyDescent="0.2">
      <c r="E1023" s="42"/>
      <c r="H1023" s="43"/>
      <c r="J1023" s="23"/>
      <c r="S1023" s="23"/>
    </row>
    <row r="1024" spans="5:19" s="30" customFormat="1" ht="15.75" customHeight="1" x14ac:dyDescent="0.2">
      <c r="E1024" s="42"/>
      <c r="H1024" s="43"/>
      <c r="J1024" s="23"/>
      <c r="S1024" s="23"/>
    </row>
    <row r="1025" spans="5:19" s="30" customFormat="1" ht="15.75" customHeight="1" x14ac:dyDescent="0.2">
      <c r="E1025" s="42"/>
      <c r="H1025" s="43"/>
      <c r="J1025" s="23"/>
      <c r="S1025" s="23"/>
    </row>
    <row r="1026" spans="5:19" s="30" customFormat="1" ht="15.75" customHeight="1" x14ac:dyDescent="0.2">
      <c r="E1026" s="42"/>
      <c r="H1026" s="43"/>
      <c r="J1026" s="23"/>
      <c r="S1026" s="23"/>
    </row>
    <row r="1027" spans="5:19" s="30" customFormat="1" ht="15.75" customHeight="1" x14ac:dyDescent="0.2">
      <c r="E1027" s="42"/>
      <c r="H1027" s="43"/>
      <c r="J1027" s="23"/>
      <c r="S1027" s="23"/>
    </row>
    <row r="1028" spans="5:19" s="30" customFormat="1" ht="15.75" customHeight="1" x14ac:dyDescent="0.2">
      <c r="E1028" s="42"/>
      <c r="H1028" s="43"/>
      <c r="J1028" s="23"/>
      <c r="S1028" s="23"/>
    </row>
    <row r="1029" spans="5:19" s="30" customFormat="1" ht="15.75" customHeight="1" x14ac:dyDescent="0.2">
      <c r="E1029" s="42"/>
      <c r="H1029" s="43"/>
      <c r="J1029" s="23"/>
      <c r="S1029" s="23"/>
    </row>
    <row r="1030" spans="5:19" s="30" customFormat="1" ht="15.75" customHeight="1" x14ac:dyDescent="0.2">
      <c r="E1030" s="42"/>
      <c r="H1030" s="43"/>
      <c r="J1030" s="23"/>
      <c r="S1030" s="23"/>
    </row>
    <row r="1031" spans="5:19" s="30" customFormat="1" ht="15.75" customHeight="1" x14ac:dyDescent="0.2">
      <c r="E1031" s="42"/>
      <c r="H1031" s="43"/>
      <c r="J1031" s="23"/>
      <c r="S1031" s="23"/>
    </row>
    <row r="1032" spans="5:19" s="30" customFormat="1" ht="15.75" customHeight="1" x14ac:dyDescent="0.2">
      <c r="E1032" s="42"/>
      <c r="H1032" s="43"/>
      <c r="J1032" s="23"/>
      <c r="S1032" s="23"/>
    </row>
    <row r="1033" spans="5:19" s="30" customFormat="1" ht="15.75" customHeight="1" x14ac:dyDescent="0.2">
      <c r="E1033" s="42"/>
      <c r="H1033" s="43"/>
      <c r="J1033" s="23"/>
      <c r="S1033" s="23"/>
    </row>
    <row r="1034" spans="5:19" s="30" customFormat="1" ht="15.75" customHeight="1" x14ac:dyDescent="0.2">
      <c r="E1034" s="42"/>
      <c r="H1034" s="43"/>
      <c r="J1034" s="23"/>
      <c r="S1034" s="23"/>
    </row>
    <row r="1035" spans="5:19" s="30" customFormat="1" ht="15.75" customHeight="1" x14ac:dyDescent="0.2">
      <c r="E1035" s="42"/>
      <c r="H1035" s="43"/>
      <c r="J1035" s="23"/>
      <c r="S1035" s="23"/>
    </row>
    <row r="1036" spans="5:19" s="30" customFormat="1" ht="15.75" customHeight="1" x14ac:dyDescent="0.2">
      <c r="E1036" s="42"/>
      <c r="H1036" s="43"/>
      <c r="J1036" s="23"/>
      <c r="S1036" s="23"/>
    </row>
    <row r="1037" spans="5:19" s="30" customFormat="1" ht="15.75" customHeight="1" x14ac:dyDescent="0.2">
      <c r="E1037" s="42"/>
      <c r="H1037" s="43"/>
      <c r="J1037" s="23"/>
      <c r="S1037" s="23"/>
    </row>
    <row r="1038" spans="5:19" s="30" customFormat="1" ht="15.75" customHeight="1" x14ac:dyDescent="0.2">
      <c r="E1038" s="42"/>
      <c r="H1038" s="43"/>
      <c r="J1038" s="23"/>
      <c r="S1038" s="23"/>
    </row>
    <row r="1039" spans="5:19" s="30" customFormat="1" ht="15.75" customHeight="1" x14ac:dyDescent="0.2">
      <c r="E1039" s="42"/>
      <c r="H1039" s="43"/>
      <c r="J1039" s="23"/>
      <c r="S1039" s="23"/>
    </row>
    <row r="1040" spans="5:19" s="30" customFormat="1" ht="15.75" customHeight="1" x14ac:dyDescent="0.2">
      <c r="E1040" s="42"/>
      <c r="H1040" s="43"/>
      <c r="J1040" s="23"/>
      <c r="S1040" s="23"/>
    </row>
    <row r="1041" spans="5:19" s="30" customFormat="1" ht="15.75" customHeight="1" x14ac:dyDescent="0.2">
      <c r="E1041" s="42"/>
      <c r="H1041" s="43"/>
      <c r="J1041" s="23"/>
      <c r="S1041" s="23"/>
    </row>
    <row r="1042" spans="5:19" s="30" customFormat="1" ht="15.75" customHeight="1" x14ac:dyDescent="0.2">
      <c r="E1042" s="42"/>
      <c r="H1042" s="43"/>
      <c r="J1042" s="23"/>
      <c r="S1042" s="23"/>
    </row>
    <row r="1043" spans="5:19" s="30" customFormat="1" ht="15.75" customHeight="1" x14ac:dyDescent="0.2">
      <c r="E1043" s="42"/>
      <c r="H1043" s="43"/>
      <c r="J1043" s="23"/>
      <c r="S1043" s="23"/>
    </row>
    <row r="1044" spans="5:19" s="30" customFormat="1" ht="15.75" customHeight="1" x14ac:dyDescent="0.2">
      <c r="E1044" s="42"/>
      <c r="H1044" s="43"/>
      <c r="J1044" s="23"/>
      <c r="S1044" s="23"/>
    </row>
    <row r="1045" spans="5:19" s="30" customFormat="1" ht="15.75" customHeight="1" x14ac:dyDescent="0.2">
      <c r="E1045" s="42"/>
      <c r="H1045" s="43"/>
      <c r="J1045" s="23"/>
      <c r="S1045" s="23"/>
    </row>
    <row r="1046" spans="5:19" s="30" customFormat="1" ht="15.75" customHeight="1" x14ac:dyDescent="0.2">
      <c r="E1046" s="42"/>
      <c r="H1046" s="43"/>
      <c r="J1046" s="23"/>
      <c r="S1046" s="23"/>
    </row>
    <row r="1047" spans="5:19" s="30" customFormat="1" ht="15.75" customHeight="1" x14ac:dyDescent="0.2">
      <c r="E1047" s="42"/>
      <c r="H1047" s="43"/>
      <c r="J1047" s="23"/>
      <c r="S1047" s="23"/>
    </row>
    <row r="1048" spans="5:19" s="30" customFormat="1" ht="15.75" customHeight="1" x14ac:dyDescent="0.2">
      <c r="E1048" s="42"/>
      <c r="H1048" s="43"/>
      <c r="J1048" s="23"/>
      <c r="S1048" s="23"/>
    </row>
    <row r="1049" spans="5:19" s="30" customFormat="1" ht="15.75" customHeight="1" x14ac:dyDescent="0.2">
      <c r="E1049" s="42"/>
      <c r="H1049" s="43"/>
      <c r="J1049" s="23"/>
      <c r="S1049" s="23"/>
    </row>
    <row r="1050" spans="5:19" s="30" customFormat="1" ht="15.75" customHeight="1" x14ac:dyDescent="0.2">
      <c r="E1050" s="42"/>
      <c r="H1050" s="43"/>
      <c r="J1050" s="23"/>
      <c r="S1050" s="23"/>
    </row>
    <row r="1051" spans="5:19" s="30" customFormat="1" ht="15.75" customHeight="1" x14ac:dyDescent="0.2">
      <c r="E1051" s="42"/>
      <c r="H1051" s="43"/>
      <c r="J1051" s="23"/>
      <c r="S1051" s="23"/>
    </row>
    <row r="1052" spans="5:19" s="30" customFormat="1" ht="15.75" customHeight="1" x14ac:dyDescent="0.2">
      <c r="E1052" s="42"/>
      <c r="H1052" s="43"/>
      <c r="J1052" s="23"/>
      <c r="S1052" s="23"/>
    </row>
    <row r="1053" spans="5:19" s="30" customFormat="1" ht="15.75" customHeight="1" x14ac:dyDescent="0.2">
      <c r="E1053" s="42"/>
      <c r="H1053" s="43"/>
      <c r="J1053" s="23"/>
      <c r="S1053" s="23"/>
    </row>
    <row r="1054" spans="5:19" s="30" customFormat="1" ht="15.75" customHeight="1" x14ac:dyDescent="0.2">
      <c r="E1054" s="42"/>
      <c r="H1054" s="43"/>
      <c r="J1054" s="23"/>
      <c r="S1054" s="23"/>
    </row>
    <row r="1055" spans="5:19" s="30" customFormat="1" ht="15.75" customHeight="1" x14ac:dyDescent="0.2">
      <c r="E1055" s="42"/>
      <c r="H1055" s="43"/>
      <c r="J1055" s="23"/>
      <c r="S1055" s="23"/>
    </row>
    <row r="1056" spans="5:19" s="30" customFormat="1" ht="15.75" customHeight="1" x14ac:dyDescent="0.2">
      <c r="E1056" s="42"/>
      <c r="H1056" s="43"/>
      <c r="J1056" s="23"/>
      <c r="S1056" s="23"/>
    </row>
    <row r="1057" spans="5:19" s="30" customFormat="1" ht="15.75" customHeight="1" x14ac:dyDescent="0.2">
      <c r="E1057" s="42"/>
      <c r="H1057" s="43"/>
      <c r="J1057" s="23"/>
      <c r="S1057" s="23"/>
    </row>
    <row r="1058" spans="5:19" s="30" customFormat="1" ht="15.75" customHeight="1" x14ac:dyDescent="0.2">
      <c r="E1058" s="42"/>
      <c r="H1058" s="43"/>
      <c r="J1058" s="23"/>
      <c r="S1058" s="23"/>
    </row>
    <row r="1059" spans="5:19" s="30" customFormat="1" ht="15.75" customHeight="1" x14ac:dyDescent="0.2">
      <c r="E1059" s="42"/>
      <c r="H1059" s="43"/>
      <c r="J1059" s="23"/>
      <c r="S1059" s="23"/>
    </row>
    <row r="1060" spans="5:19" s="30" customFormat="1" ht="15.75" customHeight="1" x14ac:dyDescent="0.2">
      <c r="E1060" s="42"/>
      <c r="H1060" s="43"/>
      <c r="J1060" s="23"/>
      <c r="S1060" s="23"/>
    </row>
    <row r="1061" spans="5:19" s="30" customFormat="1" ht="15.75" customHeight="1" x14ac:dyDescent="0.2">
      <c r="E1061" s="42"/>
      <c r="H1061" s="43"/>
      <c r="J1061" s="23"/>
      <c r="S1061" s="23"/>
    </row>
    <row r="1062" spans="5:19" s="30" customFormat="1" ht="15.75" customHeight="1" x14ac:dyDescent="0.2">
      <c r="E1062" s="42"/>
      <c r="H1062" s="43"/>
      <c r="J1062" s="23"/>
      <c r="S1062" s="23"/>
    </row>
    <row r="1063" spans="5:19" s="30" customFormat="1" ht="15.75" customHeight="1" x14ac:dyDescent="0.2">
      <c r="E1063" s="42"/>
      <c r="H1063" s="43"/>
      <c r="J1063" s="23"/>
      <c r="S1063" s="23"/>
    </row>
    <row r="1064" spans="5:19" s="30" customFormat="1" ht="15.75" customHeight="1" x14ac:dyDescent="0.2">
      <c r="E1064" s="42"/>
      <c r="H1064" s="43"/>
      <c r="J1064" s="23"/>
      <c r="S1064" s="23"/>
    </row>
    <row r="1065" spans="5:19" s="30" customFormat="1" ht="15.75" customHeight="1" x14ac:dyDescent="0.2">
      <c r="E1065" s="42"/>
      <c r="H1065" s="43"/>
      <c r="J1065" s="23"/>
      <c r="S1065" s="23"/>
    </row>
    <row r="1066" spans="5:19" s="30" customFormat="1" ht="15.75" customHeight="1" x14ac:dyDescent="0.2">
      <c r="E1066" s="42"/>
      <c r="H1066" s="43"/>
      <c r="J1066" s="23"/>
      <c r="S1066" s="23"/>
    </row>
    <row r="1067" spans="5:19" s="30" customFormat="1" ht="15.75" customHeight="1" x14ac:dyDescent="0.2">
      <c r="E1067" s="42"/>
      <c r="H1067" s="43"/>
      <c r="J1067" s="23"/>
      <c r="S1067" s="23"/>
    </row>
    <row r="1068" spans="5:19" s="30" customFormat="1" ht="15.75" customHeight="1" x14ac:dyDescent="0.2">
      <c r="E1068" s="42"/>
      <c r="H1068" s="43"/>
      <c r="J1068" s="23"/>
      <c r="S1068" s="23"/>
    </row>
    <row r="1069" spans="5:19" s="30" customFormat="1" ht="15.75" customHeight="1" x14ac:dyDescent="0.2">
      <c r="E1069" s="42"/>
      <c r="H1069" s="43"/>
      <c r="J1069" s="23"/>
      <c r="S1069" s="23"/>
    </row>
    <row r="1070" spans="5:19" s="30" customFormat="1" ht="15.75" customHeight="1" x14ac:dyDescent="0.2">
      <c r="E1070" s="42"/>
      <c r="H1070" s="43"/>
      <c r="J1070" s="23"/>
      <c r="S1070" s="23"/>
    </row>
    <row r="1071" spans="5:19" s="30" customFormat="1" ht="15.75" customHeight="1" x14ac:dyDescent="0.2">
      <c r="E1071" s="42"/>
      <c r="H1071" s="43"/>
      <c r="J1071" s="23"/>
      <c r="S1071" s="23"/>
    </row>
    <row r="1072" spans="5:19" s="30" customFormat="1" ht="15.75" customHeight="1" x14ac:dyDescent="0.2">
      <c r="E1072" s="42"/>
      <c r="H1072" s="43"/>
      <c r="J1072" s="23"/>
      <c r="S1072" s="23"/>
    </row>
    <row r="1073" spans="5:19" s="30" customFormat="1" ht="15.75" customHeight="1" x14ac:dyDescent="0.2">
      <c r="E1073" s="42"/>
      <c r="H1073" s="43"/>
      <c r="J1073" s="23"/>
      <c r="S1073" s="23"/>
    </row>
    <row r="1074" spans="5:19" s="30" customFormat="1" ht="15.75" customHeight="1" x14ac:dyDescent="0.2">
      <c r="E1074" s="42"/>
      <c r="H1074" s="43"/>
      <c r="J1074" s="23"/>
      <c r="S1074" s="23"/>
    </row>
    <row r="1075" spans="5:19" s="30" customFormat="1" ht="15.75" customHeight="1" x14ac:dyDescent="0.2">
      <c r="E1075" s="42"/>
      <c r="H1075" s="43"/>
      <c r="J1075" s="23"/>
      <c r="S1075" s="23"/>
    </row>
    <row r="1076" spans="5:19" s="30" customFormat="1" ht="15.75" customHeight="1" x14ac:dyDescent="0.2">
      <c r="E1076" s="42"/>
      <c r="H1076" s="43"/>
      <c r="J1076" s="23"/>
      <c r="S1076" s="23"/>
    </row>
    <row r="1077" spans="5:19" s="30" customFormat="1" ht="15.75" customHeight="1" x14ac:dyDescent="0.2">
      <c r="E1077" s="42"/>
      <c r="H1077" s="43"/>
      <c r="J1077" s="23"/>
      <c r="S1077" s="23"/>
    </row>
    <row r="1078" spans="5:19" s="30" customFormat="1" ht="15.75" customHeight="1" x14ac:dyDescent="0.2">
      <c r="E1078" s="42"/>
      <c r="H1078" s="43"/>
      <c r="J1078" s="23"/>
      <c r="S1078" s="23"/>
    </row>
    <row r="1079" spans="5:19" s="30" customFormat="1" ht="15.75" customHeight="1" x14ac:dyDescent="0.2">
      <c r="E1079" s="42"/>
      <c r="H1079" s="43"/>
      <c r="J1079" s="23"/>
      <c r="S1079" s="23"/>
    </row>
    <row r="1080" spans="5:19" s="30" customFormat="1" ht="15.75" customHeight="1" x14ac:dyDescent="0.2">
      <c r="E1080" s="42"/>
      <c r="H1080" s="43"/>
      <c r="J1080" s="23"/>
      <c r="S1080" s="23"/>
    </row>
    <row r="1081" spans="5:19" s="30" customFormat="1" ht="15.75" customHeight="1" x14ac:dyDescent="0.2">
      <c r="E1081" s="42"/>
      <c r="H1081" s="43"/>
      <c r="J1081" s="23"/>
      <c r="S1081" s="23"/>
    </row>
    <row r="1082" spans="5:19" s="30" customFormat="1" ht="15.75" customHeight="1" x14ac:dyDescent="0.2">
      <c r="E1082" s="42"/>
      <c r="H1082" s="43"/>
      <c r="J1082" s="23"/>
      <c r="S1082" s="23"/>
    </row>
    <row r="1083" spans="5:19" s="30" customFormat="1" ht="15.75" customHeight="1" x14ac:dyDescent="0.2">
      <c r="E1083" s="42"/>
      <c r="H1083" s="43"/>
      <c r="J1083" s="23"/>
      <c r="S1083" s="23"/>
    </row>
    <row r="1084" spans="5:19" s="30" customFormat="1" ht="15.75" customHeight="1" x14ac:dyDescent="0.2">
      <c r="E1084" s="42"/>
      <c r="H1084" s="43"/>
      <c r="J1084" s="23"/>
      <c r="S1084" s="23"/>
    </row>
    <row r="1085" spans="5:19" s="30" customFormat="1" ht="15.75" customHeight="1" x14ac:dyDescent="0.2">
      <c r="E1085" s="42"/>
      <c r="H1085" s="43"/>
      <c r="J1085" s="23"/>
      <c r="S1085" s="23"/>
    </row>
    <row r="1086" spans="5:19" s="30" customFormat="1" ht="15.75" customHeight="1" x14ac:dyDescent="0.2">
      <c r="E1086" s="42"/>
      <c r="H1086" s="43"/>
      <c r="J1086" s="23"/>
      <c r="S1086" s="23"/>
    </row>
    <row r="1087" spans="5:19" s="30" customFormat="1" ht="15.75" customHeight="1" x14ac:dyDescent="0.2">
      <c r="E1087" s="42"/>
      <c r="H1087" s="43"/>
      <c r="J1087" s="23"/>
      <c r="S1087" s="23"/>
    </row>
    <row r="1088" spans="5:19" s="30" customFormat="1" ht="15.75" customHeight="1" x14ac:dyDescent="0.2">
      <c r="E1088" s="42"/>
      <c r="H1088" s="43"/>
      <c r="J1088" s="23"/>
      <c r="S1088" s="23"/>
    </row>
    <row r="1089" spans="5:19" s="30" customFormat="1" ht="15.75" customHeight="1" x14ac:dyDescent="0.2">
      <c r="E1089" s="42"/>
      <c r="H1089" s="43"/>
      <c r="J1089" s="23"/>
      <c r="S1089" s="23"/>
    </row>
    <row r="1090" spans="5:19" s="30" customFormat="1" ht="15.75" customHeight="1" x14ac:dyDescent="0.2">
      <c r="E1090" s="42"/>
      <c r="H1090" s="43"/>
      <c r="J1090" s="23"/>
      <c r="S1090" s="23"/>
    </row>
    <row r="1091" spans="5:19" s="30" customFormat="1" ht="15.75" customHeight="1" x14ac:dyDescent="0.2">
      <c r="E1091" s="42"/>
      <c r="H1091" s="43"/>
      <c r="J1091" s="23"/>
      <c r="S1091" s="23"/>
    </row>
    <row r="1092" spans="5:19" s="30" customFormat="1" ht="15.75" customHeight="1" x14ac:dyDescent="0.2">
      <c r="E1092" s="42"/>
      <c r="H1092" s="43"/>
      <c r="J1092" s="23"/>
      <c r="S1092" s="23"/>
    </row>
    <row r="1093" spans="5:19" s="30" customFormat="1" ht="15.75" customHeight="1" x14ac:dyDescent="0.2">
      <c r="E1093" s="42"/>
      <c r="H1093" s="43"/>
      <c r="J1093" s="23"/>
      <c r="S1093" s="23"/>
    </row>
    <row r="1094" spans="5:19" s="30" customFormat="1" ht="15.75" customHeight="1" x14ac:dyDescent="0.2">
      <c r="E1094" s="42"/>
      <c r="H1094" s="43"/>
      <c r="J1094" s="23"/>
      <c r="S1094" s="23"/>
    </row>
    <row r="1095" spans="5:19" s="30" customFormat="1" ht="15.75" customHeight="1" x14ac:dyDescent="0.2">
      <c r="E1095" s="42"/>
      <c r="H1095" s="43"/>
      <c r="J1095" s="23"/>
      <c r="S1095" s="23"/>
    </row>
    <row r="1096" spans="5:19" s="30" customFormat="1" ht="15.75" customHeight="1" x14ac:dyDescent="0.2">
      <c r="E1096" s="42"/>
      <c r="H1096" s="43"/>
      <c r="J1096" s="23"/>
      <c r="S1096" s="23"/>
    </row>
    <row r="1097" spans="5:19" s="30" customFormat="1" ht="15.75" customHeight="1" x14ac:dyDescent="0.2">
      <c r="E1097" s="42"/>
      <c r="H1097" s="43"/>
      <c r="J1097" s="23"/>
      <c r="S1097" s="23"/>
    </row>
    <row r="1098" spans="5:19" s="30" customFormat="1" ht="15.75" customHeight="1" x14ac:dyDescent="0.2">
      <c r="E1098" s="42"/>
      <c r="H1098" s="43"/>
      <c r="J1098" s="23"/>
      <c r="S1098" s="23"/>
    </row>
    <row r="1099" spans="5:19" s="30" customFormat="1" ht="15.75" customHeight="1" x14ac:dyDescent="0.2">
      <c r="E1099" s="42"/>
      <c r="H1099" s="43"/>
      <c r="J1099" s="23"/>
      <c r="S1099" s="23"/>
    </row>
    <row r="1100" spans="5:19" s="30" customFormat="1" ht="15.75" customHeight="1" x14ac:dyDescent="0.2">
      <c r="E1100" s="42"/>
      <c r="H1100" s="43"/>
      <c r="J1100" s="23"/>
      <c r="S1100" s="23"/>
    </row>
    <row r="1101" spans="5:19" s="30" customFormat="1" ht="15.75" customHeight="1" x14ac:dyDescent="0.2">
      <c r="E1101" s="42"/>
      <c r="H1101" s="43"/>
      <c r="J1101" s="23"/>
      <c r="S1101" s="23"/>
    </row>
    <row r="1102" spans="5:19" s="30" customFormat="1" ht="15.75" customHeight="1" x14ac:dyDescent="0.2">
      <c r="E1102" s="42"/>
      <c r="H1102" s="43"/>
      <c r="J1102" s="23"/>
      <c r="S1102" s="23"/>
    </row>
    <row r="1103" spans="5:19" s="30" customFormat="1" ht="15.75" customHeight="1" x14ac:dyDescent="0.2">
      <c r="E1103" s="42"/>
      <c r="H1103" s="43"/>
      <c r="J1103" s="23"/>
      <c r="S1103" s="23"/>
    </row>
    <row r="1104" spans="5:19" s="30" customFormat="1" ht="15.75" customHeight="1" x14ac:dyDescent="0.2">
      <c r="E1104" s="42"/>
      <c r="H1104" s="43"/>
      <c r="J1104" s="23"/>
      <c r="S1104" s="23"/>
    </row>
    <row r="1105" spans="5:19" s="30" customFormat="1" ht="15.75" customHeight="1" x14ac:dyDescent="0.2">
      <c r="E1105" s="42"/>
      <c r="H1105" s="43"/>
      <c r="J1105" s="23"/>
      <c r="S1105" s="23"/>
    </row>
    <row r="1106" spans="5:19" s="30" customFormat="1" ht="15.75" customHeight="1" x14ac:dyDescent="0.2">
      <c r="E1106" s="42"/>
      <c r="H1106" s="43"/>
      <c r="J1106" s="23"/>
      <c r="S1106" s="23"/>
    </row>
    <row r="1107" spans="5:19" s="30" customFormat="1" ht="15.75" customHeight="1" x14ac:dyDescent="0.2">
      <c r="E1107" s="42"/>
      <c r="H1107" s="43"/>
      <c r="J1107" s="23"/>
      <c r="S1107" s="23"/>
    </row>
    <row r="1108" spans="5:19" s="30" customFormat="1" ht="15.75" customHeight="1" x14ac:dyDescent="0.2">
      <c r="E1108" s="42"/>
      <c r="H1108" s="43"/>
      <c r="J1108" s="23"/>
      <c r="S1108" s="23"/>
    </row>
    <row r="1109" spans="5:19" s="30" customFormat="1" ht="15.75" customHeight="1" x14ac:dyDescent="0.2">
      <c r="E1109" s="42"/>
      <c r="H1109" s="43"/>
      <c r="J1109" s="23"/>
      <c r="S1109" s="23"/>
    </row>
    <row r="1110" spans="5:19" s="30" customFormat="1" ht="15.75" customHeight="1" x14ac:dyDescent="0.2">
      <c r="E1110" s="42"/>
      <c r="H1110" s="43"/>
      <c r="J1110" s="23"/>
      <c r="S1110" s="23"/>
    </row>
    <row r="1111" spans="5:19" s="30" customFormat="1" ht="15.75" customHeight="1" x14ac:dyDescent="0.2">
      <c r="E1111" s="42"/>
      <c r="H1111" s="43"/>
      <c r="J1111" s="23"/>
      <c r="S1111" s="23"/>
    </row>
    <row r="1112" spans="5:19" s="30" customFormat="1" ht="15.75" customHeight="1" x14ac:dyDescent="0.2">
      <c r="E1112" s="42"/>
      <c r="H1112" s="43"/>
      <c r="J1112" s="23"/>
      <c r="S1112" s="23"/>
    </row>
    <row r="1113" spans="5:19" s="30" customFormat="1" ht="15.75" customHeight="1" x14ac:dyDescent="0.2">
      <c r="E1113" s="42"/>
      <c r="H1113" s="43"/>
      <c r="J1113" s="23"/>
      <c r="S1113" s="23"/>
    </row>
    <row r="1114" spans="5:19" s="30" customFormat="1" ht="15.75" customHeight="1" x14ac:dyDescent="0.2">
      <c r="E1114" s="42"/>
      <c r="H1114" s="43"/>
      <c r="J1114" s="23"/>
      <c r="S1114" s="23"/>
    </row>
    <row r="1115" spans="5:19" s="30" customFormat="1" ht="15.75" customHeight="1" x14ac:dyDescent="0.2">
      <c r="E1115" s="42"/>
      <c r="H1115" s="43"/>
      <c r="J1115" s="23"/>
      <c r="S1115" s="23"/>
    </row>
    <row r="1116" spans="5:19" s="30" customFormat="1" ht="15.75" customHeight="1" x14ac:dyDescent="0.2">
      <c r="E1116" s="42"/>
      <c r="H1116" s="43"/>
      <c r="J1116" s="23"/>
      <c r="S1116" s="23"/>
    </row>
    <row r="1117" spans="5:19" s="30" customFormat="1" ht="15.75" customHeight="1" x14ac:dyDescent="0.2">
      <c r="E1117" s="42"/>
      <c r="H1117" s="43"/>
      <c r="J1117" s="23"/>
      <c r="S1117" s="23"/>
    </row>
    <row r="1118" spans="5:19" s="30" customFormat="1" ht="15.75" customHeight="1" x14ac:dyDescent="0.2">
      <c r="E1118" s="42"/>
      <c r="H1118" s="43"/>
      <c r="J1118" s="23"/>
      <c r="S1118" s="23"/>
    </row>
    <row r="1119" spans="5:19" s="30" customFormat="1" ht="15.75" customHeight="1" x14ac:dyDescent="0.2">
      <c r="E1119" s="42"/>
      <c r="H1119" s="43"/>
      <c r="J1119" s="23"/>
      <c r="S1119" s="23"/>
    </row>
    <row r="1120" spans="5:19" s="30" customFormat="1" ht="15.75" customHeight="1" x14ac:dyDescent="0.2">
      <c r="E1120" s="42"/>
      <c r="H1120" s="43"/>
      <c r="J1120" s="23"/>
      <c r="S1120" s="23"/>
    </row>
    <row r="1121" spans="5:19" s="30" customFormat="1" ht="15.75" customHeight="1" x14ac:dyDescent="0.2">
      <c r="E1121" s="42"/>
      <c r="H1121" s="43"/>
      <c r="J1121" s="23"/>
      <c r="S1121" s="23"/>
    </row>
    <row r="1122" spans="5:19" s="30" customFormat="1" ht="15.75" customHeight="1" x14ac:dyDescent="0.2">
      <c r="E1122" s="42"/>
      <c r="H1122" s="43"/>
      <c r="J1122" s="23"/>
      <c r="S1122" s="23"/>
    </row>
    <row r="1123" spans="5:19" s="30" customFormat="1" ht="15.75" customHeight="1" x14ac:dyDescent="0.2">
      <c r="E1123" s="42"/>
      <c r="H1123" s="43"/>
      <c r="J1123" s="23"/>
      <c r="S1123" s="23"/>
    </row>
    <row r="1124" spans="5:19" s="30" customFormat="1" ht="15.75" customHeight="1" x14ac:dyDescent="0.2">
      <c r="E1124" s="42"/>
      <c r="H1124" s="43"/>
      <c r="J1124" s="23"/>
      <c r="S1124" s="23"/>
    </row>
    <row r="1125" spans="5:19" s="30" customFormat="1" ht="15.75" customHeight="1" x14ac:dyDescent="0.2">
      <c r="E1125" s="42"/>
      <c r="H1125" s="43"/>
      <c r="J1125" s="23"/>
      <c r="S1125" s="23"/>
    </row>
    <row r="1126" spans="5:19" s="30" customFormat="1" ht="15.75" customHeight="1" x14ac:dyDescent="0.2">
      <c r="E1126" s="42"/>
      <c r="H1126" s="43"/>
      <c r="J1126" s="23"/>
      <c r="S1126" s="23"/>
    </row>
    <row r="1127" spans="5:19" s="30" customFormat="1" ht="15.75" customHeight="1" x14ac:dyDescent="0.2">
      <c r="E1127" s="42"/>
      <c r="H1127" s="43"/>
      <c r="J1127" s="23"/>
      <c r="S1127" s="23"/>
    </row>
    <row r="1128" spans="5:19" s="30" customFormat="1" ht="15.75" customHeight="1" x14ac:dyDescent="0.2">
      <c r="E1128" s="42"/>
      <c r="H1128" s="43"/>
      <c r="J1128" s="23"/>
      <c r="S1128" s="23"/>
    </row>
    <row r="1129" spans="5:19" s="30" customFormat="1" ht="15.75" customHeight="1" x14ac:dyDescent="0.2">
      <c r="E1129" s="42"/>
      <c r="H1129" s="43"/>
      <c r="J1129" s="23"/>
      <c r="S1129" s="23"/>
    </row>
    <row r="1130" spans="5:19" s="30" customFormat="1" ht="15.75" customHeight="1" x14ac:dyDescent="0.2">
      <c r="E1130" s="42"/>
      <c r="H1130" s="43"/>
      <c r="J1130" s="23"/>
      <c r="S1130" s="23"/>
    </row>
    <row r="1131" spans="5:19" s="30" customFormat="1" ht="15.75" customHeight="1" x14ac:dyDescent="0.2">
      <c r="E1131" s="42"/>
      <c r="H1131" s="43"/>
      <c r="J1131" s="23"/>
      <c r="S1131" s="23"/>
    </row>
    <row r="1132" spans="5:19" s="30" customFormat="1" ht="15.75" customHeight="1" x14ac:dyDescent="0.2">
      <c r="E1132" s="42"/>
      <c r="H1132" s="43"/>
      <c r="J1132" s="23"/>
      <c r="S1132" s="23"/>
    </row>
    <row r="1133" spans="5:19" s="30" customFormat="1" ht="15.75" customHeight="1" x14ac:dyDescent="0.2">
      <c r="E1133" s="42"/>
      <c r="H1133" s="43"/>
      <c r="J1133" s="23"/>
      <c r="S1133" s="23"/>
    </row>
    <row r="1134" spans="5:19" s="30" customFormat="1" ht="15.75" customHeight="1" x14ac:dyDescent="0.2">
      <c r="E1134" s="42"/>
      <c r="H1134" s="43"/>
      <c r="J1134" s="23"/>
      <c r="S1134" s="23"/>
    </row>
    <row r="1135" spans="5:19" s="30" customFormat="1" ht="15.75" customHeight="1" x14ac:dyDescent="0.2">
      <c r="E1135" s="42"/>
      <c r="H1135" s="43"/>
      <c r="J1135" s="23"/>
      <c r="S1135" s="23"/>
    </row>
    <row r="1136" spans="5:19" s="30" customFormat="1" ht="15.75" customHeight="1" x14ac:dyDescent="0.2">
      <c r="E1136" s="42"/>
      <c r="H1136" s="43"/>
      <c r="J1136" s="23"/>
      <c r="S1136" s="23"/>
    </row>
    <row r="1137" spans="5:19" s="30" customFormat="1" ht="15.75" customHeight="1" x14ac:dyDescent="0.2">
      <c r="E1137" s="42"/>
      <c r="H1137" s="43"/>
      <c r="J1137" s="23"/>
      <c r="S1137" s="23"/>
    </row>
    <row r="1138" spans="5:19" s="30" customFormat="1" ht="15.75" customHeight="1" x14ac:dyDescent="0.2">
      <c r="E1138" s="42"/>
      <c r="H1138" s="43"/>
      <c r="J1138" s="23"/>
      <c r="S1138" s="23"/>
    </row>
    <row r="1139" spans="5:19" s="30" customFormat="1" ht="15.75" customHeight="1" x14ac:dyDescent="0.2">
      <c r="E1139" s="42"/>
      <c r="H1139" s="43"/>
      <c r="J1139" s="23"/>
      <c r="S1139" s="23"/>
    </row>
    <row r="1140" spans="5:19" s="30" customFormat="1" ht="15.75" customHeight="1" x14ac:dyDescent="0.2">
      <c r="E1140" s="42"/>
      <c r="H1140" s="43"/>
      <c r="J1140" s="23"/>
      <c r="S1140" s="23"/>
    </row>
    <row r="1141" spans="5:19" s="30" customFormat="1" ht="15.75" customHeight="1" x14ac:dyDescent="0.2">
      <c r="E1141" s="42"/>
      <c r="H1141" s="43"/>
      <c r="J1141" s="23"/>
      <c r="S1141" s="23"/>
    </row>
    <row r="1142" spans="5:19" s="30" customFormat="1" ht="15.75" customHeight="1" x14ac:dyDescent="0.2">
      <c r="E1142" s="42"/>
      <c r="H1142" s="43"/>
      <c r="J1142" s="23"/>
      <c r="S1142" s="23"/>
    </row>
    <row r="1143" spans="5:19" s="30" customFormat="1" ht="15.75" customHeight="1" x14ac:dyDescent="0.2">
      <c r="E1143" s="42"/>
      <c r="H1143" s="43"/>
      <c r="J1143" s="23"/>
      <c r="S1143" s="23"/>
    </row>
    <row r="1144" spans="5:19" s="30" customFormat="1" ht="15.75" customHeight="1" x14ac:dyDescent="0.2">
      <c r="E1144" s="42"/>
      <c r="H1144" s="43"/>
      <c r="J1144" s="23"/>
      <c r="S1144" s="23"/>
    </row>
    <row r="1145" spans="5:19" s="30" customFormat="1" ht="15.75" customHeight="1" x14ac:dyDescent="0.2">
      <c r="E1145" s="42"/>
      <c r="H1145" s="43"/>
      <c r="J1145" s="23"/>
      <c r="S1145" s="23"/>
    </row>
    <row r="1146" spans="5:19" s="30" customFormat="1" ht="15.75" customHeight="1" x14ac:dyDescent="0.2">
      <c r="E1146" s="42"/>
      <c r="H1146" s="43"/>
      <c r="J1146" s="23"/>
      <c r="S1146" s="23"/>
    </row>
    <row r="1147" spans="5:19" s="30" customFormat="1" ht="15.75" customHeight="1" x14ac:dyDescent="0.2">
      <c r="E1147" s="42"/>
      <c r="H1147" s="43"/>
      <c r="J1147" s="23"/>
      <c r="S1147" s="23"/>
    </row>
    <row r="1148" spans="5:19" s="30" customFormat="1" ht="15.75" customHeight="1" x14ac:dyDescent="0.2">
      <c r="E1148" s="42"/>
      <c r="H1148" s="43"/>
      <c r="J1148" s="23"/>
      <c r="S1148" s="23"/>
    </row>
    <row r="1149" spans="5:19" s="30" customFormat="1" ht="15.75" customHeight="1" x14ac:dyDescent="0.2">
      <c r="E1149" s="42"/>
      <c r="H1149" s="43"/>
      <c r="J1149" s="23"/>
      <c r="S1149" s="23"/>
    </row>
    <row r="1150" spans="5:19" s="30" customFormat="1" ht="15.75" customHeight="1" x14ac:dyDescent="0.2">
      <c r="E1150" s="42"/>
      <c r="H1150" s="43"/>
      <c r="J1150" s="23"/>
      <c r="S1150" s="23"/>
    </row>
    <row r="1151" spans="5:19" s="30" customFormat="1" ht="15.75" customHeight="1" x14ac:dyDescent="0.2">
      <c r="E1151" s="42"/>
      <c r="H1151" s="43"/>
      <c r="J1151" s="23"/>
      <c r="S1151" s="23"/>
    </row>
    <row r="1152" spans="5:19" s="30" customFormat="1" ht="15.75" customHeight="1" x14ac:dyDescent="0.2">
      <c r="E1152" s="42"/>
      <c r="H1152" s="43"/>
      <c r="J1152" s="23"/>
      <c r="S1152" s="23"/>
    </row>
    <row r="1153" spans="5:19" s="30" customFormat="1" ht="15.75" customHeight="1" x14ac:dyDescent="0.2">
      <c r="E1153" s="42"/>
      <c r="H1153" s="43"/>
      <c r="J1153" s="23"/>
      <c r="S1153" s="23"/>
    </row>
    <row r="1154" spans="5:19" s="30" customFormat="1" ht="15.75" customHeight="1" x14ac:dyDescent="0.2">
      <c r="E1154" s="42"/>
      <c r="H1154" s="43"/>
      <c r="J1154" s="23"/>
      <c r="S1154" s="23"/>
    </row>
    <row r="1155" spans="5:19" s="30" customFormat="1" ht="15.75" customHeight="1" x14ac:dyDescent="0.2">
      <c r="E1155" s="42"/>
      <c r="H1155" s="43"/>
      <c r="J1155" s="23"/>
      <c r="S1155" s="23"/>
    </row>
    <row r="1156" spans="5:19" s="30" customFormat="1" ht="15.75" customHeight="1" x14ac:dyDescent="0.2">
      <c r="E1156" s="42"/>
      <c r="H1156" s="43"/>
      <c r="J1156" s="23"/>
      <c r="S1156" s="23"/>
    </row>
    <row r="1157" spans="5:19" s="30" customFormat="1" ht="15.75" customHeight="1" x14ac:dyDescent="0.2">
      <c r="E1157" s="42"/>
      <c r="H1157" s="43"/>
      <c r="J1157" s="23"/>
      <c r="S1157" s="23"/>
    </row>
    <row r="1158" spans="5:19" s="30" customFormat="1" ht="15.75" customHeight="1" x14ac:dyDescent="0.2">
      <c r="E1158" s="42"/>
      <c r="H1158" s="43"/>
      <c r="J1158" s="23"/>
      <c r="S1158" s="23"/>
    </row>
    <row r="1159" spans="5:19" s="30" customFormat="1" ht="15.75" customHeight="1" x14ac:dyDescent="0.2">
      <c r="E1159" s="42"/>
      <c r="H1159" s="43"/>
      <c r="J1159" s="23"/>
      <c r="S1159" s="23"/>
    </row>
    <row r="1160" spans="5:19" s="30" customFormat="1" ht="15.75" customHeight="1" x14ac:dyDescent="0.2">
      <c r="E1160" s="42"/>
      <c r="H1160" s="43"/>
      <c r="J1160" s="23"/>
      <c r="S1160" s="23"/>
    </row>
    <row r="1161" spans="5:19" s="30" customFormat="1" ht="15.75" customHeight="1" x14ac:dyDescent="0.2">
      <c r="E1161" s="42"/>
      <c r="H1161" s="43"/>
      <c r="J1161" s="23"/>
      <c r="S1161" s="23"/>
    </row>
    <row r="1162" spans="5:19" s="30" customFormat="1" ht="15.75" customHeight="1" x14ac:dyDescent="0.2">
      <c r="E1162" s="42"/>
      <c r="H1162" s="43"/>
      <c r="J1162" s="23"/>
      <c r="S1162" s="23"/>
    </row>
    <row r="1163" spans="5:19" s="30" customFormat="1" ht="15.75" customHeight="1" x14ac:dyDescent="0.2">
      <c r="E1163" s="42"/>
      <c r="H1163" s="43"/>
      <c r="J1163" s="23"/>
      <c r="S1163" s="23"/>
    </row>
    <row r="1164" spans="5:19" s="30" customFormat="1" ht="15.75" customHeight="1" x14ac:dyDescent="0.2">
      <c r="E1164" s="42"/>
      <c r="H1164" s="43"/>
      <c r="J1164" s="23"/>
      <c r="S1164" s="23"/>
    </row>
    <row r="1165" spans="5:19" s="30" customFormat="1" ht="15.75" customHeight="1" x14ac:dyDescent="0.2">
      <c r="E1165" s="42"/>
      <c r="H1165" s="43"/>
      <c r="J1165" s="23"/>
      <c r="S1165" s="23"/>
    </row>
    <row r="1166" spans="5:19" s="30" customFormat="1" ht="15.75" customHeight="1" x14ac:dyDescent="0.2">
      <c r="E1166" s="42"/>
      <c r="H1166" s="43"/>
      <c r="J1166" s="23"/>
      <c r="S1166" s="23"/>
    </row>
    <row r="1167" spans="5:19" s="30" customFormat="1" ht="15.75" customHeight="1" x14ac:dyDescent="0.2">
      <c r="E1167" s="42"/>
      <c r="H1167" s="43"/>
      <c r="J1167" s="23"/>
      <c r="S1167" s="23"/>
    </row>
    <row r="1168" spans="5:19" s="30" customFormat="1" ht="15.75" customHeight="1" x14ac:dyDescent="0.2">
      <c r="E1168" s="42"/>
      <c r="H1168" s="43"/>
      <c r="J1168" s="23"/>
      <c r="S1168" s="23"/>
    </row>
    <row r="1169" spans="5:19" s="30" customFormat="1" ht="15.75" customHeight="1" x14ac:dyDescent="0.2">
      <c r="E1169" s="42"/>
      <c r="H1169" s="43"/>
      <c r="J1169" s="23"/>
      <c r="S1169" s="23"/>
    </row>
    <row r="1170" spans="5:19" s="30" customFormat="1" ht="15.75" customHeight="1" x14ac:dyDescent="0.2">
      <c r="E1170" s="42"/>
      <c r="H1170" s="43"/>
      <c r="J1170" s="23"/>
      <c r="S1170" s="23"/>
    </row>
    <row r="1171" spans="5:19" s="30" customFormat="1" ht="15.75" customHeight="1" x14ac:dyDescent="0.2">
      <c r="E1171" s="42"/>
      <c r="H1171" s="43"/>
      <c r="J1171" s="23"/>
      <c r="S1171" s="23"/>
    </row>
    <row r="1172" spans="5:19" s="30" customFormat="1" ht="15.75" customHeight="1" x14ac:dyDescent="0.2">
      <c r="E1172" s="42"/>
      <c r="H1172" s="43"/>
      <c r="J1172" s="23"/>
      <c r="S1172" s="23"/>
    </row>
    <row r="1173" spans="5:19" s="30" customFormat="1" ht="15.75" customHeight="1" x14ac:dyDescent="0.2">
      <c r="E1173" s="42"/>
      <c r="H1173" s="43"/>
      <c r="J1173" s="23"/>
      <c r="S1173" s="23"/>
    </row>
    <row r="1174" spans="5:19" s="30" customFormat="1" ht="15.75" customHeight="1" x14ac:dyDescent="0.2">
      <c r="E1174" s="42"/>
      <c r="H1174" s="43"/>
      <c r="J1174" s="23"/>
      <c r="S1174" s="23"/>
    </row>
    <row r="1175" spans="5:19" s="30" customFormat="1" ht="15.75" customHeight="1" x14ac:dyDescent="0.2">
      <c r="E1175" s="42"/>
      <c r="H1175" s="43"/>
      <c r="J1175" s="23"/>
      <c r="S1175" s="23"/>
    </row>
    <row r="1176" spans="5:19" s="30" customFormat="1" ht="15.75" customHeight="1" x14ac:dyDescent="0.2">
      <c r="E1176" s="42"/>
      <c r="H1176" s="43"/>
      <c r="J1176" s="23"/>
      <c r="S1176" s="23"/>
    </row>
    <row r="1177" spans="5:19" s="30" customFormat="1" ht="15.75" customHeight="1" x14ac:dyDescent="0.2">
      <c r="E1177" s="42"/>
      <c r="H1177" s="43"/>
      <c r="J1177" s="23"/>
      <c r="S1177" s="23"/>
    </row>
    <row r="1178" spans="5:19" s="30" customFormat="1" ht="15.75" customHeight="1" x14ac:dyDescent="0.2">
      <c r="E1178" s="42"/>
      <c r="H1178" s="43"/>
      <c r="J1178" s="23"/>
      <c r="S1178" s="23"/>
    </row>
    <row r="1179" spans="5:19" s="30" customFormat="1" ht="15.75" customHeight="1" x14ac:dyDescent="0.2">
      <c r="E1179" s="42"/>
      <c r="H1179" s="43"/>
      <c r="J1179" s="23"/>
      <c r="S1179" s="23"/>
    </row>
    <row r="1180" spans="5:19" s="30" customFormat="1" ht="15.75" customHeight="1" x14ac:dyDescent="0.2">
      <c r="E1180" s="42"/>
      <c r="H1180" s="43"/>
      <c r="J1180" s="23"/>
      <c r="S1180" s="23"/>
    </row>
    <row r="1181" spans="5:19" s="30" customFormat="1" ht="15.75" customHeight="1" x14ac:dyDescent="0.2">
      <c r="E1181" s="42"/>
      <c r="H1181" s="43"/>
      <c r="J1181" s="23"/>
      <c r="S1181" s="23"/>
    </row>
    <row r="1182" spans="5:19" s="30" customFormat="1" ht="15.75" customHeight="1" x14ac:dyDescent="0.2">
      <c r="E1182" s="42"/>
      <c r="H1182" s="43"/>
      <c r="J1182" s="23"/>
      <c r="S1182" s="23"/>
    </row>
    <row r="1183" spans="5:19" s="30" customFormat="1" ht="15.75" customHeight="1" x14ac:dyDescent="0.2">
      <c r="E1183" s="42"/>
      <c r="H1183" s="43"/>
      <c r="J1183" s="23"/>
      <c r="S1183" s="23"/>
    </row>
    <row r="1184" spans="5:19" s="30" customFormat="1" ht="15.75" customHeight="1" x14ac:dyDescent="0.2">
      <c r="E1184" s="42"/>
      <c r="H1184" s="43"/>
      <c r="J1184" s="23"/>
      <c r="S1184" s="23"/>
    </row>
    <row r="1185" spans="5:19" s="30" customFormat="1" ht="15.75" customHeight="1" x14ac:dyDescent="0.2">
      <c r="E1185" s="42"/>
      <c r="H1185" s="43"/>
      <c r="J1185" s="23"/>
      <c r="S1185" s="23"/>
    </row>
    <row r="1186" spans="5:19" s="30" customFormat="1" ht="15.75" customHeight="1" x14ac:dyDescent="0.2">
      <c r="E1186" s="42"/>
      <c r="H1186" s="43"/>
      <c r="J1186" s="23"/>
      <c r="S1186" s="23"/>
    </row>
    <row r="1187" spans="5:19" s="30" customFormat="1" ht="15.75" customHeight="1" x14ac:dyDescent="0.2">
      <c r="E1187" s="42"/>
      <c r="H1187" s="43"/>
      <c r="J1187" s="23"/>
      <c r="S1187" s="23"/>
    </row>
    <row r="1188" spans="5:19" s="30" customFormat="1" ht="15.75" customHeight="1" x14ac:dyDescent="0.2">
      <c r="E1188" s="42"/>
      <c r="H1188" s="43"/>
      <c r="J1188" s="23"/>
      <c r="S1188" s="23"/>
    </row>
    <row r="1189" spans="5:19" s="30" customFormat="1" ht="15.75" customHeight="1" x14ac:dyDescent="0.2">
      <c r="E1189" s="42"/>
      <c r="H1189" s="43"/>
      <c r="J1189" s="23"/>
      <c r="S1189" s="23"/>
    </row>
    <row r="1190" spans="5:19" s="30" customFormat="1" ht="15.75" customHeight="1" x14ac:dyDescent="0.2">
      <c r="E1190" s="42"/>
      <c r="H1190" s="43"/>
      <c r="J1190" s="23"/>
      <c r="S1190" s="23"/>
    </row>
    <row r="1191" spans="5:19" s="30" customFormat="1" ht="15.75" customHeight="1" x14ac:dyDescent="0.2">
      <c r="E1191" s="42"/>
      <c r="H1191" s="43"/>
      <c r="J1191" s="23"/>
      <c r="S1191" s="23"/>
    </row>
    <row r="1192" spans="5:19" s="30" customFormat="1" ht="15.75" customHeight="1" x14ac:dyDescent="0.2">
      <c r="E1192" s="42"/>
      <c r="H1192" s="43"/>
      <c r="J1192" s="23"/>
      <c r="S1192" s="23"/>
    </row>
    <row r="1193" spans="5:19" s="30" customFormat="1" ht="15.75" customHeight="1" x14ac:dyDescent="0.2">
      <c r="E1193" s="42"/>
      <c r="H1193" s="43"/>
      <c r="J1193" s="23"/>
      <c r="S1193" s="23"/>
    </row>
    <row r="1194" spans="5:19" s="30" customFormat="1" ht="15.75" customHeight="1" x14ac:dyDescent="0.2">
      <c r="E1194" s="42"/>
      <c r="H1194" s="43"/>
      <c r="J1194" s="23"/>
      <c r="S1194" s="23"/>
    </row>
    <row r="1195" spans="5:19" s="30" customFormat="1" ht="15.75" customHeight="1" x14ac:dyDescent="0.2">
      <c r="E1195" s="42"/>
      <c r="H1195" s="43"/>
      <c r="J1195" s="23"/>
      <c r="S1195" s="23"/>
    </row>
    <row r="1196" spans="5:19" s="30" customFormat="1" ht="15.75" customHeight="1" x14ac:dyDescent="0.2">
      <c r="E1196" s="42"/>
      <c r="H1196" s="43"/>
      <c r="J1196" s="23"/>
      <c r="S1196" s="23"/>
    </row>
    <row r="1197" spans="5:19" s="30" customFormat="1" ht="15.75" customHeight="1" x14ac:dyDescent="0.2">
      <c r="E1197" s="42"/>
      <c r="H1197" s="43"/>
      <c r="J1197" s="23"/>
      <c r="S1197" s="23"/>
    </row>
    <row r="1198" spans="5:19" s="30" customFormat="1" ht="15.75" customHeight="1" x14ac:dyDescent="0.2">
      <c r="E1198" s="42"/>
      <c r="H1198" s="43"/>
      <c r="J1198" s="23"/>
      <c r="S1198" s="23"/>
    </row>
    <row r="1199" spans="5:19" s="30" customFormat="1" ht="15.75" customHeight="1" x14ac:dyDescent="0.2">
      <c r="E1199" s="42"/>
      <c r="H1199" s="43"/>
      <c r="J1199" s="23"/>
      <c r="S1199" s="23"/>
    </row>
    <row r="1200" spans="5:19" s="30" customFormat="1" ht="15.75" customHeight="1" x14ac:dyDescent="0.2">
      <c r="E1200" s="42"/>
      <c r="H1200" s="43"/>
      <c r="J1200" s="23"/>
      <c r="S1200" s="23"/>
    </row>
    <row r="1201" spans="5:19" s="30" customFormat="1" ht="15.75" customHeight="1" x14ac:dyDescent="0.2">
      <c r="E1201" s="42"/>
      <c r="H1201" s="43"/>
      <c r="J1201" s="23"/>
      <c r="S1201" s="23"/>
    </row>
    <row r="1202" spans="5:19" s="30" customFormat="1" ht="15.75" customHeight="1" x14ac:dyDescent="0.2">
      <c r="E1202" s="42"/>
      <c r="H1202" s="43"/>
      <c r="J1202" s="23"/>
      <c r="S1202" s="23"/>
    </row>
    <row r="1203" spans="5:19" s="30" customFormat="1" ht="15.75" customHeight="1" x14ac:dyDescent="0.2">
      <c r="E1203" s="42"/>
      <c r="H1203" s="43"/>
      <c r="J1203" s="23"/>
      <c r="S1203" s="23"/>
    </row>
    <row r="1204" spans="5:19" s="30" customFormat="1" ht="15.75" customHeight="1" x14ac:dyDescent="0.2">
      <c r="E1204" s="42"/>
      <c r="H1204" s="43"/>
      <c r="J1204" s="23"/>
      <c r="S1204" s="23"/>
    </row>
    <row r="1205" spans="5:19" s="30" customFormat="1" ht="15.75" customHeight="1" x14ac:dyDescent="0.2">
      <c r="E1205" s="42"/>
      <c r="H1205" s="43"/>
      <c r="J1205" s="23"/>
      <c r="S1205" s="23"/>
    </row>
    <row r="1206" spans="5:19" s="30" customFormat="1" ht="15.75" customHeight="1" x14ac:dyDescent="0.2">
      <c r="E1206" s="42"/>
      <c r="H1206" s="43"/>
      <c r="J1206" s="23"/>
      <c r="S1206" s="23"/>
    </row>
    <row r="1207" spans="5:19" s="30" customFormat="1" ht="15.75" customHeight="1" x14ac:dyDescent="0.2">
      <c r="E1207" s="42"/>
      <c r="H1207" s="43"/>
      <c r="J1207" s="23"/>
      <c r="S1207" s="23"/>
    </row>
    <row r="1208" spans="5:19" s="30" customFormat="1" ht="15.75" customHeight="1" x14ac:dyDescent="0.2">
      <c r="E1208" s="42"/>
      <c r="H1208" s="43"/>
      <c r="J1208" s="23"/>
      <c r="S1208" s="23"/>
    </row>
    <row r="1209" spans="5:19" s="30" customFormat="1" ht="15.75" customHeight="1" x14ac:dyDescent="0.2">
      <c r="E1209" s="42"/>
      <c r="H1209" s="43"/>
      <c r="J1209" s="23"/>
      <c r="S1209" s="23"/>
    </row>
    <row r="1210" spans="5:19" s="30" customFormat="1" ht="15.75" customHeight="1" x14ac:dyDescent="0.2">
      <c r="E1210" s="42"/>
      <c r="H1210" s="43"/>
      <c r="J1210" s="23"/>
      <c r="S1210" s="23"/>
    </row>
    <row r="1211" spans="5:19" s="30" customFormat="1" ht="15.75" customHeight="1" x14ac:dyDescent="0.2">
      <c r="E1211" s="42"/>
      <c r="H1211" s="43"/>
      <c r="J1211" s="23"/>
      <c r="S1211" s="23"/>
    </row>
    <row r="1212" spans="5:19" s="30" customFormat="1" ht="15.75" customHeight="1" x14ac:dyDescent="0.2">
      <c r="E1212" s="42"/>
      <c r="H1212" s="43"/>
      <c r="J1212" s="23"/>
      <c r="S1212" s="23"/>
    </row>
    <row r="1213" spans="5:19" s="30" customFormat="1" ht="15.75" customHeight="1" x14ac:dyDescent="0.2">
      <c r="E1213" s="42"/>
      <c r="H1213" s="43"/>
      <c r="J1213" s="23"/>
      <c r="S1213" s="23"/>
    </row>
    <row r="1214" spans="5:19" s="30" customFormat="1" ht="15.75" customHeight="1" x14ac:dyDescent="0.2">
      <c r="E1214" s="42"/>
      <c r="H1214" s="43"/>
      <c r="J1214" s="23"/>
      <c r="S1214" s="23"/>
    </row>
    <row r="1215" spans="5:19" s="30" customFormat="1" ht="15.75" customHeight="1" x14ac:dyDescent="0.2">
      <c r="E1215" s="42"/>
      <c r="H1215" s="43"/>
      <c r="J1215" s="23"/>
      <c r="S1215" s="23"/>
    </row>
    <row r="1216" spans="5:19" s="30" customFormat="1" ht="15.75" customHeight="1" x14ac:dyDescent="0.2">
      <c r="E1216" s="42"/>
      <c r="H1216" s="43"/>
      <c r="J1216" s="23"/>
      <c r="S1216" s="23"/>
    </row>
    <row r="1217" spans="5:19" s="30" customFormat="1" ht="15.75" customHeight="1" x14ac:dyDescent="0.2">
      <c r="E1217" s="42"/>
      <c r="H1217" s="43"/>
      <c r="J1217" s="23"/>
      <c r="S1217" s="23"/>
    </row>
    <row r="1218" spans="5:19" s="30" customFormat="1" ht="15.75" customHeight="1" x14ac:dyDescent="0.2">
      <c r="E1218" s="42"/>
      <c r="H1218" s="43"/>
      <c r="J1218" s="23"/>
      <c r="S1218" s="23"/>
    </row>
    <row r="1219" spans="5:19" s="30" customFormat="1" ht="15.75" customHeight="1" x14ac:dyDescent="0.2">
      <c r="E1219" s="42"/>
      <c r="H1219" s="43"/>
      <c r="J1219" s="23"/>
      <c r="S1219" s="23"/>
    </row>
    <row r="1220" spans="5:19" s="30" customFormat="1" ht="15.75" customHeight="1" x14ac:dyDescent="0.2">
      <c r="E1220" s="42"/>
      <c r="H1220" s="43"/>
      <c r="J1220" s="23"/>
      <c r="S1220" s="23"/>
    </row>
    <row r="1221" spans="5:19" s="30" customFormat="1" ht="15.75" customHeight="1" x14ac:dyDescent="0.2">
      <c r="E1221" s="42"/>
      <c r="H1221" s="43"/>
      <c r="J1221" s="23"/>
      <c r="S1221" s="23"/>
    </row>
    <row r="1222" spans="5:19" s="30" customFormat="1" ht="15.75" customHeight="1" x14ac:dyDescent="0.2">
      <c r="E1222" s="42"/>
      <c r="H1222" s="43"/>
      <c r="J1222" s="23"/>
      <c r="S1222" s="23"/>
    </row>
    <row r="1223" spans="5:19" s="30" customFormat="1" ht="15.75" customHeight="1" x14ac:dyDescent="0.2">
      <c r="E1223" s="42"/>
      <c r="H1223" s="43"/>
      <c r="J1223" s="23"/>
      <c r="S1223" s="23"/>
    </row>
    <row r="1224" spans="5:19" s="30" customFormat="1" ht="15.75" customHeight="1" x14ac:dyDescent="0.2">
      <c r="E1224" s="42"/>
      <c r="H1224" s="43"/>
      <c r="J1224" s="23"/>
      <c r="S1224" s="23"/>
    </row>
    <row r="1225" spans="5:19" s="30" customFormat="1" ht="15.75" customHeight="1" x14ac:dyDescent="0.2">
      <c r="E1225" s="42"/>
      <c r="H1225" s="43"/>
      <c r="J1225" s="23"/>
      <c r="S1225" s="23"/>
    </row>
    <row r="1226" spans="5:19" s="30" customFormat="1" ht="15.75" customHeight="1" x14ac:dyDescent="0.2">
      <c r="E1226" s="42"/>
      <c r="H1226" s="43"/>
      <c r="J1226" s="23"/>
      <c r="S1226" s="23"/>
    </row>
    <row r="1227" spans="5:19" s="30" customFormat="1" ht="15.75" customHeight="1" x14ac:dyDescent="0.2">
      <c r="E1227" s="42"/>
      <c r="H1227" s="43"/>
      <c r="J1227" s="23"/>
      <c r="S1227" s="23"/>
    </row>
    <row r="1228" spans="5:19" s="30" customFormat="1" ht="15.75" customHeight="1" x14ac:dyDescent="0.2">
      <c r="E1228" s="42"/>
      <c r="H1228" s="43"/>
      <c r="J1228" s="23"/>
      <c r="S1228" s="23"/>
    </row>
    <row r="1229" spans="5:19" s="30" customFormat="1" ht="15.75" customHeight="1" x14ac:dyDescent="0.2">
      <c r="E1229" s="42"/>
      <c r="H1229" s="43"/>
      <c r="J1229" s="23"/>
      <c r="S1229" s="23"/>
    </row>
    <row r="1230" spans="5:19" s="30" customFormat="1" ht="15.75" customHeight="1" x14ac:dyDescent="0.2">
      <c r="E1230" s="42"/>
      <c r="H1230" s="43"/>
      <c r="J1230" s="23"/>
      <c r="S1230" s="23"/>
    </row>
    <row r="1231" spans="5:19" s="30" customFormat="1" ht="15.75" customHeight="1" x14ac:dyDescent="0.2">
      <c r="E1231" s="42"/>
      <c r="H1231" s="43"/>
      <c r="J1231" s="23"/>
      <c r="S1231" s="23"/>
    </row>
    <row r="1232" spans="5:19" s="30" customFormat="1" ht="15.75" customHeight="1" x14ac:dyDescent="0.2">
      <c r="E1232" s="42"/>
      <c r="H1232" s="43"/>
      <c r="J1232" s="23"/>
      <c r="S1232" s="23"/>
    </row>
    <row r="1233" spans="5:19" s="30" customFormat="1" ht="15.75" customHeight="1" x14ac:dyDescent="0.2">
      <c r="E1233" s="42"/>
      <c r="H1233" s="43"/>
      <c r="J1233" s="23"/>
      <c r="S1233" s="23"/>
    </row>
    <row r="1234" spans="5:19" s="30" customFormat="1" ht="15.75" customHeight="1" x14ac:dyDescent="0.2">
      <c r="E1234" s="42"/>
      <c r="H1234" s="43"/>
      <c r="J1234" s="23"/>
      <c r="S1234" s="23"/>
    </row>
    <row r="1235" spans="5:19" s="30" customFormat="1" ht="15.75" customHeight="1" x14ac:dyDescent="0.2">
      <c r="E1235" s="42"/>
      <c r="H1235" s="43"/>
      <c r="J1235" s="23"/>
      <c r="S1235" s="23"/>
    </row>
    <row r="1236" spans="5:19" s="30" customFormat="1" ht="15.75" customHeight="1" x14ac:dyDescent="0.2">
      <c r="E1236" s="42"/>
      <c r="H1236" s="43"/>
      <c r="J1236" s="23"/>
      <c r="S1236" s="23"/>
    </row>
    <row r="1237" spans="5:19" s="30" customFormat="1" ht="15.75" customHeight="1" x14ac:dyDescent="0.2">
      <c r="E1237" s="42"/>
      <c r="H1237" s="43"/>
      <c r="J1237" s="23"/>
      <c r="S1237" s="23"/>
    </row>
    <row r="1238" spans="5:19" s="30" customFormat="1" ht="15.75" customHeight="1" x14ac:dyDescent="0.2">
      <c r="E1238" s="42"/>
      <c r="H1238" s="43"/>
      <c r="J1238" s="23"/>
      <c r="S1238" s="23"/>
    </row>
    <row r="1239" spans="5:19" s="30" customFormat="1" ht="15.75" customHeight="1" x14ac:dyDescent="0.2">
      <c r="E1239" s="42"/>
      <c r="H1239" s="43"/>
      <c r="J1239" s="23"/>
      <c r="S1239" s="23"/>
    </row>
    <row r="1240" spans="5:19" s="30" customFormat="1" ht="15.75" customHeight="1" x14ac:dyDescent="0.2">
      <c r="E1240" s="42"/>
      <c r="H1240" s="43"/>
      <c r="J1240" s="23"/>
      <c r="S1240" s="23"/>
    </row>
    <row r="1241" spans="5:19" s="30" customFormat="1" ht="15.75" customHeight="1" x14ac:dyDescent="0.2">
      <c r="E1241" s="42"/>
      <c r="H1241" s="43"/>
      <c r="J1241" s="23"/>
      <c r="S1241" s="23"/>
    </row>
    <row r="1242" spans="5:19" s="30" customFormat="1" ht="15.75" customHeight="1" x14ac:dyDescent="0.2">
      <c r="E1242" s="42"/>
      <c r="H1242" s="43"/>
      <c r="J1242" s="23"/>
      <c r="S1242" s="23"/>
    </row>
    <row r="1243" spans="5:19" s="30" customFormat="1" ht="15.75" customHeight="1" x14ac:dyDescent="0.2">
      <c r="E1243" s="42"/>
      <c r="H1243" s="43"/>
      <c r="J1243" s="23"/>
      <c r="S1243" s="23"/>
    </row>
    <row r="1244" spans="5:19" s="30" customFormat="1" ht="15.75" customHeight="1" x14ac:dyDescent="0.2">
      <c r="E1244" s="42"/>
      <c r="H1244" s="43"/>
      <c r="J1244" s="23"/>
      <c r="S1244" s="23"/>
    </row>
    <row r="1245" spans="5:19" s="30" customFormat="1" ht="15.75" customHeight="1" x14ac:dyDescent="0.2">
      <c r="E1245" s="42"/>
      <c r="H1245" s="43"/>
      <c r="J1245" s="23"/>
      <c r="S1245" s="23"/>
    </row>
    <row r="1246" spans="5:19" s="30" customFormat="1" ht="15.75" customHeight="1" x14ac:dyDescent="0.2">
      <c r="E1246" s="42"/>
      <c r="H1246" s="43"/>
      <c r="J1246" s="23"/>
      <c r="S1246" s="23"/>
    </row>
    <row r="1247" spans="5:19" s="30" customFormat="1" ht="15.75" customHeight="1" x14ac:dyDescent="0.2">
      <c r="E1247" s="42"/>
      <c r="H1247" s="43"/>
      <c r="J1247" s="23"/>
      <c r="S1247" s="23"/>
    </row>
    <row r="1248" spans="5:19" s="30" customFormat="1" ht="15.75" customHeight="1" x14ac:dyDescent="0.2">
      <c r="E1248" s="42"/>
      <c r="H1248" s="43"/>
      <c r="J1248" s="23"/>
      <c r="S1248" s="23"/>
    </row>
    <row r="1249" spans="5:19" s="30" customFormat="1" ht="15.75" customHeight="1" x14ac:dyDescent="0.2">
      <c r="E1249" s="42"/>
      <c r="H1249" s="43"/>
      <c r="J1249" s="23"/>
      <c r="S1249" s="23"/>
    </row>
    <row r="1250" spans="5:19" s="30" customFormat="1" ht="15.75" customHeight="1" x14ac:dyDescent="0.2">
      <c r="E1250" s="42"/>
      <c r="H1250" s="43"/>
      <c r="J1250" s="23"/>
      <c r="S1250" s="23"/>
    </row>
    <row r="1251" spans="5:19" s="30" customFormat="1" ht="15.75" customHeight="1" x14ac:dyDescent="0.2">
      <c r="E1251" s="42"/>
      <c r="H1251" s="43"/>
      <c r="J1251" s="23"/>
      <c r="S1251" s="23"/>
    </row>
    <row r="1252" spans="5:19" s="30" customFormat="1" ht="15.75" customHeight="1" x14ac:dyDescent="0.2">
      <c r="E1252" s="42"/>
      <c r="H1252" s="43"/>
      <c r="J1252" s="23"/>
      <c r="S1252" s="23"/>
    </row>
    <row r="1253" spans="5:19" s="30" customFormat="1" ht="15.75" customHeight="1" x14ac:dyDescent="0.2">
      <c r="E1253" s="42"/>
      <c r="H1253" s="43"/>
      <c r="J1253" s="23"/>
      <c r="S1253" s="23"/>
    </row>
    <row r="1254" spans="5:19" s="30" customFormat="1" ht="15.75" customHeight="1" x14ac:dyDescent="0.2">
      <c r="E1254" s="42"/>
      <c r="H1254" s="43"/>
      <c r="J1254" s="23"/>
      <c r="S1254" s="23"/>
    </row>
    <row r="1255" spans="5:19" s="30" customFormat="1" ht="15.75" customHeight="1" x14ac:dyDescent="0.2">
      <c r="E1255" s="42"/>
      <c r="H1255" s="43"/>
      <c r="J1255" s="23"/>
      <c r="S1255" s="23"/>
    </row>
    <row r="1256" spans="5:19" s="30" customFormat="1" ht="15.75" customHeight="1" x14ac:dyDescent="0.2">
      <c r="E1256" s="42"/>
      <c r="H1256" s="43"/>
      <c r="J1256" s="23"/>
      <c r="S1256" s="23"/>
    </row>
    <row r="1257" spans="5:19" s="30" customFormat="1" ht="15.75" customHeight="1" x14ac:dyDescent="0.2">
      <c r="E1257" s="42"/>
      <c r="H1257" s="43"/>
      <c r="J1257" s="23"/>
      <c r="S1257" s="23"/>
    </row>
    <row r="1258" spans="5:19" s="30" customFormat="1" ht="15.75" customHeight="1" x14ac:dyDescent="0.2">
      <c r="E1258" s="42"/>
      <c r="H1258" s="43"/>
      <c r="J1258" s="23"/>
      <c r="S1258" s="23"/>
    </row>
    <row r="1259" spans="5:19" s="30" customFormat="1" ht="15.75" customHeight="1" x14ac:dyDescent="0.2">
      <c r="E1259" s="42"/>
      <c r="H1259" s="43"/>
      <c r="J1259" s="23"/>
      <c r="S1259" s="23"/>
    </row>
    <row r="1260" spans="5:19" s="30" customFormat="1" ht="15.75" customHeight="1" x14ac:dyDescent="0.2">
      <c r="E1260" s="42"/>
      <c r="H1260" s="43"/>
      <c r="J1260" s="23"/>
      <c r="S1260" s="23"/>
    </row>
    <row r="1261" spans="5:19" s="30" customFormat="1" ht="15.75" customHeight="1" x14ac:dyDescent="0.2">
      <c r="E1261" s="42"/>
      <c r="H1261" s="43"/>
      <c r="J1261" s="23"/>
      <c r="S1261" s="23"/>
    </row>
    <row r="1262" spans="5:19" s="30" customFormat="1" ht="15.75" customHeight="1" x14ac:dyDescent="0.2">
      <c r="E1262" s="42"/>
      <c r="H1262" s="43"/>
      <c r="J1262" s="23"/>
      <c r="S1262" s="23"/>
    </row>
    <row r="1263" spans="5:19" s="30" customFormat="1" ht="15.75" customHeight="1" x14ac:dyDescent="0.2">
      <c r="E1263" s="42"/>
      <c r="H1263" s="43"/>
      <c r="J1263" s="23"/>
      <c r="S1263" s="23"/>
    </row>
    <row r="1264" spans="5:19" s="30" customFormat="1" ht="15.75" customHeight="1" x14ac:dyDescent="0.2">
      <c r="E1264" s="42"/>
      <c r="H1264" s="43"/>
      <c r="J1264" s="23"/>
      <c r="S1264" s="23"/>
    </row>
    <row r="1265" spans="5:19" s="30" customFormat="1" ht="15.75" customHeight="1" x14ac:dyDescent="0.2">
      <c r="E1265" s="42"/>
      <c r="H1265" s="43"/>
      <c r="J1265" s="23"/>
      <c r="S1265" s="23"/>
    </row>
    <row r="1266" spans="5:19" s="30" customFormat="1" ht="15.75" customHeight="1" x14ac:dyDescent="0.2">
      <c r="E1266" s="42"/>
      <c r="H1266" s="43"/>
      <c r="J1266" s="23"/>
      <c r="S1266" s="23"/>
    </row>
    <row r="1267" spans="5:19" s="30" customFormat="1" ht="15.75" customHeight="1" x14ac:dyDescent="0.2">
      <c r="E1267" s="42"/>
      <c r="H1267" s="43"/>
      <c r="J1267" s="23"/>
      <c r="S1267" s="23"/>
    </row>
    <row r="1268" spans="5:19" s="30" customFormat="1" ht="15.75" customHeight="1" x14ac:dyDescent="0.2">
      <c r="E1268" s="42"/>
      <c r="H1268" s="43"/>
      <c r="J1268" s="23"/>
      <c r="S1268" s="23"/>
    </row>
    <row r="1269" spans="5:19" s="30" customFormat="1" ht="15.75" customHeight="1" x14ac:dyDescent="0.2">
      <c r="E1269" s="42"/>
      <c r="H1269" s="43"/>
      <c r="J1269" s="23"/>
      <c r="S1269" s="23"/>
    </row>
    <row r="1270" spans="5:19" s="30" customFormat="1" ht="15.75" customHeight="1" x14ac:dyDescent="0.2">
      <c r="E1270" s="42"/>
      <c r="H1270" s="43"/>
      <c r="J1270" s="23"/>
      <c r="S1270" s="23"/>
    </row>
    <row r="1271" spans="5:19" s="30" customFormat="1" ht="15.75" customHeight="1" x14ac:dyDescent="0.2">
      <c r="E1271" s="42"/>
      <c r="H1271" s="43"/>
      <c r="J1271" s="23"/>
      <c r="S1271" s="23"/>
    </row>
    <row r="1272" spans="5:19" s="30" customFormat="1" ht="15.75" customHeight="1" x14ac:dyDescent="0.2">
      <c r="E1272" s="42"/>
      <c r="H1272" s="43"/>
      <c r="J1272" s="23"/>
      <c r="S1272" s="23"/>
    </row>
    <row r="1273" spans="5:19" s="30" customFormat="1" ht="15.75" customHeight="1" x14ac:dyDescent="0.2">
      <c r="E1273" s="42"/>
      <c r="H1273" s="43"/>
      <c r="J1273" s="23"/>
      <c r="S1273" s="23"/>
    </row>
    <row r="1274" spans="5:19" s="30" customFormat="1" ht="15.75" customHeight="1" x14ac:dyDescent="0.2">
      <c r="E1274" s="42"/>
      <c r="H1274" s="43"/>
      <c r="J1274" s="23"/>
      <c r="S1274" s="23"/>
    </row>
    <row r="1275" spans="5:19" s="30" customFormat="1" ht="15.75" customHeight="1" x14ac:dyDescent="0.2">
      <c r="E1275" s="42"/>
      <c r="H1275" s="43"/>
      <c r="J1275" s="23"/>
      <c r="S1275" s="23"/>
    </row>
    <row r="1276" spans="5:19" s="30" customFormat="1" ht="15.75" customHeight="1" x14ac:dyDescent="0.2">
      <c r="E1276" s="42"/>
      <c r="H1276" s="43"/>
      <c r="J1276" s="23"/>
      <c r="S1276" s="23"/>
    </row>
    <row r="1277" spans="5:19" s="30" customFormat="1" ht="15.75" customHeight="1" x14ac:dyDescent="0.2">
      <c r="E1277" s="42"/>
      <c r="H1277" s="43"/>
      <c r="J1277" s="23"/>
      <c r="S1277" s="23"/>
    </row>
    <row r="1278" spans="5:19" s="30" customFormat="1" ht="15.75" customHeight="1" x14ac:dyDescent="0.2">
      <c r="E1278" s="42"/>
      <c r="H1278" s="43"/>
      <c r="J1278" s="23"/>
      <c r="S1278" s="23"/>
    </row>
    <row r="1279" spans="5:19" s="30" customFormat="1" ht="15.75" customHeight="1" x14ac:dyDescent="0.2">
      <c r="E1279" s="42"/>
      <c r="H1279" s="43"/>
      <c r="J1279" s="23"/>
      <c r="S1279" s="23"/>
    </row>
    <row r="1280" spans="5:19" s="30" customFormat="1" ht="15.75" customHeight="1" x14ac:dyDescent="0.2">
      <c r="E1280" s="42"/>
      <c r="H1280" s="43"/>
      <c r="J1280" s="23"/>
      <c r="S1280" s="23"/>
    </row>
    <row r="1281" spans="5:19" s="30" customFormat="1" ht="15.75" customHeight="1" x14ac:dyDescent="0.2">
      <c r="E1281" s="42"/>
      <c r="H1281" s="43"/>
      <c r="J1281" s="23"/>
      <c r="S1281" s="23"/>
    </row>
    <row r="1282" spans="5:19" s="30" customFormat="1" ht="15.75" customHeight="1" x14ac:dyDescent="0.2">
      <c r="E1282" s="42"/>
      <c r="H1282" s="43"/>
      <c r="J1282" s="23"/>
      <c r="S1282" s="23"/>
    </row>
    <row r="1283" spans="5:19" s="30" customFormat="1" ht="15.75" customHeight="1" x14ac:dyDescent="0.2">
      <c r="E1283" s="42"/>
      <c r="H1283" s="43"/>
      <c r="J1283" s="23"/>
      <c r="S1283" s="23"/>
    </row>
    <row r="1284" spans="5:19" s="30" customFormat="1" ht="15.75" customHeight="1" x14ac:dyDescent="0.2">
      <c r="E1284" s="42"/>
      <c r="H1284" s="43"/>
      <c r="J1284" s="23"/>
      <c r="S1284" s="23"/>
    </row>
    <row r="1285" spans="5:19" s="30" customFormat="1" ht="15.75" customHeight="1" x14ac:dyDescent="0.2">
      <c r="E1285" s="42"/>
      <c r="H1285" s="43"/>
      <c r="J1285" s="23"/>
      <c r="S1285" s="23"/>
    </row>
    <row r="1286" spans="5:19" s="30" customFormat="1" ht="15.75" customHeight="1" x14ac:dyDescent="0.2">
      <c r="E1286" s="42"/>
      <c r="H1286" s="43"/>
      <c r="J1286" s="23"/>
      <c r="S1286" s="23"/>
    </row>
    <row r="1287" spans="5:19" s="30" customFormat="1" ht="15.75" customHeight="1" x14ac:dyDescent="0.2">
      <c r="E1287" s="42"/>
      <c r="H1287" s="43"/>
      <c r="J1287" s="23"/>
      <c r="S1287" s="23"/>
    </row>
    <row r="1288" spans="5:19" s="30" customFormat="1" ht="15.75" customHeight="1" x14ac:dyDescent="0.2">
      <c r="E1288" s="42"/>
      <c r="H1288" s="43"/>
      <c r="J1288" s="23"/>
      <c r="S1288" s="23"/>
    </row>
    <row r="1289" spans="5:19" s="30" customFormat="1" ht="15.75" customHeight="1" x14ac:dyDescent="0.2">
      <c r="E1289" s="42"/>
      <c r="H1289" s="43"/>
      <c r="J1289" s="23"/>
      <c r="S1289" s="23"/>
    </row>
    <row r="1290" spans="5:19" s="30" customFormat="1" ht="15.75" customHeight="1" x14ac:dyDescent="0.2">
      <c r="E1290" s="42"/>
      <c r="H1290" s="43"/>
      <c r="J1290" s="23"/>
      <c r="S1290" s="23"/>
    </row>
    <row r="1291" spans="5:19" s="30" customFormat="1" ht="15.75" customHeight="1" x14ac:dyDescent="0.2">
      <c r="E1291" s="42"/>
      <c r="H1291" s="43"/>
      <c r="J1291" s="23"/>
      <c r="S1291" s="23"/>
    </row>
    <row r="1292" spans="5:19" s="30" customFormat="1" ht="15.75" customHeight="1" x14ac:dyDescent="0.2">
      <c r="E1292" s="42"/>
      <c r="H1292" s="43"/>
      <c r="J1292" s="23"/>
      <c r="S1292" s="23"/>
    </row>
    <row r="1293" spans="5:19" s="30" customFormat="1" ht="15.75" customHeight="1" x14ac:dyDescent="0.2">
      <c r="E1293" s="42"/>
      <c r="H1293" s="43"/>
      <c r="J1293" s="23"/>
      <c r="S1293" s="23"/>
    </row>
    <row r="1294" spans="5:19" s="30" customFormat="1" ht="15.75" customHeight="1" x14ac:dyDescent="0.2">
      <c r="E1294" s="42"/>
      <c r="H1294" s="43"/>
      <c r="J1294" s="23"/>
      <c r="S1294" s="23"/>
    </row>
    <row r="1295" spans="5:19" s="30" customFormat="1" ht="15.75" customHeight="1" x14ac:dyDescent="0.2">
      <c r="E1295" s="42"/>
      <c r="H1295" s="43"/>
      <c r="J1295" s="23"/>
      <c r="S1295" s="23"/>
    </row>
    <row r="1296" spans="5:19" s="30" customFormat="1" ht="15.75" customHeight="1" x14ac:dyDescent="0.2">
      <c r="E1296" s="42"/>
      <c r="H1296" s="43"/>
      <c r="J1296" s="23"/>
      <c r="S1296" s="23"/>
    </row>
    <row r="1297" spans="5:19" s="30" customFormat="1" ht="15.75" customHeight="1" x14ac:dyDescent="0.2">
      <c r="E1297" s="42"/>
      <c r="H1297" s="43"/>
      <c r="J1297" s="23"/>
      <c r="S1297" s="23"/>
    </row>
    <row r="1298" spans="5:19" s="30" customFormat="1" ht="15.75" customHeight="1" x14ac:dyDescent="0.2">
      <c r="E1298" s="42"/>
      <c r="H1298" s="43"/>
      <c r="J1298" s="23"/>
      <c r="S1298" s="23"/>
    </row>
    <row r="1299" spans="5:19" s="30" customFormat="1" ht="15.75" customHeight="1" x14ac:dyDescent="0.2">
      <c r="E1299" s="42"/>
      <c r="H1299" s="43"/>
      <c r="J1299" s="23"/>
      <c r="S1299" s="23"/>
    </row>
    <row r="1300" spans="5:19" s="30" customFormat="1" ht="15.75" customHeight="1" x14ac:dyDescent="0.2">
      <c r="E1300" s="42"/>
      <c r="H1300" s="43"/>
      <c r="J1300" s="23"/>
      <c r="S1300" s="23"/>
    </row>
    <row r="1301" spans="5:19" s="30" customFormat="1" ht="15.75" customHeight="1" x14ac:dyDescent="0.2">
      <c r="E1301" s="42"/>
      <c r="H1301" s="43"/>
      <c r="J1301" s="23"/>
      <c r="S1301" s="23"/>
    </row>
    <row r="1302" spans="5:19" s="30" customFormat="1" ht="15.75" customHeight="1" x14ac:dyDescent="0.2">
      <c r="E1302" s="42"/>
      <c r="H1302" s="43"/>
      <c r="J1302" s="23"/>
      <c r="S1302" s="23"/>
    </row>
    <row r="1303" spans="5:19" s="30" customFormat="1" ht="15.75" customHeight="1" x14ac:dyDescent="0.2">
      <c r="E1303" s="42"/>
      <c r="H1303" s="43"/>
      <c r="J1303" s="23"/>
      <c r="S1303" s="23"/>
    </row>
    <row r="1304" spans="5:19" s="30" customFormat="1" ht="15.75" customHeight="1" x14ac:dyDescent="0.2">
      <c r="E1304" s="42"/>
      <c r="H1304" s="43"/>
      <c r="J1304" s="23"/>
      <c r="S1304" s="23"/>
    </row>
    <row r="1305" spans="5:19" s="30" customFormat="1" ht="15.75" customHeight="1" x14ac:dyDescent="0.2">
      <c r="E1305" s="42"/>
      <c r="H1305" s="43"/>
      <c r="J1305" s="23"/>
      <c r="S1305" s="23"/>
    </row>
    <row r="1306" spans="5:19" s="30" customFormat="1" ht="15.75" customHeight="1" x14ac:dyDescent="0.2">
      <c r="E1306" s="42"/>
      <c r="H1306" s="43"/>
      <c r="J1306" s="23"/>
      <c r="S1306" s="23"/>
    </row>
    <row r="1307" spans="5:19" s="30" customFormat="1" ht="15.75" customHeight="1" x14ac:dyDescent="0.2">
      <c r="E1307" s="42"/>
      <c r="H1307" s="43"/>
      <c r="J1307" s="23"/>
      <c r="S1307" s="23"/>
    </row>
    <row r="1308" spans="5:19" s="30" customFormat="1" ht="15.75" customHeight="1" x14ac:dyDescent="0.2">
      <c r="E1308" s="42"/>
      <c r="H1308" s="43"/>
      <c r="J1308" s="23"/>
      <c r="S1308" s="23"/>
    </row>
    <row r="1309" spans="5:19" s="30" customFormat="1" ht="15.75" customHeight="1" x14ac:dyDescent="0.2">
      <c r="E1309" s="42"/>
      <c r="H1309" s="43"/>
      <c r="J1309" s="23"/>
      <c r="S1309" s="23"/>
    </row>
    <row r="1310" spans="5:19" s="30" customFormat="1" ht="15.75" customHeight="1" x14ac:dyDescent="0.2">
      <c r="E1310" s="42"/>
      <c r="H1310" s="43"/>
      <c r="J1310" s="23"/>
      <c r="S1310" s="23"/>
    </row>
    <row r="1311" spans="5:19" s="30" customFormat="1" ht="15.75" customHeight="1" x14ac:dyDescent="0.2">
      <c r="E1311" s="42"/>
      <c r="H1311" s="43"/>
      <c r="J1311" s="23"/>
      <c r="S1311" s="23"/>
    </row>
    <row r="1312" spans="5:19" s="30" customFormat="1" ht="15.75" customHeight="1" x14ac:dyDescent="0.2">
      <c r="E1312" s="42"/>
      <c r="H1312" s="43"/>
      <c r="J1312" s="23"/>
      <c r="S1312" s="23"/>
    </row>
    <row r="1313" spans="5:19" s="30" customFormat="1" ht="15.75" customHeight="1" x14ac:dyDescent="0.2">
      <c r="E1313" s="42"/>
      <c r="H1313" s="43"/>
      <c r="J1313" s="23"/>
      <c r="S1313" s="23"/>
    </row>
    <row r="1314" spans="5:19" s="30" customFormat="1" ht="15.75" customHeight="1" x14ac:dyDescent="0.2">
      <c r="E1314" s="42"/>
      <c r="H1314" s="43"/>
      <c r="J1314" s="23"/>
      <c r="S1314" s="23"/>
    </row>
    <row r="1315" spans="5:19" s="30" customFormat="1" ht="15.75" customHeight="1" x14ac:dyDescent="0.2">
      <c r="E1315" s="42"/>
      <c r="H1315" s="43"/>
      <c r="J1315" s="23"/>
      <c r="S1315" s="23"/>
    </row>
    <row r="1316" spans="5:19" s="30" customFormat="1" ht="15.75" customHeight="1" x14ac:dyDescent="0.2">
      <c r="E1316" s="42"/>
      <c r="H1316" s="43"/>
      <c r="J1316" s="23"/>
      <c r="S1316" s="23"/>
    </row>
    <row r="1317" spans="5:19" s="30" customFormat="1" ht="15.75" customHeight="1" x14ac:dyDescent="0.2">
      <c r="E1317" s="42"/>
      <c r="H1317" s="43"/>
      <c r="J1317" s="23"/>
      <c r="S1317" s="23"/>
    </row>
    <row r="1318" spans="5:19" s="30" customFormat="1" ht="15.75" customHeight="1" x14ac:dyDescent="0.2">
      <c r="E1318" s="42"/>
      <c r="H1318" s="43"/>
      <c r="J1318" s="23"/>
      <c r="S1318" s="23"/>
    </row>
    <row r="1319" spans="5:19" s="30" customFormat="1" ht="15.75" customHeight="1" x14ac:dyDescent="0.2">
      <c r="E1319" s="42"/>
      <c r="H1319" s="43"/>
      <c r="J1319" s="23"/>
      <c r="S1319" s="23"/>
    </row>
    <row r="1320" spans="5:19" s="30" customFormat="1" ht="15.75" customHeight="1" x14ac:dyDescent="0.2">
      <c r="E1320" s="42"/>
      <c r="H1320" s="43"/>
      <c r="J1320" s="23"/>
      <c r="S1320" s="23"/>
    </row>
    <row r="1321" spans="5:19" s="30" customFormat="1" ht="15.75" customHeight="1" x14ac:dyDescent="0.2">
      <c r="E1321" s="42"/>
      <c r="H1321" s="43"/>
      <c r="J1321" s="23"/>
      <c r="S1321" s="23"/>
    </row>
    <row r="1322" spans="5:19" s="30" customFormat="1" ht="15.75" customHeight="1" x14ac:dyDescent="0.2">
      <c r="E1322" s="42"/>
      <c r="H1322" s="43"/>
      <c r="J1322" s="23"/>
      <c r="S1322" s="23"/>
    </row>
    <row r="1323" spans="5:19" s="30" customFormat="1" ht="15.75" customHeight="1" x14ac:dyDescent="0.2">
      <c r="E1323" s="42"/>
      <c r="H1323" s="43"/>
      <c r="J1323" s="23"/>
      <c r="S1323" s="23"/>
    </row>
    <row r="1324" spans="5:19" s="30" customFormat="1" ht="15.75" customHeight="1" x14ac:dyDescent="0.2">
      <c r="E1324" s="42"/>
      <c r="H1324" s="43"/>
      <c r="J1324" s="23"/>
      <c r="S1324" s="23"/>
    </row>
    <row r="1325" spans="5:19" s="30" customFormat="1" ht="15.75" customHeight="1" x14ac:dyDescent="0.2">
      <c r="E1325" s="42"/>
      <c r="H1325" s="43"/>
      <c r="J1325" s="23"/>
      <c r="S1325" s="23"/>
    </row>
    <row r="1326" spans="5:19" s="30" customFormat="1" ht="15.75" customHeight="1" x14ac:dyDescent="0.2">
      <c r="E1326" s="42"/>
      <c r="H1326" s="43"/>
      <c r="J1326" s="23"/>
      <c r="S1326" s="23"/>
    </row>
    <row r="1327" spans="5:19" s="30" customFormat="1" ht="15.75" customHeight="1" x14ac:dyDescent="0.2">
      <c r="E1327" s="42"/>
      <c r="H1327" s="43"/>
      <c r="J1327" s="23"/>
      <c r="S1327" s="23"/>
    </row>
    <row r="1328" spans="5:19" s="30" customFormat="1" ht="15.75" customHeight="1" x14ac:dyDescent="0.2">
      <c r="E1328" s="42"/>
      <c r="H1328" s="43"/>
      <c r="J1328" s="23"/>
      <c r="S1328" s="23"/>
    </row>
    <row r="1329" spans="5:19" s="30" customFormat="1" ht="15.75" customHeight="1" x14ac:dyDescent="0.2">
      <c r="E1329" s="42"/>
      <c r="H1329" s="43"/>
      <c r="J1329" s="23"/>
      <c r="S1329" s="23"/>
    </row>
    <row r="1330" spans="5:19" s="30" customFormat="1" ht="15.75" customHeight="1" x14ac:dyDescent="0.2">
      <c r="E1330" s="42"/>
      <c r="H1330" s="43"/>
      <c r="J1330" s="23"/>
      <c r="S1330" s="23"/>
    </row>
    <row r="1331" spans="5:19" s="30" customFormat="1" ht="15.75" customHeight="1" x14ac:dyDescent="0.2">
      <c r="E1331" s="42"/>
      <c r="H1331" s="43"/>
      <c r="J1331" s="23"/>
      <c r="S1331" s="23"/>
    </row>
    <row r="1332" spans="5:19" s="30" customFormat="1" ht="15.75" customHeight="1" x14ac:dyDescent="0.2">
      <c r="E1332" s="42"/>
      <c r="H1332" s="43"/>
      <c r="J1332" s="23"/>
      <c r="S1332" s="23"/>
    </row>
    <row r="1333" spans="5:19" s="30" customFormat="1" ht="15.75" customHeight="1" x14ac:dyDescent="0.2">
      <c r="E1333" s="42"/>
      <c r="H1333" s="43"/>
      <c r="J1333" s="23"/>
      <c r="S1333" s="23"/>
    </row>
    <row r="1334" spans="5:19" s="30" customFormat="1" ht="15.75" customHeight="1" x14ac:dyDescent="0.2">
      <c r="E1334" s="42"/>
      <c r="H1334" s="43"/>
      <c r="J1334" s="23"/>
      <c r="S1334" s="23"/>
    </row>
    <row r="1335" spans="5:19" s="30" customFormat="1" ht="15.75" customHeight="1" x14ac:dyDescent="0.2">
      <c r="E1335" s="42"/>
      <c r="H1335" s="43"/>
      <c r="J1335" s="23"/>
      <c r="S1335" s="23"/>
    </row>
    <row r="1336" spans="5:19" s="30" customFormat="1" ht="15.75" customHeight="1" x14ac:dyDescent="0.2">
      <c r="E1336" s="42"/>
      <c r="H1336" s="43"/>
      <c r="J1336" s="23"/>
      <c r="S1336" s="23"/>
    </row>
    <row r="1337" spans="5:19" s="30" customFormat="1" ht="15.75" customHeight="1" x14ac:dyDescent="0.2">
      <c r="E1337" s="42"/>
      <c r="H1337" s="43"/>
      <c r="J1337" s="23"/>
      <c r="S1337" s="23"/>
    </row>
    <row r="1338" spans="5:19" s="30" customFormat="1" ht="15.75" customHeight="1" x14ac:dyDescent="0.2">
      <c r="E1338" s="42"/>
      <c r="H1338" s="43"/>
      <c r="J1338" s="23"/>
      <c r="S1338" s="23"/>
    </row>
    <row r="1339" spans="5:19" s="30" customFormat="1" ht="15.75" customHeight="1" x14ac:dyDescent="0.2">
      <c r="E1339" s="42"/>
      <c r="H1339" s="43"/>
      <c r="J1339" s="23"/>
      <c r="S1339" s="23"/>
    </row>
    <row r="1340" spans="5:19" s="30" customFormat="1" ht="15.75" customHeight="1" x14ac:dyDescent="0.2">
      <c r="E1340" s="42"/>
      <c r="H1340" s="43"/>
      <c r="J1340" s="23"/>
      <c r="S1340" s="23"/>
    </row>
    <row r="1341" spans="5:19" s="30" customFormat="1" ht="15.75" customHeight="1" x14ac:dyDescent="0.2">
      <c r="E1341" s="42"/>
      <c r="H1341" s="43"/>
      <c r="J1341" s="23"/>
      <c r="S1341" s="23"/>
    </row>
    <row r="1342" spans="5:19" s="30" customFormat="1" ht="15.75" customHeight="1" x14ac:dyDescent="0.2">
      <c r="E1342" s="42"/>
      <c r="H1342" s="43"/>
      <c r="J1342" s="23"/>
      <c r="S1342" s="23"/>
    </row>
    <row r="1343" spans="5:19" s="30" customFormat="1" ht="15.75" customHeight="1" x14ac:dyDescent="0.2">
      <c r="E1343" s="42"/>
      <c r="H1343" s="43"/>
      <c r="J1343" s="23"/>
      <c r="S1343" s="23"/>
    </row>
    <row r="1344" spans="5:19" s="30" customFormat="1" ht="15.75" customHeight="1" x14ac:dyDescent="0.2">
      <c r="E1344" s="42"/>
      <c r="H1344" s="43"/>
      <c r="J1344" s="23"/>
      <c r="S1344" s="23"/>
    </row>
    <row r="1345" spans="5:19" s="30" customFormat="1" ht="15.75" customHeight="1" x14ac:dyDescent="0.2">
      <c r="E1345" s="42"/>
      <c r="H1345" s="43"/>
      <c r="J1345" s="23"/>
      <c r="S1345" s="23"/>
    </row>
    <row r="1346" spans="5:19" s="30" customFormat="1" ht="15.75" customHeight="1" x14ac:dyDescent="0.2">
      <c r="E1346" s="42"/>
      <c r="H1346" s="43"/>
      <c r="J1346" s="23"/>
      <c r="S1346" s="23"/>
    </row>
    <row r="1347" spans="5:19" s="30" customFormat="1" ht="15.75" customHeight="1" x14ac:dyDescent="0.2">
      <c r="E1347" s="42"/>
      <c r="H1347" s="43"/>
      <c r="J1347" s="23"/>
      <c r="S1347" s="23"/>
    </row>
    <row r="1348" spans="5:19" s="30" customFormat="1" ht="15.75" customHeight="1" x14ac:dyDescent="0.2">
      <c r="E1348" s="42"/>
      <c r="H1348" s="43"/>
      <c r="J1348" s="23"/>
      <c r="S1348" s="23"/>
    </row>
    <row r="1349" spans="5:19" s="30" customFormat="1" ht="15.75" customHeight="1" x14ac:dyDescent="0.2">
      <c r="E1349" s="42"/>
      <c r="H1349" s="43"/>
      <c r="J1349" s="23"/>
      <c r="S1349" s="23"/>
    </row>
    <row r="1350" spans="5:19" s="30" customFormat="1" ht="15.75" customHeight="1" x14ac:dyDescent="0.2">
      <c r="E1350" s="42"/>
      <c r="H1350" s="43"/>
      <c r="J1350" s="23"/>
      <c r="S1350" s="23"/>
    </row>
    <row r="1351" spans="5:19" s="30" customFormat="1" ht="15.75" customHeight="1" x14ac:dyDescent="0.2">
      <c r="E1351" s="42"/>
      <c r="H1351" s="43"/>
      <c r="J1351" s="23"/>
      <c r="S1351" s="23"/>
    </row>
    <row r="1352" spans="5:19" s="30" customFormat="1" ht="15.75" customHeight="1" x14ac:dyDescent="0.2">
      <c r="E1352" s="42"/>
      <c r="H1352" s="43"/>
      <c r="J1352" s="23"/>
      <c r="S1352" s="23"/>
    </row>
    <row r="1353" spans="5:19" s="30" customFormat="1" ht="15.75" customHeight="1" x14ac:dyDescent="0.2">
      <c r="E1353" s="42"/>
      <c r="H1353" s="43"/>
      <c r="J1353" s="23"/>
      <c r="S1353" s="23"/>
    </row>
    <row r="1354" spans="5:19" s="30" customFormat="1" ht="15.75" customHeight="1" x14ac:dyDescent="0.2">
      <c r="E1354" s="42"/>
      <c r="H1354" s="43"/>
      <c r="J1354" s="23"/>
      <c r="S1354" s="23"/>
    </row>
    <row r="1355" spans="5:19" s="30" customFormat="1" ht="15.75" customHeight="1" x14ac:dyDescent="0.2">
      <c r="E1355" s="42"/>
      <c r="H1355" s="43"/>
      <c r="J1355" s="23"/>
      <c r="S1355" s="23"/>
    </row>
    <row r="1356" spans="5:19" s="30" customFormat="1" ht="15.75" customHeight="1" x14ac:dyDescent="0.2">
      <c r="E1356" s="42"/>
      <c r="H1356" s="43"/>
      <c r="J1356" s="23"/>
      <c r="S1356" s="23"/>
    </row>
    <row r="1357" spans="5:19" s="30" customFormat="1" ht="15.75" customHeight="1" x14ac:dyDescent="0.2">
      <c r="E1357" s="42"/>
      <c r="H1357" s="43"/>
      <c r="J1357" s="23"/>
      <c r="S1357" s="23"/>
    </row>
    <row r="1358" spans="5:19" s="30" customFormat="1" ht="15.75" customHeight="1" x14ac:dyDescent="0.2">
      <c r="E1358" s="42"/>
      <c r="H1358" s="43"/>
      <c r="J1358" s="23"/>
      <c r="S1358" s="23"/>
    </row>
    <row r="1359" spans="5:19" s="30" customFormat="1" ht="15.75" customHeight="1" x14ac:dyDescent="0.2">
      <c r="E1359" s="42"/>
      <c r="H1359" s="43"/>
      <c r="J1359" s="23"/>
      <c r="S1359" s="23"/>
    </row>
    <row r="1360" spans="5:19" s="30" customFormat="1" ht="15.75" customHeight="1" x14ac:dyDescent="0.2">
      <c r="E1360" s="42"/>
      <c r="H1360" s="43"/>
      <c r="J1360" s="23"/>
      <c r="S1360" s="23"/>
    </row>
    <row r="1361" spans="5:19" s="30" customFormat="1" ht="15.75" customHeight="1" x14ac:dyDescent="0.2">
      <c r="E1361" s="42"/>
      <c r="H1361" s="43"/>
      <c r="J1361" s="23"/>
      <c r="S1361" s="23"/>
    </row>
    <row r="1362" spans="5:19" s="30" customFormat="1" ht="15.75" customHeight="1" x14ac:dyDescent="0.2">
      <c r="E1362" s="42"/>
      <c r="H1362" s="43"/>
      <c r="J1362" s="23"/>
      <c r="S1362" s="23"/>
    </row>
    <row r="1363" spans="5:19" s="30" customFormat="1" ht="15.75" customHeight="1" x14ac:dyDescent="0.2">
      <c r="E1363" s="42"/>
      <c r="H1363" s="43"/>
      <c r="J1363" s="23"/>
      <c r="S1363" s="23"/>
    </row>
    <row r="1364" spans="5:19" s="30" customFormat="1" ht="15.75" customHeight="1" x14ac:dyDescent="0.2">
      <c r="E1364" s="42"/>
      <c r="H1364" s="43"/>
      <c r="J1364" s="23"/>
      <c r="S1364" s="23"/>
    </row>
    <row r="1365" spans="5:19" s="30" customFormat="1" ht="15.75" customHeight="1" x14ac:dyDescent="0.2">
      <c r="E1365" s="42"/>
      <c r="H1365" s="43"/>
      <c r="J1365" s="23"/>
      <c r="S1365" s="23"/>
    </row>
    <row r="1366" spans="5:19" s="30" customFormat="1" ht="15.75" customHeight="1" x14ac:dyDescent="0.2">
      <c r="E1366" s="42"/>
      <c r="H1366" s="43"/>
      <c r="J1366" s="23"/>
      <c r="S1366" s="23"/>
    </row>
    <row r="1367" spans="5:19" s="30" customFormat="1" ht="15.75" customHeight="1" x14ac:dyDescent="0.2">
      <c r="E1367" s="42"/>
      <c r="H1367" s="43"/>
      <c r="J1367" s="23"/>
      <c r="S1367" s="23"/>
    </row>
    <row r="1368" spans="5:19" s="30" customFormat="1" ht="15.75" customHeight="1" x14ac:dyDescent="0.2">
      <c r="E1368" s="42"/>
      <c r="H1368" s="43"/>
      <c r="J1368" s="23"/>
      <c r="S1368" s="23"/>
    </row>
    <row r="1369" spans="5:19" s="30" customFormat="1" ht="15.75" customHeight="1" x14ac:dyDescent="0.2">
      <c r="E1369" s="42"/>
      <c r="H1369" s="43"/>
      <c r="J1369" s="23"/>
      <c r="S1369" s="23"/>
    </row>
    <row r="1370" spans="5:19" s="30" customFormat="1" ht="15.75" customHeight="1" x14ac:dyDescent="0.2">
      <c r="E1370" s="42"/>
      <c r="H1370" s="43"/>
      <c r="J1370" s="23"/>
      <c r="S1370" s="23"/>
    </row>
    <row r="1371" spans="5:19" s="30" customFormat="1" ht="15.75" customHeight="1" x14ac:dyDescent="0.2">
      <c r="E1371" s="42"/>
      <c r="H1371" s="43"/>
      <c r="J1371" s="23"/>
      <c r="S1371" s="23"/>
    </row>
    <row r="1372" spans="5:19" s="30" customFormat="1" ht="15.75" customHeight="1" x14ac:dyDescent="0.2">
      <c r="E1372" s="42"/>
      <c r="H1372" s="43"/>
      <c r="J1372" s="23"/>
      <c r="S1372" s="23"/>
    </row>
    <row r="1373" spans="5:19" s="30" customFormat="1" ht="15.75" customHeight="1" x14ac:dyDescent="0.2">
      <c r="E1373" s="42"/>
      <c r="H1373" s="43"/>
      <c r="J1373" s="23"/>
      <c r="S1373" s="23"/>
    </row>
    <row r="1374" spans="5:19" s="30" customFormat="1" ht="15.75" customHeight="1" x14ac:dyDescent="0.2">
      <c r="E1374" s="42"/>
      <c r="H1374" s="43"/>
      <c r="J1374" s="23"/>
      <c r="S1374" s="23"/>
    </row>
    <row r="1375" spans="5:19" s="30" customFormat="1" ht="15.75" customHeight="1" x14ac:dyDescent="0.2">
      <c r="E1375" s="42"/>
      <c r="H1375" s="43"/>
      <c r="J1375" s="23"/>
      <c r="S1375" s="23"/>
    </row>
    <row r="1376" spans="5:19" s="30" customFormat="1" ht="15.75" customHeight="1" x14ac:dyDescent="0.2">
      <c r="E1376" s="42"/>
      <c r="H1376" s="43"/>
      <c r="J1376" s="23"/>
      <c r="S1376" s="23"/>
    </row>
    <row r="1377" spans="5:19" s="30" customFormat="1" ht="15.75" customHeight="1" x14ac:dyDescent="0.2">
      <c r="E1377" s="42"/>
      <c r="H1377" s="43"/>
      <c r="J1377" s="23"/>
      <c r="S1377" s="23"/>
    </row>
    <row r="1378" spans="5:19" s="30" customFormat="1" ht="15.75" customHeight="1" x14ac:dyDescent="0.2">
      <c r="E1378" s="42"/>
      <c r="H1378" s="43"/>
      <c r="J1378" s="23"/>
      <c r="S1378" s="23"/>
    </row>
    <row r="1379" spans="5:19" s="30" customFormat="1" ht="15.75" customHeight="1" x14ac:dyDescent="0.2">
      <c r="E1379" s="42"/>
      <c r="H1379" s="43"/>
      <c r="J1379" s="23"/>
      <c r="S1379" s="23"/>
    </row>
    <row r="1380" spans="5:19" s="30" customFormat="1" ht="15.75" customHeight="1" x14ac:dyDescent="0.2">
      <c r="E1380" s="42"/>
      <c r="H1380" s="43"/>
      <c r="J1380" s="23"/>
      <c r="S1380" s="23"/>
    </row>
    <row r="1381" spans="5:19" s="30" customFormat="1" ht="15.75" customHeight="1" x14ac:dyDescent="0.2">
      <c r="E1381" s="42"/>
      <c r="H1381" s="43"/>
      <c r="J1381" s="23"/>
      <c r="S1381" s="23"/>
    </row>
    <row r="1382" spans="5:19" s="30" customFormat="1" ht="15.75" customHeight="1" x14ac:dyDescent="0.2">
      <c r="E1382" s="42"/>
      <c r="H1382" s="43"/>
      <c r="J1382" s="23"/>
      <c r="S1382" s="23"/>
    </row>
    <row r="1383" spans="5:19" s="30" customFormat="1" ht="15.75" customHeight="1" x14ac:dyDescent="0.2">
      <c r="E1383" s="42"/>
      <c r="H1383" s="43"/>
      <c r="J1383" s="23"/>
      <c r="S1383" s="23"/>
    </row>
    <row r="1384" spans="5:19" s="30" customFormat="1" ht="15.75" customHeight="1" x14ac:dyDescent="0.2">
      <c r="E1384" s="42"/>
      <c r="H1384" s="43"/>
      <c r="J1384" s="23"/>
      <c r="S1384" s="23"/>
    </row>
    <row r="1385" spans="5:19" s="30" customFormat="1" ht="15.75" customHeight="1" x14ac:dyDescent="0.2">
      <c r="E1385" s="42"/>
      <c r="H1385" s="43"/>
      <c r="J1385" s="23"/>
      <c r="S1385" s="23"/>
    </row>
    <row r="1386" spans="5:19" s="30" customFormat="1" ht="15.75" customHeight="1" x14ac:dyDescent="0.2">
      <c r="E1386" s="42"/>
      <c r="H1386" s="43"/>
      <c r="J1386" s="23"/>
      <c r="S1386" s="23"/>
    </row>
    <row r="1387" spans="5:19" s="30" customFormat="1" ht="15.75" customHeight="1" x14ac:dyDescent="0.2">
      <c r="E1387" s="42"/>
      <c r="H1387" s="43"/>
      <c r="J1387" s="23"/>
      <c r="S1387" s="23"/>
    </row>
    <row r="1388" spans="5:19" s="30" customFormat="1" ht="15.75" customHeight="1" x14ac:dyDescent="0.2">
      <c r="E1388" s="42"/>
      <c r="H1388" s="43"/>
      <c r="J1388" s="23"/>
      <c r="S1388" s="23"/>
    </row>
    <row r="1389" spans="5:19" s="30" customFormat="1" ht="15.75" customHeight="1" x14ac:dyDescent="0.2">
      <c r="E1389" s="42"/>
      <c r="H1389" s="43"/>
      <c r="J1389" s="23"/>
      <c r="S1389" s="23"/>
    </row>
    <row r="1390" spans="5:19" s="30" customFormat="1" ht="15.75" customHeight="1" x14ac:dyDescent="0.2">
      <c r="E1390" s="42"/>
      <c r="H1390" s="43"/>
      <c r="J1390" s="23"/>
      <c r="S1390" s="23"/>
    </row>
    <row r="1391" spans="5:19" s="30" customFormat="1" ht="15.75" customHeight="1" x14ac:dyDescent="0.2">
      <c r="E1391" s="42"/>
      <c r="H1391" s="43"/>
      <c r="J1391" s="23"/>
      <c r="S1391" s="23"/>
    </row>
    <row r="1392" spans="5:19" s="30" customFormat="1" ht="15.75" customHeight="1" x14ac:dyDescent="0.2">
      <c r="E1392" s="42"/>
      <c r="H1392" s="43"/>
      <c r="J1392" s="23"/>
      <c r="S1392" s="23"/>
    </row>
    <row r="1393" spans="5:19" s="30" customFormat="1" ht="15.75" customHeight="1" x14ac:dyDescent="0.2">
      <c r="E1393" s="42"/>
      <c r="H1393" s="43"/>
      <c r="J1393" s="23"/>
      <c r="S1393" s="23"/>
    </row>
    <row r="1394" spans="5:19" s="30" customFormat="1" ht="15.75" customHeight="1" x14ac:dyDescent="0.2">
      <c r="E1394" s="42"/>
      <c r="H1394" s="43"/>
      <c r="J1394" s="23"/>
      <c r="S1394" s="23"/>
    </row>
    <row r="1395" spans="5:19" s="30" customFormat="1" ht="15.75" customHeight="1" x14ac:dyDescent="0.2">
      <c r="E1395" s="42"/>
      <c r="H1395" s="43"/>
      <c r="J1395" s="23"/>
      <c r="S1395" s="23"/>
    </row>
    <row r="1396" spans="5:19" s="30" customFormat="1" ht="15.75" customHeight="1" x14ac:dyDescent="0.2">
      <c r="E1396" s="42"/>
      <c r="H1396" s="43"/>
      <c r="J1396" s="23"/>
      <c r="S1396" s="23"/>
    </row>
    <row r="1397" spans="5:19" s="30" customFormat="1" ht="15.75" customHeight="1" x14ac:dyDescent="0.2">
      <c r="E1397" s="42"/>
      <c r="H1397" s="43"/>
      <c r="J1397" s="23"/>
      <c r="S1397" s="23"/>
    </row>
    <row r="1398" spans="5:19" s="30" customFormat="1" ht="15.75" customHeight="1" x14ac:dyDescent="0.2">
      <c r="E1398" s="42"/>
      <c r="H1398" s="43"/>
      <c r="J1398" s="23"/>
      <c r="S1398" s="23"/>
    </row>
    <row r="1399" spans="5:19" s="30" customFormat="1" ht="15.75" customHeight="1" x14ac:dyDescent="0.2">
      <c r="E1399" s="42"/>
      <c r="H1399" s="43"/>
      <c r="J1399" s="23"/>
      <c r="S1399" s="23"/>
    </row>
    <row r="1400" spans="5:19" s="30" customFormat="1" ht="15.75" customHeight="1" x14ac:dyDescent="0.2">
      <c r="E1400" s="42"/>
      <c r="H1400" s="43"/>
      <c r="J1400" s="23"/>
      <c r="S1400" s="23"/>
    </row>
    <row r="1401" spans="5:19" s="30" customFormat="1" ht="15.75" customHeight="1" x14ac:dyDescent="0.2">
      <c r="E1401" s="42"/>
      <c r="H1401" s="43"/>
      <c r="J1401" s="23"/>
      <c r="S1401" s="23"/>
    </row>
    <row r="1402" spans="5:19" s="30" customFormat="1" ht="15.75" customHeight="1" x14ac:dyDescent="0.2">
      <c r="E1402" s="42"/>
      <c r="H1402" s="43"/>
      <c r="J1402" s="23"/>
      <c r="S1402" s="23"/>
    </row>
    <row r="1403" spans="5:19" s="30" customFormat="1" ht="15.75" customHeight="1" x14ac:dyDescent="0.2">
      <c r="E1403" s="42"/>
      <c r="H1403" s="43"/>
      <c r="J1403" s="23"/>
      <c r="S1403" s="23"/>
    </row>
    <row r="1404" spans="5:19" s="30" customFormat="1" ht="15.75" customHeight="1" x14ac:dyDescent="0.2">
      <c r="E1404" s="42"/>
      <c r="H1404" s="43"/>
      <c r="J1404" s="23"/>
      <c r="S1404" s="23"/>
    </row>
    <row r="1405" spans="5:19" s="30" customFormat="1" ht="15.75" customHeight="1" x14ac:dyDescent="0.2">
      <c r="E1405" s="42"/>
      <c r="H1405" s="43"/>
      <c r="J1405" s="23"/>
      <c r="S1405" s="23"/>
    </row>
    <row r="1406" spans="5:19" s="30" customFormat="1" ht="15.75" customHeight="1" x14ac:dyDescent="0.2">
      <c r="E1406" s="42"/>
      <c r="H1406" s="43"/>
      <c r="J1406" s="23"/>
      <c r="S1406" s="23"/>
    </row>
    <row r="1407" spans="5:19" s="30" customFormat="1" ht="15.75" customHeight="1" x14ac:dyDescent="0.2">
      <c r="E1407" s="42"/>
      <c r="H1407" s="43"/>
      <c r="J1407" s="23"/>
      <c r="S1407" s="23"/>
    </row>
    <row r="1408" spans="5:19" s="30" customFormat="1" ht="15.75" customHeight="1" x14ac:dyDescent="0.2">
      <c r="E1408" s="42"/>
      <c r="H1408" s="43"/>
      <c r="J1408" s="23"/>
      <c r="S1408" s="23"/>
    </row>
    <row r="1409" spans="5:19" s="30" customFormat="1" ht="15.75" customHeight="1" x14ac:dyDescent="0.2">
      <c r="E1409" s="42"/>
      <c r="H1409" s="43"/>
      <c r="J1409" s="23"/>
      <c r="S1409" s="23"/>
    </row>
    <row r="1410" spans="5:19" s="30" customFormat="1" ht="15.75" customHeight="1" x14ac:dyDescent="0.2">
      <c r="E1410" s="42"/>
      <c r="H1410" s="43"/>
      <c r="J1410" s="23"/>
      <c r="S1410" s="23"/>
    </row>
    <row r="1411" spans="5:19" s="30" customFormat="1" ht="15.75" customHeight="1" x14ac:dyDescent="0.2">
      <c r="E1411" s="42"/>
      <c r="H1411" s="43"/>
      <c r="J1411" s="23"/>
      <c r="S1411" s="23"/>
    </row>
    <row r="1412" spans="5:19" s="30" customFormat="1" ht="15.75" customHeight="1" x14ac:dyDescent="0.2">
      <c r="E1412" s="42"/>
      <c r="H1412" s="43"/>
      <c r="J1412" s="23"/>
      <c r="S1412" s="23"/>
    </row>
    <row r="1413" spans="5:19" s="30" customFormat="1" ht="15.75" customHeight="1" x14ac:dyDescent="0.2">
      <c r="E1413" s="42"/>
      <c r="H1413" s="43"/>
      <c r="J1413" s="23"/>
      <c r="S1413" s="23"/>
    </row>
    <row r="1414" spans="5:19" s="30" customFormat="1" ht="15.75" customHeight="1" x14ac:dyDescent="0.2">
      <c r="E1414" s="42"/>
      <c r="H1414" s="43"/>
      <c r="J1414" s="23"/>
      <c r="S1414" s="23"/>
    </row>
    <row r="1415" spans="5:19" s="30" customFormat="1" ht="15.75" customHeight="1" x14ac:dyDescent="0.2">
      <c r="E1415" s="42"/>
      <c r="H1415" s="43"/>
      <c r="J1415" s="23"/>
      <c r="S1415" s="23"/>
    </row>
    <row r="1416" spans="5:19" s="30" customFormat="1" ht="15.75" customHeight="1" x14ac:dyDescent="0.2">
      <c r="E1416" s="42"/>
      <c r="H1416" s="43"/>
      <c r="J1416" s="23"/>
      <c r="S1416" s="23"/>
    </row>
    <row r="1417" spans="5:19" s="30" customFormat="1" ht="15.75" customHeight="1" x14ac:dyDescent="0.2">
      <c r="E1417" s="42"/>
      <c r="H1417" s="43"/>
      <c r="J1417" s="23"/>
      <c r="S1417" s="23"/>
    </row>
    <row r="1418" spans="5:19" s="30" customFormat="1" ht="15.75" customHeight="1" x14ac:dyDescent="0.2">
      <c r="E1418" s="42"/>
      <c r="H1418" s="43"/>
      <c r="J1418" s="23"/>
      <c r="S1418" s="23"/>
    </row>
    <row r="1419" spans="5:19" s="30" customFormat="1" ht="15.75" customHeight="1" x14ac:dyDescent="0.2">
      <c r="E1419" s="42"/>
      <c r="H1419" s="43"/>
      <c r="J1419" s="23"/>
      <c r="S1419" s="23"/>
    </row>
    <row r="1420" spans="5:19" s="30" customFormat="1" ht="15.75" customHeight="1" x14ac:dyDescent="0.2">
      <c r="E1420" s="42"/>
      <c r="H1420" s="43"/>
      <c r="J1420" s="23"/>
      <c r="S1420" s="23"/>
    </row>
    <row r="1421" spans="5:19" s="30" customFormat="1" ht="15.75" customHeight="1" x14ac:dyDescent="0.2">
      <c r="E1421" s="42"/>
      <c r="H1421" s="43"/>
      <c r="J1421" s="23"/>
      <c r="S1421" s="23"/>
    </row>
    <row r="1422" spans="5:19" s="30" customFormat="1" ht="15.75" customHeight="1" x14ac:dyDescent="0.2">
      <c r="E1422" s="42"/>
      <c r="H1422" s="43"/>
      <c r="J1422" s="23"/>
      <c r="S1422" s="23"/>
    </row>
    <row r="1423" spans="5:19" s="30" customFormat="1" ht="15.75" customHeight="1" x14ac:dyDescent="0.2">
      <c r="E1423" s="42"/>
      <c r="H1423" s="43"/>
      <c r="J1423" s="23"/>
      <c r="S1423" s="23"/>
    </row>
    <row r="1424" spans="5:19" s="30" customFormat="1" ht="15.75" customHeight="1" x14ac:dyDescent="0.2">
      <c r="E1424" s="42"/>
      <c r="H1424" s="43"/>
      <c r="J1424" s="23"/>
      <c r="S1424" s="23"/>
    </row>
    <row r="1425" spans="5:19" s="30" customFormat="1" ht="15.75" customHeight="1" x14ac:dyDescent="0.2">
      <c r="E1425" s="42"/>
      <c r="H1425" s="43"/>
      <c r="J1425" s="23"/>
      <c r="S1425" s="23"/>
    </row>
    <row r="1426" spans="5:19" s="30" customFormat="1" ht="15.75" customHeight="1" x14ac:dyDescent="0.2">
      <c r="E1426" s="42"/>
      <c r="H1426" s="43"/>
      <c r="J1426" s="23"/>
      <c r="S1426" s="23"/>
    </row>
    <row r="1427" spans="5:19" s="30" customFormat="1" ht="15.75" customHeight="1" x14ac:dyDescent="0.2">
      <c r="E1427" s="42"/>
      <c r="H1427" s="43"/>
      <c r="J1427" s="23"/>
      <c r="S1427" s="23"/>
    </row>
    <row r="1428" spans="5:19" s="30" customFormat="1" ht="15.75" customHeight="1" x14ac:dyDescent="0.2">
      <c r="E1428" s="42"/>
      <c r="H1428" s="43"/>
      <c r="J1428" s="23"/>
      <c r="S1428" s="23"/>
    </row>
    <row r="1429" spans="5:19" s="30" customFormat="1" ht="15.75" customHeight="1" x14ac:dyDescent="0.2">
      <c r="E1429" s="42"/>
      <c r="H1429" s="43"/>
      <c r="J1429" s="23"/>
      <c r="S1429" s="23"/>
    </row>
    <row r="1430" spans="5:19" s="30" customFormat="1" ht="15.75" customHeight="1" x14ac:dyDescent="0.2">
      <c r="E1430" s="42"/>
      <c r="H1430" s="43"/>
      <c r="J1430" s="23"/>
      <c r="S1430" s="23"/>
    </row>
    <row r="1431" spans="5:19" s="30" customFormat="1" ht="15.75" customHeight="1" x14ac:dyDescent="0.2">
      <c r="E1431" s="42"/>
      <c r="H1431" s="43"/>
      <c r="J1431" s="23"/>
      <c r="S1431" s="23"/>
    </row>
    <row r="1432" spans="5:19" s="30" customFormat="1" ht="15.75" customHeight="1" x14ac:dyDescent="0.2">
      <c r="E1432" s="42"/>
      <c r="H1432" s="43"/>
      <c r="J1432" s="23"/>
      <c r="S1432" s="23"/>
    </row>
    <row r="1433" spans="5:19" s="30" customFormat="1" ht="15.75" customHeight="1" x14ac:dyDescent="0.2">
      <c r="E1433" s="42"/>
      <c r="H1433" s="43"/>
      <c r="J1433" s="23"/>
      <c r="S1433" s="23"/>
    </row>
    <row r="1434" spans="5:19" s="30" customFormat="1" ht="15.75" customHeight="1" x14ac:dyDescent="0.2">
      <c r="E1434" s="42"/>
      <c r="H1434" s="43"/>
      <c r="J1434" s="23"/>
      <c r="S1434" s="23"/>
    </row>
    <row r="1435" spans="5:19" s="30" customFormat="1" ht="15.75" customHeight="1" x14ac:dyDescent="0.2">
      <c r="E1435" s="42"/>
      <c r="H1435" s="43"/>
      <c r="J1435" s="23"/>
      <c r="S1435" s="23"/>
    </row>
    <row r="1436" spans="5:19" s="30" customFormat="1" ht="15.75" customHeight="1" x14ac:dyDescent="0.2">
      <c r="E1436" s="42"/>
      <c r="H1436" s="43"/>
      <c r="J1436" s="23"/>
      <c r="S1436" s="23"/>
    </row>
    <row r="1437" spans="5:19" s="30" customFormat="1" ht="15.75" customHeight="1" x14ac:dyDescent="0.2">
      <c r="E1437" s="42"/>
      <c r="H1437" s="43"/>
      <c r="J1437" s="23"/>
      <c r="S1437" s="23"/>
    </row>
    <row r="1438" spans="5:19" s="30" customFormat="1" ht="15.75" customHeight="1" x14ac:dyDescent="0.2">
      <c r="E1438" s="42"/>
      <c r="H1438" s="43"/>
      <c r="J1438" s="23"/>
      <c r="S1438" s="23"/>
    </row>
    <row r="1439" spans="5:19" s="30" customFormat="1" ht="15.75" customHeight="1" x14ac:dyDescent="0.2">
      <c r="E1439" s="42"/>
      <c r="H1439" s="43"/>
      <c r="J1439" s="23"/>
      <c r="S1439" s="23"/>
    </row>
    <row r="1440" spans="5:19" s="30" customFormat="1" ht="15.75" customHeight="1" x14ac:dyDescent="0.2">
      <c r="E1440" s="42"/>
      <c r="H1440" s="43"/>
      <c r="J1440" s="23"/>
      <c r="S1440" s="23"/>
    </row>
    <row r="1441" spans="5:19" s="30" customFormat="1" ht="15.75" customHeight="1" x14ac:dyDescent="0.2">
      <c r="E1441" s="42"/>
      <c r="H1441" s="43"/>
      <c r="J1441" s="23"/>
      <c r="S1441" s="23"/>
    </row>
    <row r="1442" spans="5:19" s="30" customFormat="1" ht="15.75" customHeight="1" x14ac:dyDescent="0.2">
      <c r="E1442" s="42"/>
      <c r="H1442" s="43"/>
      <c r="J1442" s="23"/>
      <c r="S1442" s="23"/>
    </row>
    <row r="1443" spans="5:19" s="30" customFormat="1" ht="15.75" customHeight="1" x14ac:dyDescent="0.2">
      <c r="E1443" s="42"/>
      <c r="H1443" s="43"/>
      <c r="J1443" s="23"/>
      <c r="S1443" s="23"/>
    </row>
    <row r="1444" spans="5:19" s="30" customFormat="1" ht="15.75" customHeight="1" x14ac:dyDescent="0.2">
      <c r="E1444" s="42"/>
      <c r="H1444" s="43"/>
      <c r="J1444" s="23"/>
      <c r="S1444" s="23"/>
    </row>
    <row r="1445" spans="5:19" s="30" customFormat="1" ht="15.75" customHeight="1" x14ac:dyDescent="0.2">
      <c r="E1445" s="42"/>
      <c r="H1445" s="43"/>
      <c r="J1445" s="23"/>
      <c r="S1445" s="23"/>
    </row>
    <row r="1446" spans="5:19" s="30" customFormat="1" ht="15.75" customHeight="1" x14ac:dyDescent="0.2">
      <c r="E1446" s="42"/>
      <c r="H1446" s="43"/>
      <c r="J1446" s="23"/>
      <c r="S1446" s="23"/>
    </row>
    <row r="1447" spans="5:19" s="30" customFormat="1" ht="15.75" customHeight="1" x14ac:dyDescent="0.2">
      <c r="E1447" s="42"/>
      <c r="H1447" s="43"/>
      <c r="J1447" s="23"/>
      <c r="S1447" s="23"/>
    </row>
    <row r="1448" spans="5:19" s="30" customFormat="1" ht="15.75" customHeight="1" x14ac:dyDescent="0.2">
      <c r="E1448" s="42"/>
      <c r="H1448" s="43"/>
      <c r="J1448" s="23"/>
      <c r="S1448" s="23"/>
    </row>
    <row r="1449" spans="5:19" s="30" customFormat="1" ht="15.75" customHeight="1" x14ac:dyDescent="0.2">
      <c r="E1449" s="42"/>
      <c r="H1449" s="43"/>
      <c r="J1449" s="23"/>
      <c r="S1449" s="23"/>
    </row>
    <row r="1450" spans="5:19" s="30" customFormat="1" ht="15.75" customHeight="1" x14ac:dyDescent="0.2">
      <c r="E1450" s="42"/>
      <c r="H1450" s="43"/>
      <c r="J1450" s="23"/>
      <c r="S1450" s="23"/>
    </row>
    <row r="1451" spans="5:19" s="30" customFormat="1" ht="15.75" customHeight="1" x14ac:dyDescent="0.2">
      <c r="E1451" s="42"/>
      <c r="H1451" s="43"/>
      <c r="J1451" s="23"/>
      <c r="S1451" s="23"/>
    </row>
    <row r="1452" spans="5:19" s="30" customFormat="1" ht="15.75" customHeight="1" x14ac:dyDescent="0.2">
      <c r="E1452" s="42"/>
      <c r="H1452" s="43"/>
      <c r="J1452" s="23"/>
      <c r="S1452" s="23"/>
    </row>
    <row r="1453" spans="5:19" s="30" customFormat="1" ht="15.75" customHeight="1" x14ac:dyDescent="0.2">
      <c r="E1453" s="42"/>
      <c r="H1453" s="43"/>
      <c r="J1453" s="23"/>
      <c r="S1453" s="23"/>
    </row>
    <row r="1454" spans="5:19" s="30" customFormat="1" ht="15.75" customHeight="1" x14ac:dyDescent="0.2">
      <c r="E1454" s="42"/>
      <c r="H1454" s="43"/>
      <c r="J1454" s="23"/>
      <c r="S1454" s="23"/>
    </row>
    <row r="1455" spans="5:19" s="30" customFormat="1" ht="15.75" customHeight="1" x14ac:dyDescent="0.2">
      <c r="E1455" s="42"/>
      <c r="H1455" s="43"/>
      <c r="J1455" s="23"/>
      <c r="S1455" s="23"/>
    </row>
    <row r="1456" spans="5:19" s="30" customFormat="1" ht="15.75" customHeight="1" x14ac:dyDescent="0.2">
      <c r="E1456" s="42"/>
      <c r="H1456" s="43"/>
      <c r="J1456" s="23"/>
      <c r="S1456" s="23"/>
    </row>
    <row r="1457" spans="5:19" s="30" customFormat="1" ht="15.75" customHeight="1" x14ac:dyDescent="0.2">
      <c r="E1457" s="42"/>
      <c r="H1457" s="43"/>
      <c r="J1457" s="23"/>
      <c r="S1457" s="23"/>
    </row>
    <row r="1458" spans="5:19" s="30" customFormat="1" ht="15.75" customHeight="1" x14ac:dyDescent="0.2">
      <c r="E1458" s="42"/>
      <c r="H1458" s="43"/>
      <c r="J1458" s="23"/>
      <c r="S1458" s="23"/>
    </row>
    <row r="1459" spans="5:19" s="30" customFormat="1" ht="15.75" customHeight="1" x14ac:dyDescent="0.2">
      <c r="E1459" s="42"/>
      <c r="H1459" s="43"/>
      <c r="J1459" s="23"/>
      <c r="S1459" s="23"/>
    </row>
    <row r="1460" spans="5:19" s="30" customFormat="1" ht="15.75" customHeight="1" x14ac:dyDescent="0.2">
      <c r="E1460" s="42"/>
      <c r="H1460" s="43"/>
      <c r="J1460" s="23"/>
      <c r="S1460" s="23"/>
    </row>
    <row r="1461" spans="5:19" s="30" customFormat="1" ht="15.75" customHeight="1" x14ac:dyDescent="0.2">
      <c r="E1461" s="42"/>
      <c r="H1461" s="43"/>
      <c r="J1461" s="23"/>
      <c r="S1461" s="23"/>
    </row>
    <row r="1462" spans="5:19" s="30" customFormat="1" ht="15.75" customHeight="1" x14ac:dyDescent="0.2">
      <c r="E1462" s="42"/>
      <c r="H1462" s="43"/>
      <c r="J1462" s="23"/>
      <c r="S1462" s="23"/>
    </row>
    <row r="1463" spans="5:19" s="30" customFormat="1" ht="15.75" customHeight="1" x14ac:dyDescent="0.2">
      <c r="E1463" s="42"/>
      <c r="H1463" s="43"/>
      <c r="J1463" s="23"/>
      <c r="S1463" s="23"/>
    </row>
    <row r="1464" spans="5:19" s="30" customFormat="1" ht="15.75" customHeight="1" x14ac:dyDescent="0.2">
      <c r="E1464" s="42"/>
      <c r="H1464" s="43"/>
      <c r="J1464" s="23"/>
      <c r="S1464" s="23"/>
    </row>
    <row r="1465" spans="5:19" s="30" customFormat="1" ht="15.75" customHeight="1" x14ac:dyDescent="0.2">
      <c r="E1465" s="42"/>
      <c r="H1465" s="43"/>
      <c r="J1465" s="23"/>
      <c r="S1465" s="23"/>
    </row>
    <row r="1466" spans="5:19" s="30" customFormat="1" ht="15.75" customHeight="1" x14ac:dyDescent="0.2">
      <c r="E1466" s="42"/>
      <c r="H1466" s="43"/>
      <c r="J1466" s="23"/>
      <c r="S1466" s="23"/>
    </row>
    <row r="1467" spans="5:19" s="30" customFormat="1" ht="15.75" customHeight="1" x14ac:dyDescent="0.2">
      <c r="E1467" s="42"/>
      <c r="H1467" s="43"/>
      <c r="J1467" s="23"/>
      <c r="S1467" s="23"/>
    </row>
    <row r="1468" spans="5:19" s="30" customFormat="1" ht="15.75" customHeight="1" x14ac:dyDescent="0.2">
      <c r="E1468" s="42"/>
      <c r="H1468" s="43"/>
      <c r="J1468" s="23"/>
      <c r="S1468" s="23"/>
    </row>
    <row r="1469" spans="5:19" s="30" customFormat="1" ht="15.75" customHeight="1" x14ac:dyDescent="0.2">
      <c r="E1469" s="42"/>
      <c r="H1469" s="43"/>
      <c r="J1469" s="23"/>
      <c r="S1469" s="23"/>
    </row>
    <row r="1470" spans="5:19" s="30" customFormat="1" ht="15.75" customHeight="1" x14ac:dyDescent="0.2">
      <c r="E1470" s="42"/>
      <c r="H1470" s="43"/>
      <c r="J1470" s="23"/>
      <c r="S1470" s="23"/>
    </row>
    <row r="1471" spans="5:19" s="30" customFormat="1" ht="15.75" customHeight="1" x14ac:dyDescent="0.2">
      <c r="E1471" s="42"/>
      <c r="H1471" s="43"/>
      <c r="J1471" s="23"/>
      <c r="S1471" s="23"/>
    </row>
    <row r="1472" spans="5:19" s="30" customFormat="1" ht="15.75" customHeight="1" x14ac:dyDescent="0.2">
      <c r="E1472" s="42"/>
      <c r="H1472" s="43"/>
      <c r="J1472" s="23"/>
      <c r="S1472" s="23"/>
    </row>
    <row r="1473" spans="5:19" s="30" customFormat="1" ht="15.75" customHeight="1" x14ac:dyDescent="0.2">
      <c r="E1473" s="42"/>
      <c r="H1473" s="43"/>
      <c r="J1473" s="23"/>
      <c r="S1473" s="23"/>
    </row>
    <row r="1474" spans="5:19" s="30" customFormat="1" ht="15.75" customHeight="1" x14ac:dyDescent="0.2">
      <c r="E1474" s="42"/>
      <c r="H1474" s="43"/>
      <c r="J1474" s="23"/>
      <c r="S1474" s="23"/>
    </row>
    <row r="1475" spans="5:19" s="30" customFormat="1" ht="15.75" customHeight="1" x14ac:dyDescent="0.2">
      <c r="E1475" s="42"/>
      <c r="H1475" s="43"/>
      <c r="J1475" s="23"/>
      <c r="S1475" s="23"/>
    </row>
    <row r="1476" spans="5:19" s="30" customFormat="1" ht="15.75" customHeight="1" x14ac:dyDescent="0.2">
      <c r="E1476" s="42"/>
      <c r="H1476" s="43"/>
      <c r="J1476" s="23"/>
      <c r="S1476" s="23"/>
    </row>
    <row r="1477" spans="5:19" s="30" customFormat="1" ht="15.75" customHeight="1" x14ac:dyDescent="0.2">
      <c r="E1477" s="42"/>
      <c r="H1477" s="43"/>
      <c r="J1477" s="23"/>
      <c r="S1477" s="23"/>
    </row>
    <row r="1478" spans="5:19" s="30" customFormat="1" ht="15.75" customHeight="1" x14ac:dyDescent="0.2">
      <c r="E1478" s="42"/>
      <c r="H1478" s="43"/>
      <c r="J1478" s="23"/>
      <c r="S1478" s="23"/>
    </row>
    <row r="1479" spans="5:19" s="30" customFormat="1" ht="15.75" customHeight="1" x14ac:dyDescent="0.2">
      <c r="E1479" s="42"/>
      <c r="H1479" s="43"/>
      <c r="J1479" s="23"/>
      <c r="S1479" s="23"/>
    </row>
    <row r="1480" spans="5:19" s="30" customFormat="1" ht="15.75" customHeight="1" x14ac:dyDescent="0.2">
      <c r="E1480" s="42"/>
      <c r="H1480" s="43"/>
      <c r="J1480" s="23"/>
      <c r="S1480" s="23"/>
    </row>
    <row r="1481" spans="5:19" s="30" customFormat="1" ht="15.75" customHeight="1" x14ac:dyDescent="0.2">
      <c r="E1481" s="42"/>
      <c r="H1481" s="43"/>
      <c r="J1481" s="23"/>
      <c r="S1481" s="23"/>
    </row>
    <row r="1482" spans="5:19" s="30" customFormat="1" ht="15.75" customHeight="1" x14ac:dyDescent="0.2">
      <c r="E1482" s="42"/>
      <c r="H1482" s="43"/>
      <c r="J1482" s="23"/>
      <c r="S1482" s="23"/>
    </row>
    <row r="1483" spans="5:19" s="30" customFormat="1" ht="15.75" customHeight="1" x14ac:dyDescent="0.2">
      <c r="E1483" s="42"/>
      <c r="H1483" s="43"/>
      <c r="J1483" s="23"/>
      <c r="S1483" s="23"/>
    </row>
    <row r="1484" spans="5:19" s="30" customFormat="1" ht="15.75" customHeight="1" x14ac:dyDescent="0.2">
      <c r="E1484" s="42"/>
      <c r="H1484" s="43"/>
      <c r="J1484" s="23"/>
      <c r="S1484" s="23"/>
    </row>
    <row r="1485" spans="5:19" s="30" customFormat="1" ht="15.75" customHeight="1" x14ac:dyDescent="0.2">
      <c r="E1485" s="42"/>
      <c r="H1485" s="43"/>
      <c r="J1485" s="23"/>
      <c r="S1485" s="23"/>
    </row>
    <row r="1486" spans="5:19" s="30" customFormat="1" ht="15.75" customHeight="1" x14ac:dyDescent="0.2">
      <c r="E1486" s="42"/>
      <c r="H1486" s="43"/>
      <c r="J1486" s="23"/>
      <c r="S1486" s="23"/>
    </row>
    <row r="1487" spans="5:19" s="30" customFormat="1" ht="15.75" customHeight="1" x14ac:dyDescent="0.2">
      <c r="E1487" s="42"/>
      <c r="H1487" s="43"/>
      <c r="J1487" s="23"/>
      <c r="S1487" s="23"/>
    </row>
    <row r="1488" spans="5:19" s="30" customFormat="1" ht="15.75" customHeight="1" x14ac:dyDescent="0.2">
      <c r="E1488" s="42"/>
      <c r="H1488" s="43"/>
      <c r="J1488" s="23"/>
      <c r="S1488" s="23"/>
    </row>
    <row r="1489" spans="5:19" s="30" customFormat="1" ht="15.75" customHeight="1" x14ac:dyDescent="0.2">
      <c r="E1489" s="42"/>
      <c r="H1489" s="43"/>
      <c r="J1489" s="23"/>
      <c r="S1489" s="23"/>
    </row>
    <row r="1490" spans="5:19" s="30" customFormat="1" ht="15.75" customHeight="1" x14ac:dyDescent="0.2">
      <c r="E1490" s="42"/>
      <c r="H1490" s="43"/>
      <c r="J1490" s="23"/>
      <c r="S1490" s="23"/>
    </row>
    <row r="1491" spans="5:19" s="30" customFormat="1" ht="15.75" customHeight="1" x14ac:dyDescent="0.2">
      <c r="E1491" s="42"/>
      <c r="H1491" s="43"/>
      <c r="J1491" s="23"/>
      <c r="S1491" s="23"/>
    </row>
    <row r="1492" spans="5:19" s="30" customFormat="1" ht="15.75" customHeight="1" x14ac:dyDescent="0.2">
      <c r="E1492" s="42"/>
      <c r="H1492" s="43"/>
      <c r="J1492" s="23"/>
      <c r="S1492" s="23"/>
    </row>
    <row r="1493" spans="5:19" s="30" customFormat="1" ht="15.75" customHeight="1" x14ac:dyDescent="0.2">
      <c r="E1493" s="42"/>
      <c r="H1493" s="43"/>
      <c r="J1493" s="23"/>
      <c r="S1493" s="23"/>
    </row>
    <row r="1494" spans="5:19" s="30" customFormat="1" ht="15.75" customHeight="1" x14ac:dyDescent="0.2">
      <c r="E1494" s="42"/>
      <c r="H1494" s="43"/>
      <c r="J1494" s="23"/>
      <c r="S1494" s="23"/>
    </row>
    <row r="1495" spans="5:19" s="30" customFormat="1" ht="15.75" customHeight="1" x14ac:dyDescent="0.2">
      <c r="E1495" s="42"/>
      <c r="H1495" s="43"/>
      <c r="J1495" s="23"/>
      <c r="S1495" s="23"/>
    </row>
    <row r="1496" spans="5:19" s="30" customFormat="1" ht="15.75" customHeight="1" x14ac:dyDescent="0.2">
      <c r="E1496" s="42"/>
      <c r="H1496" s="43"/>
      <c r="J1496" s="23"/>
      <c r="S1496" s="23"/>
    </row>
    <row r="1497" spans="5:19" s="30" customFormat="1" ht="15.75" customHeight="1" x14ac:dyDescent="0.2">
      <c r="E1497" s="42"/>
      <c r="H1497" s="43"/>
      <c r="J1497" s="23"/>
      <c r="S1497" s="23"/>
    </row>
    <row r="1498" spans="5:19" s="30" customFormat="1" ht="15.75" customHeight="1" x14ac:dyDescent="0.2">
      <c r="E1498" s="42"/>
      <c r="H1498" s="43"/>
      <c r="J1498" s="23"/>
      <c r="S1498" s="23"/>
    </row>
    <row r="1499" spans="5:19" s="30" customFormat="1" ht="15.75" customHeight="1" x14ac:dyDescent="0.2">
      <c r="E1499" s="42"/>
      <c r="H1499" s="43"/>
      <c r="J1499" s="23"/>
      <c r="S1499" s="23"/>
    </row>
    <row r="1500" spans="5:19" s="30" customFormat="1" ht="15.75" customHeight="1" x14ac:dyDescent="0.2">
      <c r="E1500" s="42"/>
      <c r="H1500" s="43"/>
      <c r="J1500" s="23"/>
      <c r="S1500" s="23"/>
    </row>
    <row r="1501" spans="5:19" s="30" customFormat="1" ht="15.75" customHeight="1" x14ac:dyDescent="0.2">
      <c r="E1501" s="42"/>
      <c r="H1501" s="43"/>
      <c r="J1501" s="23"/>
      <c r="S1501" s="23"/>
    </row>
    <row r="1502" spans="5:19" s="30" customFormat="1" ht="15.75" customHeight="1" x14ac:dyDescent="0.2">
      <c r="E1502" s="42"/>
      <c r="H1502" s="43"/>
      <c r="J1502" s="23"/>
      <c r="S1502" s="23"/>
    </row>
    <row r="1503" spans="5:19" s="30" customFormat="1" ht="15.75" customHeight="1" x14ac:dyDescent="0.2">
      <c r="E1503" s="42"/>
      <c r="H1503" s="43"/>
      <c r="J1503" s="23"/>
      <c r="S1503" s="23"/>
    </row>
    <row r="1504" spans="5:19" s="30" customFormat="1" ht="15.75" customHeight="1" x14ac:dyDescent="0.2">
      <c r="E1504" s="42"/>
      <c r="H1504" s="43"/>
      <c r="J1504" s="23"/>
      <c r="S1504" s="23"/>
    </row>
    <row r="1505" spans="5:19" s="30" customFormat="1" ht="15.75" customHeight="1" x14ac:dyDescent="0.2">
      <c r="E1505" s="42"/>
      <c r="H1505" s="43"/>
      <c r="J1505" s="23"/>
      <c r="S1505" s="23"/>
    </row>
    <row r="1506" spans="5:19" s="30" customFormat="1" ht="15.75" customHeight="1" x14ac:dyDescent="0.2">
      <c r="E1506" s="42"/>
      <c r="H1506" s="43"/>
      <c r="J1506" s="23"/>
      <c r="S1506" s="23"/>
    </row>
    <row r="1507" spans="5:19" s="30" customFormat="1" ht="15.75" customHeight="1" x14ac:dyDescent="0.2">
      <c r="E1507" s="42"/>
      <c r="H1507" s="43"/>
      <c r="J1507" s="23"/>
      <c r="S1507" s="23"/>
    </row>
    <row r="1508" spans="5:19" s="30" customFormat="1" ht="15.75" customHeight="1" x14ac:dyDescent="0.2">
      <c r="E1508" s="42"/>
      <c r="H1508" s="43"/>
      <c r="J1508" s="23"/>
      <c r="S1508" s="23"/>
    </row>
    <row r="1509" spans="5:19" s="30" customFormat="1" ht="15.75" customHeight="1" x14ac:dyDescent="0.2">
      <c r="E1509" s="42"/>
      <c r="H1509" s="43"/>
      <c r="J1509" s="23"/>
      <c r="S1509" s="23"/>
    </row>
    <row r="1510" spans="5:19" s="30" customFormat="1" ht="15.75" customHeight="1" x14ac:dyDescent="0.2">
      <c r="E1510" s="42"/>
      <c r="H1510" s="43"/>
      <c r="J1510" s="23"/>
      <c r="S1510" s="23"/>
    </row>
    <row r="1511" spans="5:19" s="30" customFormat="1" ht="15.75" customHeight="1" x14ac:dyDescent="0.2">
      <c r="E1511" s="42"/>
      <c r="H1511" s="43"/>
      <c r="J1511" s="23"/>
      <c r="S1511" s="23"/>
    </row>
    <row r="1512" spans="5:19" s="30" customFormat="1" ht="15.75" customHeight="1" x14ac:dyDescent="0.2">
      <c r="E1512" s="42"/>
      <c r="H1512" s="43"/>
      <c r="J1512" s="23"/>
      <c r="S1512" s="23"/>
    </row>
    <row r="1513" spans="5:19" s="30" customFormat="1" ht="15.75" customHeight="1" x14ac:dyDescent="0.2">
      <c r="E1513" s="42"/>
      <c r="H1513" s="43"/>
      <c r="J1513" s="23"/>
      <c r="S1513" s="23"/>
    </row>
    <row r="1514" spans="5:19" s="30" customFormat="1" ht="15.75" customHeight="1" x14ac:dyDescent="0.2">
      <c r="E1514" s="42"/>
      <c r="H1514" s="43"/>
      <c r="J1514" s="23"/>
      <c r="S1514" s="23"/>
    </row>
    <row r="1515" spans="5:19" s="30" customFormat="1" ht="15.75" customHeight="1" x14ac:dyDescent="0.2">
      <c r="E1515" s="42"/>
      <c r="H1515" s="43"/>
      <c r="J1515" s="23"/>
      <c r="S1515" s="23"/>
    </row>
    <row r="1516" spans="5:19" s="30" customFormat="1" ht="15.75" customHeight="1" x14ac:dyDescent="0.2">
      <c r="E1516" s="42"/>
      <c r="H1516" s="43"/>
      <c r="J1516" s="23"/>
      <c r="S1516" s="23"/>
    </row>
    <row r="1517" spans="5:19" s="30" customFormat="1" ht="15.75" customHeight="1" x14ac:dyDescent="0.2">
      <c r="E1517" s="42"/>
      <c r="H1517" s="43"/>
      <c r="J1517" s="23"/>
      <c r="S1517" s="23"/>
    </row>
    <row r="1518" spans="5:19" s="30" customFormat="1" ht="15.75" customHeight="1" x14ac:dyDescent="0.2">
      <c r="E1518" s="42"/>
      <c r="H1518" s="43"/>
      <c r="J1518" s="23"/>
      <c r="S1518" s="23"/>
    </row>
    <row r="1519" spans="5:19" s="30" customFormat="1" ht="15.75" customHeight="1" x14ac:dyDescent="0.2">
      <c r="E1519" s="42"/>
      <c r="H1519" s="43"/>
      <c r="J1519" s="23"/>
      <c r="S1519" s="23"/>
    </row>
    <row r="1520" spans="5:19" s="30" customFormat="1" ht="15.75" customHeight="1" x14ac:dyDescent="0.2">
      <c r="E1520" s="42"/>
      <c r="H1520" s="43"/>
      <c r="J1520" s="23"/>
      <c r="S1520" s="23"/>
    </row>
    <row r="1521" spans="5:19" s="30" customFormat="1" ht="15.75" customHeight="1" x14ac:dyDescent="0.2">
      <c r="E1521" s="42"/>
      <c r="H1521" s="43"/>
      <c r="J1521" s="23"/>
      <c r="S1521" s="23"/>
    </row>
    <row r="1522" spans="5:19" s="30" customFormat="1" ht="15.75" customHeight="1" x14ac:dyDescent="0.2">
      <c r="E1522" s="42"/>
      <c r="H1522" s="43"/>
      <c r="J1522" s="23"/>
      <c r="S1522" s="23"/>
    </row>
    <row r="1523" spans="5:19" s="30" customFormat="1" ht="15.75" customHeight="1" x14ac:dyDescent="0.2">
      <c r="E1523" s="42"/>
      <c r="H1523" s="43"/>
      <c r="J1523" s="23"/>
      <c r="S1523" s="23"/>
    </row>
    <row r="1524" spans="5:19" s="30" customFormat="1" ht="15.75" customHeight="1" x14ac:dyDescent="0.2">
      <c r="E1524" s="42"/>
      <c r="H1524" s="43"/>
      <c r="J1524" s="23"/>
      <c r="S1524" s="23"/>
    </row>
    <row r="1525" spans="5:19" s="30" customFormat="1" ht="15.75" customHeight="1" x14ac:dyDescent="0.2">
      <c r="E1525" s="42"/>
      <c r="H1525" s="43"/>
      <c r="J1525" s="23"/>
      <c r="S1525" s="23"/>
    </row>
    <row r="1526" spans="5:19" s="30" customFormat="1" ht="15.75" customHeight="1" x14ac:dyDescent="0.2">
      <c r="E1526" s="42"/>
      <c r="H1526" s="43"/>
      <c r="J1526" s="23"/>
      <c r="S1526" s="23"/>
    </row>
    <row r="1527" spans="5:19" s="30" customFormat="1" ht="15.75" customHeight="1" x14ac:dyDescent="0.2">
      <c r="E1527" s="42"/>
      <c r="H1527" s="43"/>
      <c r="J1527" s="23"/>
      <c r="S1527" s="23"/>
    </row>
    <row r="1528" spans="5:19" s="30" customFormat="1" ht="15.75" customHeight="1" x14ac:dyDescent="0.2">
      <c r="E1528" s="42"/>
      <c r="H1528" s="43"/>
      <c r="J1528" s="23"/>
      <c r="S1528" s="23"/>
    </row>
    <row r="1529" spans="5:19" s="30" customFormat="1" ht="15.75" customHeight="1" x14ac:dyDescent="0.2">
      <c r="E1529" s="42"/>
      <c r="H1529" s="43"/>
      <c r="J1529" s="23"/>
      <c r="S1529" s="23"/>
    </row>
    <row r="1530" spans="5:19" s="30" customFormat="1" ht="15.75" customHeight="1" x14ac:dyDescent="0.2">
      <c r="E1530" s="42"/>
      <c r="H1530" s="43"/>
      <c r="J1530" s="23"/>
      <c r="S1530" s="23"/>
    </row>
    <row r="1531" spans="5:19" s="30" customFormat="1" ht="15.75" customHeight="1" x14ac:dyDescent="0.2">
      <c r="E1531" s="42"/>
      <c r="H1531" s="43"/>
      <c r="J1531" s="23"/>
      <c r="S1531" s="23"/>
    </row>
    <row r="1532" spans="5:19" s="30" customFormat="1" ht="15.75" customHeight="1" x14ac:dyDescent="0.2">
      <c r="E1532" s="42"/>
      <c r="H1532" s="43"/>
      <c r="J1532" s="23"/>
      <c r="S1532" s="23"/>
    </row>
    <row r="1533" spans="5:19" s="30" customFormat="1" ht="15.75" customHeight="1" x14ac:dyDescent="0.2">
      <c r="E1533" s="42"/>
      <c r="H1533" s="43"/>
      <c r="J1533" s="23"/>
      <c r="S1533" s="23"/>
    </row>
    <row r="1534" spans="5:19" s="30" customFormat="1" ht="15.75" customHeight="1" x14ac:dyDescent="0.2">
      <c r="E1534" s="42"/>
      <c r="H1534" s="43"/>
      <c r="J1534" s="23"/>
      <c r="S1534" s="23"/>
    </row>
    <row r="1535" spans="5:19" s="30" customFormat="1" ht="15.75" customHeight="1" x14ac:dyDescent="0.2">
      <c r="E1535" s="42"/>
      <c r="H1535" s="43"/>
      <c r="J1535" s="23"/>
      <c r="S1535" s="23"/>
    </row>
    <row r="1536" spans="5:19" s="30" customFormat="1" ht="15.75" customHeight="1" x14ac:dyDescent="0.2">
      <c r="E1536" s="42"/>
      <c r="H1536" s="43"/>
      <c r="J1536" s="23"/>
      <c r="S1536" s="23"/>
    </row>
    <row r="1537" spans="5:19" s="30" customFormat="1" ht="15.75" customHeight="1" x14ac:dyDescent="0.2">
      <c r="E1537" s="42"/>
      <c r="H1537" s="43"/>
      <c r="J1537" s="23"/>
      <c r="S1537" s="23"/>
    </row>
    <row r="1538" spans="5:19" s="30" customFormat="1" ht="15.75" customHeight="1" x14ac:dyDescent="0.2">
      <c r="E1538" s="42"/>
      <c r="H1538" s="43"/>
      <c r="J1538" s="23"/>
      <c r="S1538" s="23"/>
    </row>
    <row r="1539" spans="5:19" s="30" customFormat="1" ht="15.75" customHeight="1" x14ac:dyDescent="0.2">
      <c r="E1539" s="42"/>
      <c r="H1539" s="43"/>
      <c r="J1539" s="23"/>
      <c r="S1539" s="23"/>
    </row>
    <row r="1540" spans="5:19" s="30" customFormat="1" ht="15.75" customHeight="1" x14ac:dyDescent="0.2">
      <c r="E1540" s="42"/>
      <c r="H1540" s="43"/>
      <c r="J1540" s="23"/>
      <c r="S1540" s="23"/>
    </row>
    <row r="1541" spans="5:19" s="30" customFormat="1" ht="15.75" customHeight="1" x14ac:dyDescent="0.2">
      <c r="E1541" s="42"/>
      <c r="H1541" s="43"/>
      <c r="J1541" s="23"/>
      <c r="S1541" s="23"/>
    </row>
    <row r="1542" spans="5:19" s="30" customFormat="1" ht="15.75" customHeight="1" x14ac:dyDescent="0.2">
      <c r="E1542" s="42"/>
      <c r="H1542" s="43"/>
      <c r="J1542" s="23"/>
      <c r="S1542" s="23"/>
    </row>
    <row r="1543" spans="5:19" s="30" customFormat="1" ht="15.75" customHeight="1" x14ac:dyDescent="0.2">
      <c r="E1543" s="42"/>
      <c r="H1543" s="43"/>
      <c r="J1543" s="23"/>
      <c r="S1543" s="23"/>
    </row>
    <row r="1544" spans="5:19" s="30" customFormat="1" ht="15.75" customHeight="1" x14ac:dyDescent="0.2">
      <c r="E1544" s="42"/>
      <c r="H1544" s="43"/>
      <c r="J1544" s="23"/>
      <c r="S1544" s="23"/>
    </row>
    <row r="1545" spans="5:19" s="30" customFormat="1" ht="15.75" customHeight="1" x14ac:dyDescent="0.2">
      <c r="E1545" s="42"/>
      <c r="H1545" s="43"/>
      <c r="J1545" s="23"/>
      <c r="S1545" s="23"/>
    </row>
    <row r="1546" spans="5:19" s="30" customFormat="1" ht="15.75" customHeight="1" x14ac:dyDescent="0.2">
      <c r="E1546" s="42"/>
      <c r="H1546" s="43"/>
      <c r="J1546" s="23"/>
      <c r="S1546" s="23"/>
    </row>
    <row r="1547" spans="5:19" s="30" customFormat="1" ht="15.75" customHeight="1" x14ac:dyDescent="0.2">
      <c r="E1547" s="42"/>
      <c r="H1547" s="43"/>
      <c r="J1547" s="23"/>
      <c r="S1547" s="23"/>
    </row>
    <row r="1548" spans="5:19" s="30" customFormat="1" ht="15.75" customHeight="1" x14ac:dyDescent="0.2">
      <c r="E1548" s="42"/>
      <c r="H1548" s="43"/>
      <c r="J1548" s="23"/>
      <c r="S1548" s="23"/>
    </row>
    <row r="1549" spans="5:19" s="30" customFormat="1" ht="15.75" customHeight="1" x14ac:dyDescent="0.2">
      <c r="E1549" s="42"/>
      <c r="H1549" s="43"/>
      <c r="J1549" s="23"/>
      <c r="S1549" s="23"/>
    </row>
    <row r="1550" spans="5:19" s="30" customFormat="1" ht="15.75" customHeight="1" x14ac:dyDescent="0.2">
      <c r="E1550" s="42"/>
      <c r="H1550" s="43"/>
      <c r="J1550" s="23"/>
      <c r="S1550" s="23"/>
    </row>
    <row r="1551" spans="5:19" s="30" customFormat="1" ht="15.75" customHeight="1" x14ac:dyDescent="0.2">
      <c r="E1551" s="42"/>
      <c r="H1551" s="43"/>
      <c r="J1551" s="23"/>
      <c r="S1551" s="23"/>
    </row>
    <row r="1552" spans="5:19" s="30" customFormat="1" ht="15.75" customHeight="1" x14ac:dyDescent="0.2">
      <c r="E1552" s="42"/>
      <c r="H1552" s="43"/>
      <c r="J1552" s="23"/>
      <c r="S1552" s="23"/>
    </row>
    <row r="1553" spans="5:19" s="30" customFormat="1" ht="15.75" customHeight="1" x14ac:dyDescent="0.2">
      <c r="E1553" s="42"/>
      <c r="H1553" s="43"/>
      <c r="J1553" s="23"/>
      <c r="S1553" s="23"/>
    </row>
    <row r="1554" spans="5:19" s="30" customFormat="1" ht="15.75" customHeight="1" x14ac:dyDescent="0.2">
      <c r="E1554" s="42"/>
      <c r="H1554" s="43"/>
      <c r="J1554" s="23"/>
      <c r="S1554" s="23"/>
    </row>
    <row r="1555" spans="5:19" s="30" customFormat="1" ht="15.75" customHeight="1" x14ac:dyDescent="0.2">
      <c r="E1555" s="42"/>
      <c r="H1555" s="43"/>
      <c r="J1555" s="23"/>
      <c r="S1555" s="23"/>
    </row>
    <row r="1556" spans="5:19" s="30" customFormat="1" ht="15.75" customHeight="1" x14ac:dyDescent="0.2">
      <c r="E1556" s="42"/>
      <c r="H1556" s="43"/>
      <c r="J1556" s="23"/>
      <c r="S1556" s="23"/>
    </row>
    <row r="1557" spans="5:19" s="30" customFormat="1" ht="15.75" customHeight="1" x14ac:dyDescent="0.2">
      <c r="E1557" s="42"/>
      <c r="H1557" s="43"/>
      <c r="J1557" s="23"/>
      <c r="S1557" s="23"/>
    </row>
    <row r="1558" spans="5:19" s="30" customFormat="1" ht="15.75" customHeight="1" x14ac:dyDescent="0.2">
      <c r="E1558" s="42"/>
      <c r="H1558" s="43"/>
      <c r="J1558" s="23"/>
      <c r="S1558" s="23"/>
    </row>
    <row r="1559" spans="5:19" s="30" customFormat="1" ht="15.75" customHeight="1" x14ac:dyDescent="0.2">
      <c r="E1559" s="42"/>
      <c r="H1559" s="43"/>
      <c r="J1559" s="23"/>
      <c r="S1559" s="23"/>
    </row>
    <row r="1560" spans="5:19" s="30" customFormat="1" ht="15.75" customHeight="1" x14ac:dyDescent="0.2">
      <c r="E1560" s="42"/>
      <c r="H1560" s="43"/>
      <c r="J1560" s="23"/>
      <c r="S1560" s="23"/>
    </row>
    <row r="1561" spans="5:19" s="30" customFormat="1" ht="15.75" customHeight="1" x14ac:dyDescent="0.2">
      <c r="E1561" s="42"/>
      <c r="H1561" s="43"/>
      <c r="J1561" s="23"/>
      <c r="S1561" s="23"/>
    </row>
    <row r="1562" spans="5:19" s="30" customFormat="1" ht="15.75" customHeight="1" x14ac:dyDescent="0.2">
      <c r="E1562" s="42"/>
      <c r="H1562" s="43"/>
      <c r="J1562" s="23"/>
      <c r="S1562" s="23"/>
    </row>
    <row r="1563" spans="5:19" s="30" customFormat="1" ht="15.75" customHeight="1" x14ac:dyDescent="0.2">
      <c r="E1563" s="42"/>
      <c r="H1563" s="43"/>
      <c r="J1563" s="23"/>
      <c r="S1563" s="23"/>
    </row>
    <row r="1564" spans="5:19" s="30" customFormat="1" ht="15.75" customHeight="1" x14ac:dyDescent="0.2">
      <c r="E1564" s="42"/>
      <c r="H1564" s="43"/>
      <c r="J1564" s="23"/>
      <c r="S1564" s="23"/>
    </row>
    <row r="1565" spans="5:19" s="30" customFormat="1" ht="15.75" customHeight="1" x14ac:dyDescent="0.2">
      <c r="E1565" s="42"/>
      <c r="H1565" s="43"/>
      <c r="J1565" s="23"/>
      <c r="S1565" s="23"/>
    </row>
    <row r="1566" spans="5:19" s="30" customFormat="1" ht="15.75" customHeight="1" x14ac:dyDescent="0.2">
      <c r="E1566" s="42"/>
      <c r="H1566" s="43"/>
      <c r="J1566" s="23"/>
      <c r="S1566" s="23"/>
    </row>
    <row r="1567" spans="5:19" s="30" customFormat="1" ht="15.75" customHeight="1" x14ac:dyDescent="0.2">
      <c r="E1567" s="42"/>
      <c r="H1567" s="43"/>
      <c r="J1567" s="23"/>
      <c r="S1567" s="23"/>
    </row>
    <row r="1568" spans="5:19" s="30" customFormat="1" ht="15.75" customHeight="1" x14ac:dyDescent="0.2">
      <c r="E1568" s="42"/>
      <c r="H1568" s="43"/>
      <c r="J1568" s="23"/>
      <c r="S1568" s="23"/>
    </row>
    <row r="1569" spans="5:19" s="30" customFormat="1" ht="15.75" customHeight="1" x14ac:dyDescent="0.2">
      <c r="E1569" s="42"/>
      <c r="H1569" s="43"/>
      <c r="J1569" s="23"/>
      <c r="S1569" s="23"/>
    </row>
    <row r="1570" spans="5:19" s="30" customFormat="1" ht="15.75" customHeight="1" x14ac:dyDescent="0.2">
      <c r="E1570" s="42"/>
      <c r="H1570" s="43"/>
      <c r="J1570" s="23"/>
      <c r="S1570" s="23"/>
    </row>
    <row r="1571" spans="5:19" s="30" customFormat="1" ht="15.75" customHeight="1" x14ac:dyDescent="0.2">
      <c r="E1571" s="42"/>
      <c r="H1571" s="43"/>
      <c r="J1571" s="23"/>
      <c r="S1571" s="23"/>
    </row>
    <row r="1572" spans="5:19" s="30" customFormat="1" ht="15.75" customHeight="1" x14ac:dyDescent="0.2">
      <c r="E1572" s="42"/>
      <c r="H1572" s="43"/>
      <c r="J1572" s="23"/>
      <c r="S1572" s="23"/>
    </row>
    <row r="1573" spans="5:19" s="30" customFormat="1" ht="15.75" customHeight="1" x14ac:dyDescent="0.2">
      <c r="E1573" s="42"/>
      <c r="H1573" s="43"/>
      <c r="J1573" s="23"/>
      <c r="S1573" s="23"/>
    </row>
    <row r="1574" spans="5:19" s="30" customFormat="1" ht="15.75" customHeight="1" x14ac:dyDescent="0.2">
      <c r="E1574" s="42"/>
      <c r="H1574" s="43"/>
      <c r="J1574" s="23"/>
      <c r="S1574" s="23"/>
    </row>
    <row r="1575" spans="5:19" s="30" customFormat="1" ht="15.75" customHeight="1" x14ac:dyDescent="0.2">
      <c r="E1575" s="42"/>
      <c r="H1575" s="43"/>
      <c r="J1575" s="23"/>
      <c r="S1575" s="23"/>
    </row>
    <row r="1576" spans="5:19" s="30" customFormat="1" ht="15.75" customHeight="1" x14ac:dyDescent="0.2">
      <c r="E1576" s="42"/>
      <c r="H1576" s="43"/>
      <c r="J1576" s="23"/>
      <c r="S1576" s="23"/>
    </row>
    <row r="1577" spans="5:19" s="30" customFormat="1" ht="15.75" customHeight="1" x14ac:dyDescent="0.2">
      <c r="E1577" s="42"/>
      <c r="H1577" s="43"/>
      <c r="J1577" s="23"/>
      <c r="S1577" s="23"/>
    </row>
    <row r="1578" spans="5:19" s="30" customFormat="1" ht="15.75" customHeight="1" x14ac:dyDescent="0.2">
      <c r="E1578" s="42"/>
      <c r="H1578" s="43"/>
      <c r="J1578" s="23"/>
      <c r="S1578" s="23"/>
    </row>
    <row r="1579" spans="5:19" s="30" customFormat="1" ht="15.75" customHeight="1" x14ac:dyDescent="0.2">
      <c r="E1579" s="42"/>
      <c r="H1579" s="43"/>
      <c r="J1579" s="23"/>
      <c r="S1579" s="23"/>
    </row>
    <row r="1580" spans="5:19" s="30" customFormat="1" ht="15.75" customHeight="1" x14ac:dyDescent="0.2">
      <c r="E1580" s="42"/>
      <c r="H1580" s="43"/>
      <c r="J1580" s="23"/>
      <c r="S1580" s="23"/>
    </row>
    <row r="1581" spans="5:19" s="30" customFormat="1" ht="15.75" customHeight="1" x14ac:dyDescent="0.2">
      <c r="E1581" s="42"/>
      <c r="H1581" s="43"/>
      <c r="J1581" s="23"/>
      <c r="S1581" s="23"/>
    </row>
    <row r="1582" spans="5:19" s="30" customFormat="1" ht="15.75" customHeight="1" x14ac:dyDescent="0.2">
      <c r="E1582" s="42"/>
      <c r="H1582" s="43"/>
      <c r="J1582" s="23"/>
      <c r="S1582" s="23"/>
    </row>
    <row r="1583" spans="5:19" s="30" customFormat="1" ht="15.75" customHeight="1" x14ac:dyDescent="0.2">
      <c r="E1583" s="42"/>
      <c r="H1583" s="43"/>
      <c r="J1583" s="23"/>
      <c r="S1583" s="23"/>
    </row>
    <row r="1584" spans="5:19" s="30" customFormat="1" ht="15.75" customHeight="1" x14ac:dyDescent="0.2">
      <c r="E1584" s="42"/>
      <c r="H1584" s="43"/>
      <c r="J1584" s="23"/>
      <c r="S1584" s="23"/>
    </row>
    <row r="1585" spans="5:19" s="30" customFormat="1" ht="15.75" customHeight="1" x14ac:dyDescent="0.2">
      <c r="E1585" s="42"/>
      <c r="H1585" s="43"/>
      <c r="J1585" s="23"/>
      <c r="S1585" s="23"/>
    </row>
    <row r="1586" spans="5:19" s="30" customFormat="1" ht="15.75" customHeight="1" x14ac:dyDescent="0.2">
      <c r="E1586" s="42"/>
      <c r="H1586" s="43"/>
      <c r="J1586" s="23"/>
      <c r="S1586" s="23"/>
    </row>
    <row r="1587" spans="5:19" s="30" customFormat="1" ht="15.75" customHeight="1" x14ac:dyDescent="0.2">
      <c r="E1587" s="42"/>
      <c r="H1587" s="43"/>
      <c r="J1587" s="23"/>
      <c r="S1587" s="23"/>
    </row>
    <row r="1588" spans="5:19" s="30" customFormat="1" ht="15.75" customHeight="1" x14ac:dyDescent="0.2">
      <c r="E1588" s="42"/>
      <c r="H1588" s="43"/>
      <c r="J1588" s="23"/>
      <c r="S1588" s="23"/>
    </row>
    <row r="1589" spans="5:19" s="30" customFormat="1" ht="15.75" customHeight="1" x14ac:dyDescent="0.2">
      <c r="E1589" s="42"/>
      <c r="H1589" s="43"/>
      <c r="J1589" s="23"/>
      <c r="S1589" s="23"/>
    </row>
    <row r="1590" spans="5:19" s="30" customFormat="1" ht="15.75" customHeight="1" x14ac:dyDescent="0.2">
      <c r="E1590" s="42"/>
      <c r="H1590" s="43"/>
      <c r="J1590" s="23"/>
      <c r="S1590" s="23"/>
    </row>
    <row r="1591" spans="5:19" s="30" customFormat="1" ht="15.75" customHeight="1" x14ac:dyDescent="0.2">
      <c r="E1591" s="42"/>
      <c r="H1591" s="43"/>
      <c r="J1591" s="23"/>
      <c r="S1591" s="23"/>
    </row>
    <row r="1592" spans="5:19" s="30" customFormat="1" ht="15.75" customHeight="1" x14ac:dyDescent="0.2">
      <c r="E1592" s="42"/>
      <c r="H1592" s="43"/>
      <c r="J1592" s="23"/>
      <c r="S1592" s="23"/>
    </row>
    <row r="1593" spans="5:19" s="30" customFormat="1" ht="15.75" customHeight="1" x14ac:dyDescent="0.2">
      <c r="E1593" s="42"/>
      <c r="H1593" s="43"/>
      <c r="J1593" s="23"/>
      <c r="S1593" s="23"/>
    </row>
    <row r="1594" spans="5:19" s="30" customFormat="1" ht="15.75" customHeight="1" x14ac:dyDescent="0.2">
      <c r="E1594" s="42"/>
      <c r="H1594" s="43"/>
      <c r="J1594" s="23"/>
      <c r="S1594" s="23"/>
    </row>
    <row r="1595" spans="5:19" s="30" customFormat="1" ht="15.75" customHeight="1" x14ac:dyDescent="0.2">
      <c r="E1595" s="42"/>
      <c r="H1595" s="43"/>
      <c r="J1595" s="23"/>
      <c r="S1595" s="23"/>
    </row>
    <row r="1596" spans="5:19" s="30" customFormat="1" ht="15.75" customHeight="1" x14ac:dyDescent="0.2">
      <c r="E1596" s="42"/>
      <c r="H1596" s="43"/>
      <c r="J1596" s="23"/>
      <c r="S1596" s="23"/>
    </row>
    <row r="1597" spans="5:19" s="30" customFormat="1" ht="15.75" customHeight="1" x14ac:dyDescent="0.2">
      <c r="E1597" s="42"/>
      <c r="H1597" s="43"/>
      <c r="J1597" s="23"/>
      <c r="S1597" s="23"/>
    </row>
    <row r="1598" spans="5:19" s="30" customFormat="1" ht="15.75" customHeight="1" x14ac:dyDescent="0.2">
      <c r="E1598" s="42"/>
      <c r="H1598" s="43"/>
      <c r="J1598" s="23"/>
      <c r="S1598" s="23"/>
    </row>
    <row r="1599" spans="5:19" s="30" customFormat="1" ht="15.75" customHeight="1" x14ac:dyDescent="0.2">
      <c r="E1599" s="42"/>
      <c r="H1599" s="43"/>
      <c r="J1599" s="23"/>
      <c r="S1599" s="23"/>
    </row>
    <row r="1600" spans="5:19" s="30" customFormat="1" ht="15.75" customHeight="1" x14ac:dyDescent="0.2">
      <c r="E1600" s="42"/>
      <c r="H1600" s="43"/>
      <c r="J1600" s="23"/>
      <c r="S1600" s="23"/>
    </row>
    <row r="1601" spans="5:19" s="30" customFormat="1" ht="15.75" customHeight="1" x14ac:dyDescent="0.2">
      <c r="E1601" s="42"/>
      <c r="H1601" s="43"/>
      <c r="J1601" s="23"/>
      <c r="S1601" s="23"/>
    </row>
    <row r="1602" spans="5:19" s="30" customFormat="1" ht="15.75" customHeight="1" x14ac:dyDescent="0.2">
      <c r="E1602" s="42"/>
      <c r="H1602" s="43"/>
      <c r="J1602" s="23"/>
      <c r="S1602" s="23"/>
    </row>
    <row r="1603" spans="5:19" s="30" customFormat="1" ht="15.75" customHeight="1" x14ac:dyDescent="0.2">
      <c r="E1603" s="42"/>
      <c r="H1603" s="43"/>
      <c r="J1603" s="23"/>
      <c r="S1603" s="23"/>
    </row>
    <row r="1604" spans="5:19" s="30" customFormat="1" ht="15.75" customHeight="1" x14ac:dyDescent="0.2">
      <c r="E1604" s="42"/>
      <c r="H1604" s="43"/>
      <c r="J1604" s="23"/>
      <c r="S1604" s="23"/>
    </row>
    <row r="1605" spans="5:19" s="30" customFormat="1" ht="15.75" customHeight="1" x14ac:dyDescent="0.2">
      <c r="E1605" s="42"/>
      <c r="H1605" s="43"/>
      <c r="J1605" s="23"/>
      <c r="S1605" s="23"/>
    </row>
    <row r="1606" spans="5:19" s="30" customFormat="1" ht="15.75" customHeight="1" x14ac:dyDescent="0.2">
      <c r="E1606" s="42"/>
      <c r="H1606" s="43"/>
      <c r="J1606" s="23"/>
      <c r="S1606" s="23"/>
    </row>
    <row r="1607" spans="5:19" s="30" customFormat="1" ht="15.75" customHeight="1" x14ac:dyDescent="0.2">
      <c r="E1607" s="42"/>
      <c r="H1607" s="43"/>
      <c r="J1607" s="23"/>
      <c r="S1607" s="23"/>
    </row>
    <row r="1608" spans="5:19" s="30" customFormat="1" ht="15.75" customHeight="1" x14ac:dyDescent="0.2">
      <c r="E1608" s="42"/>
      <c r="H1608" s="43"/>
      <c r="J1608" s="23"/>
      <c r="S1608" s="23"/>
    </row>
    <row r="1609" spans="5:19" s="30" customFormat="1" ht="15.75" customHeight="1" x14ac:dyDescent="0.2">
      <c r="E1609" s="42"/>
      <c r="H1609" s="43"/>
      <c r="J1609" s="23"/>
      <c r="S1609" s="23"/>
    </row>
    <row r="1610" spans="5:19" s="30" customFormat="1" ht="15.75" customHeight="1" x14ac:dyDescent="0.2">
      <c r="E1610" s="42"/>
      <c r="H1610" s="43"/>
      <c r="J1610" s="23"/>
      <c r="S1610" s="23"/>
    </row>
    <row r="1611" spans="5:19" s="30" customFormat="1" ht="15.75" customHeight="1" x14ac:dyDescent="0.2">
      <c r="E1611" s="42"/>
      <c r="H1611" s="43"/>
      <c r="J1611" s="23"/>
      <c r="S1611" s="23"/>
    </row>
    <row r="1612" spans="5:19" s="30" customFormat="1" ht="15.75" customHeight="1" x14ac:dyDescent="0.2">
      <c r="E1612" s="42"/>
      <c r="H1612" s="43"/>
      <c r="J1612" s="23"/>
      <c r="S1612" s="23"/>
    </row>
    <row r="1613" spans="5:19" s="30" customFormat="1" ht="15.75" customHeight="1" x14ac:dyDescent="0.2">
      <c r="E1613" s="42"/>
      <c r="H1613" s="43"/>
      <c r="J1613" s="23"/>
      <c r="S1613" s="23"/>
    </row>
    <row r="1614" spans="5:19" s="30" customFormat="1" ht="15.75" customHeight="1" x14ac:dyDescent="0.2">
      <c r="E1614" s="42"/>
      <c r="H1614" s="43"/>
      <c r="J1614" s="23"/>
      <c r="S1614" s="23"/>
    </row>
    <row r="1615" spans="5:19" s="30" customFormat="1" ht="15.75" customHeight="1" x14ac:dyDescent="0.2">
      <c r="E1615" s="42"/>
      <c r="H1615" s="43"/>
      <c r="J1615" s="23"/>
      <c r="S1615" s="23"/>
    </row>
    <row r="1616" spans="5:19" s="30" customFormat="1" ht="15.75" customHeight="1" x14ac:dyDescent="0.2">
      <c r="E1616" s="42"/>
      <c r="H1616" s="43"/>
      <c r="J1616" s="23"/>
      <c r="S1616" s="23"/>
    </row>
    <row r="1617" spans="5:19" s="30" customFormat="1" ht="15.75" customHeight="1" x14ac:dyDescent="0.2">
      <c r="E1617" s="42"/>
      <c r="H1617" s="43"/>
      <c r="J1617" s="23"/>
      <c r="S1617" s="23"/>
    </row>
    <row r="1618" spans="5:19" s="30" customFormat="1" ht="15.75" customHeight="1" x14ac:dyDescent="0.2">
      <c r="E1618" s="42"/>
      <c r="H1618" s="43"/>
      <c r="J1618" s="23"/>
      <c r="S1618" s="23"/>
    </row>
    <row r="1619" spans="5:19" s="30" customFormat="1" ht="15.75" customHeight="1" x14ac:dyDescent="0.2">
      <c r="E1619" s="42"/>
      <c r="H1619" s="43"/>
      <c r="J1619" s="23"/>
      <c r="S1619" s="23"/>
    </row>
    <row r="1620" spans="5:19" s="30" customFormat="1" ht="15.75" customHeight="1" x14ac:dyDescent="0.2">
      <c r="E1620" s="42"/>
      <c r="H1620" s="43"/>
      <c r="J1620" s="23"/>
      <c r="S1620" s="23"/>
    </row>
    <row r="1621" spans="5:19" s="30" customFormat="1" ht="15.75" customHeight="1" x14ac:dyDescent="0.2">
      <c r="E1621" s="42"/>
      <c r="H1621" s="43"/>
      <c r="J1621" s="23"/>
      <c r="S1621" s="23"/>
    </row>
    <row r="1622" spans="5:19" s="30" customFormat="1" ht="15.75" customHeight="1" x14ac:dyDescent="0.2">
      <c r="E1622" s="42"/>
      <c r="H1622" s="43"/>
      <c r="J1622" s="23"/>
      <c r="S1622" s="23"/>
    </row>
    <row r="1623" spans="5:19" s="30" customFormat="1" ht="15.75" customHeight="1" x14ac:dyDescent="0.2">
      <c r="E1623" s="42"/>
      <c r="H1623" s="43"/>
      <c r="J1623" s="23"/>
      <c r="S1623" s="23"/>
    </row>
    <row r="1624" spans="5:19" s="30" customFormat="1" ht="15.75" customHeight="1" x14ac:dyDescent="0.2">
      <c r="E1624" s="42"/>
      <c r="H1624" s="43"/>
      <c r="J1624" s="23"/>
      <c r="S1624" s="23"/>
    </row>
    <row r="1625" spans="5:19" s="30" customFormat="1" ht="15.75" customHeight="1" x14ac:dyDescent="0.2">
      <c r="E1625" s="42"/>
      <c r="H1625" s="43"/>
      <c r="J1625" s="23"/>
      <c r="S1625" s="23"/>
    </row>
    <row r="1626" spans="5:19" s="30" customFormat="1" ht="15.75" customHeight="1" x14ac:dyDescent="0.2">
      <c r="E1626" s="42"/>
      <c r="H1626" s="43"/>
      <c r="J1626" s="23"/>
      <c r="S1626" s="23"/>
    </row>
    <row r="1627" spans="5:19" s="30" customFormat="1" ht="15.75" customHeight="1" x14ac:dyDescent="0.2">
      <c r="E1627" s="42"/>
      <c r="H1627" s="43"/>
      <c r="J1627" s="23"/>
      <c r="S1627" s="23"/>
    </row>
    <row r="1628" spans="5:19" s="30" customFormat="1" ht="15.75" customHeight="1" x14ac:dyDescent="0.2">
      <c r="E1628" s="42"/>
      <c r="H1628" s="43"/>
      <c r="J1628" s="23"/>
      <c r="S1628" s="23"/>
    </row>
    <row r="1629" spans="5:19" s="30" customFormat="1" ht="15.75" customHeight="1" x14ac:dyDescent="0.2">
      <c r="E1629" s="42"/>
      <c r="H1629" s="43"/>
      <c r="J1629" s="23"/>
      <c r="S1629" s="23"/>
    </row>
    <row r="1630" spans="5:19" s="30" customFormat="1" ht="15.75" customHeight="1" x14ac:dyDescent="0.2">
      <c r="E1630" s="42"/>
      <c r="H1630" s="43"/>
      <c r="J1630" s="23"/>
      <c r="S1630" s="23"/>
    </row>
    <row r="1631" spans="5:19" s="30" customFormat="1" ht="15.75" customHeight="1" x14ac:dyDescent="0.2">
      <c r="E1631" s="42"/>
      <c r="H1631" s="43"/>
      <c r="J1631" s="23"/>
      <c r="S1631" s="23"/>
    </row>
    <row r="1632" spans="5:19" s="30" customFormat="1" ht="15.75" customHeight="1" x14ac:dyDescent="0.2">
      <c r="E1632" s="42"/>
      <c r="H1632" s="43"/>
      <c r="J1632" s="23"/>
      <c r="S1632" s="23"/>
    </row>
    <row r="1633" spans="5:19" s="30" customFormat="1" ht="15.75" customHeight="1" x14ac:dyDescent="0.2">
      <c r="E1633" s="42"/>
      <c r="H1633" s="43"/>
      <c r="J1633" s="23"/>
      <c r="S1633" s="23"/>
    </row>
    <row r="1634" spans="5:19" s="30" customFormat="1" ht="15.75" customHeight="1" x14ac:dyDescent="0.2">
      <c r="E1634" s="42"/>
      <c r="H1634" s="43"/>
      <c r="J1634" s="23"/>
      <c r="S1634" s="23"/>
    </row>
    <row r="1635" spans="5:19" s="30" customFormat="1" ht="15.75" customHeight="1" x14ac:dyDescent="0.2">
      <c r="E1635" s="42"/>
      <c r="H1635" s="43"/>
      <c r="J1635" s="23"/>
      <c r="S1635" s="23"/>
    </row>
    <row r="1636" spans="5:19" s="30" customFormat="1" ht="15.75" customHeight="1" x14ac:dyDescent="0.2">
      <c r="E1636" s="42"/>
      <c r="H1636" s="43"/>
      <c r="J1636" s="23"/>
      <c r="S1636" s="23"/>
    </row>
    <row r="1637" spans="5:19" s="30" customFormat="1" ht="15.75" customHeight="1" x14ac:dyDescent="0.2">
      <c r="E1637" s="42"/>
      <c r="H1637" s="43"/>
      <c r="J1637" s="23"/>
      <c r="S1637" s="23"/>
    </row>
    <row r="1638" spans="5:19" s="30" customFormat="1" ht="15.75" customHeight="1" x14ac:dyDescent="0.2">
      <c r="E1638" s="42"/>
      <c r="H1638" s="43"/>
      <c r="J1638" s="23"/>
      <c r="S1638" s="23"/>
    </row>
    <row r="1639" spans="5:19" s="30" customFormat="1" ht="15.75" customHeight="1" x14ac:dyDescent="0.2">
      <c r="E1639" s="42"/>
      <c r="H1639" s="43"/>
      <c r="J1639" s="23"/>
      <c r="S1639" s="23"/>
    </row>
    <row r="1640" spans="5:19" s="30" customFormat="1" ht="15.75" customHeight="1" x14ac:dyDescent="0.2">
      <c r="E1640" s="42"/>
      <c r="H1640" s="43"/>
      <c r="J1640" s="23"/>
      <c r="S1640" s="23"/>
    </row>
    <row r="1641" spans="5:19" s="30" customFormat="1" ht="15.75" customHeight="1" x14ac:dyDescent="0.2">
      <c r="E1641" s="42"/>
      <c r="H1641" s="43"/>
      <c r="J1641" s="23"/>
      <c r="S1641" s="23"/>
    </row>
    <row r="1642" spans="5:19" s="30" customFormat="1" ht="15.75" customHeight="1" x14ac:dyDescent="0.2">
      <c r="E1642" s="42"/>
      <c r="H1642" s="43"/>
      <c r="J1642" s="23"/>
      <c r="S1642" s="23"/>
    </row>
    <row r="1643" spans="5:19" s="30" customFormat="1" ht="15.75" customHeight="1" x14ac:dyDescent="0.2">
      <c r="E1643" s="42"/>
      <c r="H1643" s="43"/>
      <c r="J1643" s="23"/>
      <c r="S1643" s="23"/>
    </row>
    <row r="1644" spans="5:19" s="30" customFormat="1" ht="15.75" customHeight="1" x14ac:dyDescent="0.2">
      <c r="E1644" s="42"/>
      <c r="H1644" s="43"/>
      <c r="J1644" s="23"/>
      <c r="S1644" s="23"/>
    </row>
    <row r="1645" spans="5:19" s="30" customFormat="1" ht="15.75" customHeight="1" x14ac:dyDescent="0.2">
      <c r="E1645" s="42"/>
      <c r="H1645" s="43"/>
      <c r="J1645" s="23"/>
      <c r="S1645" s="23"/>
    </row>
    <row r="1646" spans="5:19" s="30" customFormat="1" ht="15.75" customHeight="1" x14ac:dyDescent="0.2">
      <c r="E1646" s="42"/>
      <c r="H1646" s="43"/>
      <c r="J1646" s="23"/>
      <c r="S1646" s="23"/>
    </row>
    <row r="1647" spans="5:19" s="30" customFormat="1" ht="15.75" customHeight="1" x14ac:dyDescent="0.2">
      <c r="E1647" s="42"/>
      <c r="H1647" s="43"/>
      <c r="J1647" s="23"/>
      <c r="S1647" s="23"/>
    </row>
    <row r="1648" spans="5:19" s="30" customFormat="1" ht="15.75" customHeight="1" x14ac:dyDescent="0.2">
      <c r="E1648" s="42"/>
      <c r="H1648" s="43"/>
      <c r="J1648" s="23"/>
      <c r="S1648" s="23"/>
    </row>
    <row r="1649" spans="5:19" s="30" customFormat="1" ht="15.75" customHeight="1" x14ac:dyDescent="0.2">
      <c r="E1649" s="42"/>
      <c r="H1649" s="43"/>
      <c r="J1649" s="23"/>
      <c r="S1649" s="23"/>
    </row>
    <row r="1650" spans="5:19" s="30" customFormat="1" ht="15.75" customHeight="1" x14ac:dyDescent="0.2">
      <c r="E1650" s="42"/>
      <c r="H1650" s="43"/>
      <c r="J1650" s="23"/>
      <c r="S1650" s="23"/>
    </row>
    <row r="1651" spans="5:19" s="30" customFormat="1" ht="15.75" customHeight="1" x14ac:dyDescent="0.2">
      <c r="E1651" s="42"/>
      <c r="H1651" s="43"/>
      <c r="J1651" s="23"/>
      <c r="S1651" s="23"/>
    </row>
    <row r="1652" spans="5:19" s="30" customFormat="1" ht="15.75" customHeight="1" x14ac:dyDescent="0.2">
      <c r="E1652" s="42"/>
      <c r="H1652" s="43"/>
      <c r="J1652" s="23"/>
      <c r="S1652" s="23"/>
    </row>
    <row r="1653" spans="5:19" s="30" customFormat="1" ht="15.75" customHeight="1" x14ac:dyDescent="0.2">
      <c r="E1653" s="42"/>
      <c r="H1653" s="43"/>
      <c r="J1653" s="23"/>
      <c r="S1653" s="23"/>
    </row>
    <row r="1654" spans="5:19" s="30" customFormat="1" ht="15.75" customHeight="1" x14ac:dyDescent="0.2">
      <c r="E1654" s="42"/>
      <c r="H1654" s="43"/>
      <c r="J1654" s="23"/>
      <c r="S1654" s="23"/>
    </row>
    <row r="1655" spans="5:19" s="30" customFormat="1" ht="15.75" customHeight="1" x14ac:dyDescent="0.2">
      <c r="E1655" s="42"/>
      <c r="H1655" s="43"/>
      <c r="J1655" s="23"/>
      <c r="S1655" s="23"/>
    </row>
    <row r="1656" spans="5:19" s="30" customFormat="1" ht="15.75" customHeight="1" x14ac:dyDescent="0.2">
      <c r="E1656" s="42"/>
      <c r="H1656" s="43"/>
      <c r="J1656" s="23"/>
      <c r="S1656" s="23"/>
    </row>
    <row r="1657" spans="5:19" s="30" customFormat="1" ht="15.75" customHeight="1" x14ac:dyDescent="0.2">
      <c r="E1657" s="42"/>
      <c r="H1657" s="43"/>
      <c r="J1657" s="23"/>
      <c r="S1657" s="23"/>
    </row>
    <row r="1658" spans="5:19" s="30" customFormat="1" ht="15.75" customHeight="1" x14ac:dyDescent="0.2">
      <c r="E1658" s="42"/>
      <c r="H1658" s="43"/>
      <c r="J1658" s="23"/>
      <c r="S1658" s="23"/>
    </row>
    <row r="1659" spans="5:19" s="30" customFormat="1" ht="15.75" customHeight="1" x14ac:dyDescent="0.2">
      <c r="E1659" s="42"/>
      <c r="H1659" s="43"/>
      <c r="J1659" s="23"/>
      <c r="S1659" s="23"/>
    </row>
    <row r="1660" spans="5:19" s="30" customFormat="1" ht="15.75" customHeight="1" x14ac:dyDescent="0.2">
      <c r="E1660" s="42"/>
      <c r="H1660" s="43"/>
      <c r="J1660" s="23"/>
      <c r="S1660" s="23"/>
    </row>
    <row r="1661" spans="5:19" s="30" customFormat="1" ht="15.75" customHeight="1" x14ac:dyDescent="0.2">
      <c r="E1661" s="42"/>
      <c r="H1661" s="43"/>
      <c r="J1661" s="23"/>
      <c r="S1661" s="23"/>
    </row>
    <row r="1662" spans="5:19" s="30" customFormat="1" ht="15.75" customHeight="1" x14ac:dyDescent="0.2">
      <c r="E1662" s="42"/>
      <c r="H1662" s="43"/>
      <c r="J1662" s="23"/>
      <c r="S1662" s="23"/>
    </row>
    <row r="1663" spans="5:19" s="30" customFormat="1" ht="15.75" customHeight="1" x14ac:dyDescent="0.2">
      <c r="E1663" s="42"/>
      <c r="H1663" s="43"/>
      <c r="J1663" s="23"/>
      <c r="S1663" s="23"/>
    </row>
    <row r="1664" spans="5:19" s="30" customFormat="1" ht="15.75" customHeight="1" x14ac:dyDescent="0.2">
      <c r="E1664" s="42"/>
      <c r="H1664" s="43"/>
      <c r="J1664" s="23"/>
      <c r="S1664" s="23"/>
    </row>
    <row r="1665" spans="5:19" s="30" customFormat="1" ht="15.75" customHeight="1" x14ac:dyDescent="0.2">
      <c r="E1665" s="42"/>
      <c r="H1665" s="43"/>
      <c r="J1665" s="23"/>
      <c r="S1665" s="23"/>
    </row>
    <row r="1666" spans="5:19" s="30" customFormat="1" ht="15.75" customHeight="1" x14ac:dyDescent="0.2">
      <c r="E1666" s="42"/>
      <c r="H1666" s="43"/>
      <c r="J1666" s="23"/>
      <c r="S1666" s="23"/>
    </row>
    <row r="1667" spans="5:19" s="30" customFormat="1" ht="15.75" customHeight="1" x14ac:dyDescent="0.2">
      <c r="E1667" s="42"/>
      <c r="H1667" s="43"/>
      <c r="J1667" s="23"/>
      <c r="S1667" s="23"/>
    </row>
    <row r="1668" spans="5:19" s="30" customFormat="1" ht="15.75" customHeight="1" x14ac:dyDescent="0.2">
      <c r="E1668" s="42"/>
      <c r="H1668" s="43"/>
      <c r="J1668" s="23"/>
      <c r="S1668" s="23"/>
    </row>
    <row r="1669" spans="5:19" s="30" customFormat="1" ht="15.75" customHeight="1" x14ac:dyDescent="0.2">
      <c r="E1669" s="42"/>
      <c r="H1669" s="43"/>
      <c r="J1669" s="23"/>
      <c r="S1669" s="23"/>
    </row>
    <row r="1670" spans="5:19" s="30" customFormat="1" ht="15.75" customHeight="1" x14ac:dyDescent="0.2">
      <c r="E1670" s="42"/>
      <c r="H1670" s="43"/>
      <c r="J1670" s="23"/>
      <c r="S1670" s="23"/>
    </row>
    <row r="1671" spans="5:19" s="30" customFormat="1" ht="15.75" customHeight="1" x14ac:dyDescent="0.2">
      <c r="E1671" s="42"/>
      <c r="H1671" s="43"/>
      <c r="J1671" s="23"/>
      <c r="S1671" s="23"/>
    </row>
    <row r="1672" spans="5:19" s="30" customFormat="1" ht="15.75" customHeight="1" x14ac:dyDescent="0.2">
      <c r="E1672" s="42"/>
      <c r="H1672" s="43"/>
      <c r="J1672" s="23"/>
      <c r="S1672" s="23"/>
    </row>
    <row r="1673" spans="5:19" s="30" customFormat="1" ht="15.75" customHeight="1" x14ac:dyDescent="0.2">
      <c r="E1673" s="42"/>
      <c r="H1673" s="43"/>
      <c r="J1673" s="23"/>
      <c r="S1673" s="23"/>
    </row>
    <row r="1674" spans="5:19" s="30" customFormat="1" ht="15.75" customHeight="1" x14ac:dyDescent="0.2">
      <c r="E1674" s="42"/>
      <c r="H1674" s="43"/>
      <c r="J1674" s="23"/>
      <c r="S1674" s="23"/>
    </row>
    <row r="1675" spans="5:19" s="30" customFormat="1" ht="15.75" customHeight="1" x14ac:dyDescent="0.2">
      <c r="E1675" s="42"/>
      <c r="H1675" s="43"/>
      <c r="J1675" s="23"/>
      <c r="S1675" s="23"/>
    </row>
    <row r="1676" spans="5:19" s="30" customFormat="1" ht="15.75" customHeight="1" x14ac:dyDescent="0.2">
      <c r="E1676" s="42"/>
      <c r="H1676" s="43"/>
      <c r="J1676" s="23"/>
      <c r="S1676" s="23"/>
    </row>
    <row r="1677" spans="5:19" s="30" customFormat="1" ht="15.75" customHeight="1" x14ac:dyDescent="0.2">
      <c r="E1677" s="42"/>
      <c r="H1677" s="43"/>
      <c r="J1677" s="23"/>
      <c r="S1677" s="23"/>
    </row>
    <row r="1678" spans="5:19" s="30" customFormat="1" ht="15.75" customHeight="1" x14ac:dyDescent="0.2">
      <c r="E1678" s="42"/>
      <c r="H1678" s="43"/>
      <c r="J1678" s="23"/>
      <c r="S1678" s="23"/>
    </row>
    <row r="1679" spans="5:19" s="30" customFormat="1" ht="15.75" customHeight="1" x14ac:dyDescent="0.2">
      <c r="E1679" s="42"/>
      <c r="H1679" s="43"/>
      <c r="J1679" s="23"/>
      <c r="S1679" s="23"/>
    </row>
    <row r="1680" spans="5:19" s="30" customFormat="1" ht="15.75" customHeight="1" x14ac:dyDescent="0.2">
      <c r="E1680" s="42"/>
      <c r="H1680" s="43"/>
      <c r="J1680" s="23"/>
      <c r="S1680" s="23"/>
    </row>
    <row r="1681" spans="5:19" s="30" customFormat="1" ht="15.75" customHeight="1" x14ac:dyDescent="0.2">
      <c r="E1681" s="42"/>
      <c r="H1681" s="43"/>
      <c r="J1681" s="23"/>
      <c r="S1681" s="23"/>
    </row>
    <row r="1682" spans="5:19" s="30" customFormat="1" ht="15.75" customHeight="1" x14ac:dyDescent="0.2">
      <c r="E1682" s="42"/>
      <c r="H1682" s="43"/>
      <c r="J1682" s="23"/>
      <c r="S1682" s="23"/>
    </row>
    <row r="1683" spans="5:19" s="30" customFormat="1" ht="15.75" customHeight="1" x14ac:dyDescent="0.2">
      <c r="E1683" s="42"/>
      <c r="H1683" s="43"/>
      <c r="J1683" s="23"/>
      <c r="S1683" s="23"/>
    </row>
    <row r="1684" spans="5:19" s="30" customFormat="1" ht="15.75" customHeight="1" x14ac:dyDescent="0.2">
      <c r="E1684" s="42"/>
      <c r="H1684" s="43"/>
      <c r="J1684" s="23"/>
      <c r="S1684" s="23"/>
    </row>
    <row r="1685" spans="5:19" s="30" customFormat="1" ht="15.75" customHeight="1" x14ac:dyDescent="0.2">
      <c r="E1685" s="42"/>
      <c r="H1685" s="43"/>
      <c r="J1685" s="23"/>
      <c r="S1685" s="23"/>
    </row>
    <row r="1686" spans="5:19" s="30" customFormat="1" ht="15.75" customHeight="1" x14ac:dyDescent="0.2">
      <c r="E1686" s="42"/>
      <c r="H1686" s="43"/>
      <c r="J1686" s="23"/>
      <c r="S1686" s="23"/>
    </row>
    <row r="1687" spans="5:19" s="30" customFormat="1" ht="15.75" customHeight="1" x14ac:dyDescent="0.2">
      <c r="E1687" s="42"/>
      <c r="H1687" s="43"/>
      <c r="J1687" s="23"/>
      <c r="S1687" s="23"/>
    </row>
    <row r="1688" spans="5:19" s="30" customFormat="1" ht="15.75" customHeight="1" x14ac:dyDescent="0.2">
      <c r="E1688" s="42"/>
      <c r="H1688" s="43"/>
      <c r="J1688" s="23"/>
      <c r="S1688" s="23"/>
    </row>
    <row r="1689" spans="5:19" s="30" customFormat="1" ht="15.75" customHeight="1" x14ac:dyDescent="0.2">
      <c r="E1689" s="42"/>
      <c r="H1689" s="43"/>
      <c r="J1689" s="23"/>
      <c r="S1689" s="23"/>
    </row>
    <row r="1690" spans="5:19" s="30" customFormat="1" ht="15.75" customHeight="1" x14ac:dyDescent="0.2">
      <c r="E1690" s="42"/>
      <c r="H1690" s="43"/>
      <c r="J1690" s="23"/>
      <c r="S1690" s="23"/>
    </row>
    <row r="1691" spans="5:19" s="30" customFormat="1" ht="15.75" customHeight="1" x14ac:dyDescent="0.2">
      <c r="E1691" s="42"/>
      <c r="H1691" s="43"/>
      <c r="J1691" s="23"/>
      <c r="S1691" s="23"/>
    </row>
    <row r="1692" spans="5:19" s="30" customFormat="1" ht="15.75" customHeight="1" x14ac:dyDescent="0.2">
      <c r="E1692" s="42"/>
      <c r="H1692" s="43"/>
      <c r="J1692" s="23"/>
      <c r="S1692" s="23"/>
    </row>
    <row r="1693" spans="5:19" s="30" customFormat="1" ht="15.75" customHeight="1" x14ac:dyDescent="0.2">
      <c r="E1693" s="42"/>
      <c r="H1693" s="43"/>
      <c r="J1693" s="23"/>
      <c r="S1693" s="23"/>
    </row>
    <row r="1694" spans="5:19" s="30" customFormat="1" ht="15.75" customHeight="1" x14ac:dyDescent="0.2">
      <c r="E1694" s="42"/>
      <c r="H1694" s="43"/>
      <c r="J1694" s="23"/>
      <c r="S1694" s="23"/>
    </row>
    <row r="1695" spans="5:19" s="30" customFormat="1" ht="15.75" customHeight="1" x14ac:dyDescent="0.2">
      <c r="E1695" s="42"/>
      <c r="H1695" s="43"/>
      <c r="J1695" s="23"/>
      <c r="S1695" s="23"/>
    </row>
    <row r="1696" spans="5:19" s="30" customFormat="1" ht="15.75" customHeight="1" x14ac:dyDescent="0.2">
      <c r="E1696" s="42"/>
      <c r="H1696" s="43"/>
      <c r="J1696" s="23"/>
      <c r="S1696" s="23"/>
    </row>
    <row r="1697" spans="5:19" s="30" customFormat="1" ht="15.75" customHeight="1" x14ac:dyDescent="0.2">
      <c r="E1697" s="42"/>
      <c r="H1697" s="43"/>
      <c r="J1697" s="23"/>
      <c r="S1697" s="23"/>
    </row>
    <row r="1698" spans="5:19" s="30" customFormat="1" ht="15.75" customHeight="1" x14ac:dyDescent="0.2">
      <c r="E1698" s="42"/>
      <c r="H1698" s="43"/>
      <c r="J1698" s="23"/>
      <c r="S1698" s="23"/>
    </row>
    <row r="1699" spans="5:19" s="30" customFormat="1" ht="15.75" customHeight="1" x14ac:dyDescent="0.2">
      <c r="E1699" s="42"/>
      <c r="H1699" s="43"/>
      <c r="J1699" s="23"/>
      <c r="S1699" s="23"/>
    </row>
    <row r="1700" spans="5:19" s="30" customFormat="1" ht="15.75" customHeight="1" x14ac:dyDescent="0.2">
      <c r="E1700" s="42"/>
      <c r="H1700" s="43"/>
      <c r="J1700" s="23"/>
      <c r="S1700" s="23"/>
    </row>
    <row r="1701" spans="5:19" s="30" customFormat="1" ht="15.75" customHeight="1" x14ac:dyDescent="0.2">
      <c r="E1701" s="42"/>
      <c r="H1701" s="43"/>
      <c r="J1701" s="23"/>
      <c r="S1701" s="23"/>
    </row>
    <row r="1702" spans="5:19" s="30" customFormat="1" ht="15.75" customHeight="1" x14ac:dyDescent="0.2">
      <c r="E1702" s="42"/>
      <c r="H1702" s="43"/>
      <c r="J1702" s="23"/>
      <c r="S1702" s="23"/>
    </row>
    <row r="1703" spans="5:19" s="30" customFormat="1" ht="15.75" customHeight="1" x14ac:dyDescent="0.2">
      <c r="E1703" s="42"/>
      <c r="H1703" s="43"/>
      <c r="J1703" s="23"/>
      <c r="S1703" s="23"/>
    </row>
    <row r="1704" spans="5:19" s="30" customFormat="1" ht="15.75" customHeight="1" x14ac:dyDescent="0.2">
      <c r="E1704" s="42"/>
      <c r="H1704" s="43"/>
      <c r="J1704" s="23"/>
      <c r="S1704" s="23"/>
    </row>
    <row r="1705" spans="5:19" s="30" customFormat="1" ht="15.75" customHeight="1" x14ac:dyDescent="0.2">
      <c r="E1705" s="42"/>
      <c r="H1705" s="43"/>
      <c r="J1705" s="23"/>
      <c r="S1705" s="23"/>
    </row>
    <row r="1706" spans="5:19" s="30" customFormat="1" ht="15.75" customHeight="1" x14ac:dyDescent="0.2">
      <c r="E1706" s="42"/>
      <c r="H1706" s="43"/>
      <c r="J1706" s="23"/>
      <c r="S1706" s="23"/>
    </row>
    <row r="1707" spans="5:19" s="30" customFormat="1" ht="15.75" customHeight="1" x14ac:dyDescent="0.2">
      <c r="E1707" s="42"/>
      <c r="H1707" s="43"/>
      <c r="J1707" s="23"/>
      <c r="S1707" s="23"/>
    </row>
    <row r="1708" spans="5:19" s="30" customFormat="1" ht="15.75" customHeight="1" x14ac:dyDescent="0.2">
      <c r="E1708" s="42"/>
      <c r="H1708" s="43"/>
      <c r="J1708" s="23"/>
      <c r="S1708" s="23"/>
    </row>
    <row r="1709" spans="5:19" s="30" customFormat="1" ht="15.75" customHeight="1" x14ac:dyDescent="0.2">
      <c r="E1709" s="42"/>
      <c r="H1709" s="43"/>
      <c r="J1709" s="23"/>
      <c r="S1709" s="23"/>
    </row>
    <row r="1710" spans="5:19" s="30" customFormat="1" ht="15.75" customHeight="1" x14ac:dyDescent="0.2">
      <c r="E1710" s="42"/>
      <c r="H1710" s="43"/>
      <c r="J1710" s="23"/>
      <c r="S1710" s="23"/>
    </row>
    <row r="1711" spans="5:19" s="30" customFormat="1" ht="15.75" customHeight="1" x14ac:dyDescent="0.2">
      <c r="E1711" s="42"/>
      <c r="H1711" s="43"/>
      <c r="J1711" s="23"/>
      <c r="S1711" s="23"/>
    </row>
    <row r="1712" spans="5:19" s="30" customFormat="1" ht="15.75" customHeight="1" x14ac:dyDescent="0.2">
      <c r="E1712" s="42"/>
      <c r="H1712" s="43"/>
      <c r="J1712" s="23"/>
      <c r="S1712" s="23"/>
    </row>
    <row r="1713" spans="5:19" s="30" customFormat="1" ht="15.75" customHeight="1" x14ac:dyDescent="0.2">
      <c r="E1713" s="42"/>
      <c r="H1713" s="43"/>
      <c r="J1713" s="23"/>
      <c r="S1713" s="23"/>
    </row>
    <row r="1714" spans="5:19" s="30" customFormat="1" ht="15.75" customHeight="1" x14ac:dyDescent="0.2">
      <c r="E1714" s="42"/>
      <c r="H1714" s="43"/>
      <c r="J1714" s="23"/>
      <c r="S1714" s="23"/>
    </row>
    <row r="1715" spans="5:19" s="30" customFormat="1" ht="15.75" customHeight="1" x14ac:dyDescent="0.2">
      <c r="E1715" s="42"/>
      <c r="H1715" s="43"/>
      <c r="J1715" s="23"/>
      <c r="S1715" s="23"/>
    </row>
    <row r="1716" spans="5:19" s="30" customFormat="1" ht="15.75" customHeight="1" x14ac:dyDescent="0.2">
      <c r="E1716" s="42"/>
      <c r="H1716" s="43"/>
      <c r="J1716" s="23"/>
      <c r="S1716" s="23"/>
    </row>
    <row r="1717" spans="5:19" s="30" customFormat="1" ht="15.75" customHeight="1" x14ac:dyDescent="0.2">
      <c r="E1717" s="42"/>
      <c r="H1717" s="43"/>
      <c r="J1717" s="23"/>
      <c r="S1717" s="23"/>
    </row>
    <row r="1718" spans="5:19" s="30" customFormat="1" ht="15.75" customHeight="1" x14ac:dyDescent="0.2">
      <c r="E1718" s="42"/>
      <c r="H1718" s="43"/>
      <c r="J1718" s="23"/>
      <c r="S1718" s="23"/>
    </row>
    <row r="1719" spans="5:19" s="30" customFormat="1" ht="15.75" customHeight="1" x14ac:dyDescent="0.2">
      <c r="E1719" s="42"/>
      <c r="H1719" s="43"/>
      <c r="J1719" s="23"/>
      <c r="S1719" s="23"/>
    </row>
    <row r="1720" spans="5:19" s="30" customFormat="1" ht="15.75" customHeight="1" x14ac:dyDescent="0.2">
      <c r="E1720" s="42"/>
      <c r="H1720" s="43"/>
      <c r="J1720" s="23"/>
      <c r="S1720" s="23"/>
    </row>
    <row r="1721" spans="5:19" s="30" customFormat="1" ht="15.75" customHeight="1" x14ac:dyDescent="0.2">
      <c r="E1721" s="42"/>
      <c r="H1721" s="43"/>
      <c r="J1721" s="23"/>
      <c r="S1721" s="23"/>
    </row>
    <row r="1722" spans="5:19" s="30" customFormat="1" ht="15.75" customHeight="1" x14ac:dyDescent="0.2">
      <c r="E1722" s="42"/>
      <c r="H1722" s="43"/>
      <c r="J1722" s="23"/>
      <c r="S1722" s="23"/>
    </row>
    <row r="1723" spans="5:19" s="30" customFormat="1" ht="15.75" customHeight="1" x14ac:dyDescent="0.2">
      <c r="E1723" s="42"/>
      <c r="H1723" s="43"/>
      <c r="J1723" s="23"/>
      <c r="S1723" s="23"/>
    </row>
    <row r="1724" spans="5:19" s="30" customFormat="1" ht="15.75" customHeight="1" x14ac:dyDescent="0.2">
      <c r="E1724" s="42"/>
      <c r="H1724" s="43"/>
      <c r="J1724" s="23"/>
      <c r="S1724" s="23"/>
    </row>
    <row r="1725" spans="5:19" s="30" customFormat="1" ht="15.75" customHeight="1" x14ac:dyDescent="0.2">
      <c r="E1725" s="42"/>
      <c r="H1725" s="43"/>
      <c r="J1725" s="23"/>
      <c r="S1725" s="23"/>
    </row>
    <row r="1726" spans="5:19" s="30" customFormat="1" ht="15.75" customHeight="1" x14ac:dyDescent="0.2">
      <c r="E1726" s="42"/>
      <c r="H1726" s="43"/>
      <c r="J1726" s="23"/>
      <c r="S1726" s="23"/>
    </row>
    <row r="1727" spans="5:19" s="30" customFormat="1" ht="15.75" customHeight="1" x14ac:dyDescent="0.2">
      <c r="E1727" s="42"/>
      <c r="H1727" s="43"/>
      <c r="J1727" s="23"/>
      <c r="S1727" s="23"/>
    </row>
    <row r="1728" spans="5:19" s="30" customFormat="1" ht="15.75" customHeight="1" x14ac:dyDescent="0.2">
      <c r="E1728" s="42"/>
      <c r="H1728" s="43"/>
      <c r="J1728" s="23"/>
      <c r="S1728" s="23"/>
    </row>
    <row r="1729" spans="5:19" s="30" customFormat="1" ht="15.75" customHeight="1" x14ac:dyDescent="0.2">
      <c r="E1729" s="42"/>
      <c r="H1729" s="43"/>
      <c r="J1729" s="23"/>
      <c r="S1729" s="23"/>
    </row>
    <row r="1730" spans="5:19" s="30" customFormat="1" ht="15.75" customHeight="1" x14ac:dyDescent="0.2">
      <c r="E1730" s="42"/>
      <c r="H1730" s="43"/>
      <c r="J1730" s="23"/>
      <c r="S1730" s="23"/>
    </row>
    <row r="1731" spans="5:19" s="30" customFormat="1" ht="15.75" customHeight="1" x14ac:dyDescent="0.2">
      <c r="E1731" s="42"/>
      <c r="H1731" s="43"/>
      <c r="J1731" s="23"/>
      <c r="S1731" s="23"/>
    </row>
    <row r="1732" spans="5:19" s="30" customFormat="1" ht="15.75" customHeight="1" x14ac:dyDescent="0.2">
      <c r="E1732" s="42"/>
      <c r="H1732" s="43"/>
      <c r="J1732" s="23"/>
      <c r="S1732" s="23"/>
    </row>
    <row r="1733" spans="5:19" s="30" customFormat="1" ht="15.75" customHeight="1" x14ac:dyDescent="0.2">
      <c r="E1733" s="42"/>
      <c r="H1733" s="43"/>
      <c r="J1733" s="23"/>
      <c r="S1733" s="23"/>
    </row>
    <row r="1734" spans="5:19" s="30" customFormat="1" ht="15.75" customHeight="1" x14ac:dyDescent="0.2">
      <c r="E1734" s="42"/>
      <c r="H1734" s="43"/>
      <c r="J1734" s="23"/>
      <c r="S1734" s="23"/>
    </row>
    <row r="1735" spans="5:19" s="30" customFormat="1" ht="15.75" customHeight="1" x14ac:dyDescent="0.2">
      <c r="E1735" s="42"/>
      <c r="H1735" s="43"/>
      <c r="J1735" s="23"/>
      <c r="S1735" s="23"/>
    </row>
    <row r="1736" spans="5:19" s="30" customFormat="1" ht="15.75" customHeight="1" x14ac:dyDescent="0.2">
      <c r="E1736" s="42"/>
      <c r="H1736" s="43"/>
      <c r="J1736" s="23"/>
      <c r="S1736" s="23"/>
    </row>
    <row r="1737" spans="5:19" s="30" customFormat="1" ht="15.75" customHeight="1" x14ac:dyDescent="0.2">
      <c r="E1737" s="42"/>
      <c r="H1737" s="43"/>
      <c r="J1737" s="23"/>
      <c r="S1737" s="23"/>
    </row>
    <row r="1738" spans="5:19" s="30" customFormat="1" ht="15.75" customHeight="1" x14ac:dyDescent="0.2">
      <c r="E1738" s="42"/>
      <c r="H1738" s="43"/>
      <c r="J1738" s="23"/>
      <c r="S1738" s="23"/>
    </row>
    <row r="1739" spans="5:19" s="30" customFormat="1" ht="15.75" customHeight="1" x14ac:dyDescent="0.2">
      <c r="E1739" s="42"/>
      <c r="H1739" s="43"/>
      <c r="J1739" s="23"/>
      <c r="S1739" s="23"/>
    </row>
    <row r="1740" spans="5:19" s="30" customFormat="1" ht="15.75" customHeight="1" x14ac:dyDescent="0.2">
      <c r="E1740" s="42"/>
      <c r="H1740" s="43"/>
      <c r="J1740" s="23"/>
      <c r="S1740" s="23"/>
    </row>
    <row r="1741" spans="5:19" s="30" customFormat="1" ht="15.75" customHeight="1" x14ac:dyDescent="0.2">
      <c r="E1741" s="42"/>
      <c r="H1741" s="43"/>
      <c r="J1741" s="23"/>
      <c r="S1741" s="23"/>
    </row>
    <row r="1742" spans="5:19" s="30" customFormat="1" ht="15.75" customHeight="1" x14ac:dyDescent="0.2">
      <c r="E1742" s="42"/>
      <c r="H1742" s="43"/>
      <c r="J1742" s="23"/>
      <c r="S1742" s="23"/>
    </row>
    <row r="1743" spans="5:19" s="30" customFormat="1" ht="15.75" customHeight="1" x14ac:dyDescent="0.2">
      <c r="E1743" s="42"/>
      <c r="H1743" s="43"/>
      <c r="J1743" s="23"/>
      <c r="S1743" s="23"/>
    </row>
    <row r="1744" spans="5:19" s="30" customFormat="1" ht="15.75" customHeight="1" x14ac:dyDescent="0.2">
      <c r="E1744" s="42"/>
      <c r="H1744" s="43"/>
      <c r="J1744" s="23"/>
      <c r="S1744" s="23"/>
    </row>
    <row r="1745" spans="5:19" s="30" customFormat="1" ht="15.75" customHeight="1" x14ac:dyDescent="0.2">
      <c r="E1745" s="42"/>
      <c r="H1745" s="43"/>
      <c r="J1745" s="23"/>
      <c r="S1745" s="23"/>
    </row>
    <row r="1746" spans="5:19" s="30" customFormat="1" ht="15.75" customHeight="1" x14ac:dyDescent="0.2">
      <c r="E1746" s="42"/>
      <c r="H1746" s="43"/>
      <c r="J1746" s="23"/>
      <c r="S1746" s="23"/>
    </row>
    <row r="1747" spans="5:19" s="30" customFormat="1" ht="15.75" customHeight="1" x14ac:dyDescent="0.2">
      <c r="E1747" s="42"/>
      <c r="H1747" s="43"/>
      <c r="J1747" s="23"/>
      <c r="S1747" s="23"/>
    </row>
    <row r="1748" spans="5:19" s="30" customFormat="1" ht="15.75" customHeight="1" x14ac:dyDescent="0.2">
      <c r="E1748" s="42"/>
      <c r="H1748" s="43"/>
      <c r="J1748" s="23"/>
      <c r="S1748" s="23"/>
    </row>
    <row r="1749" spans="5:19" s="30" customFormat="1" ht="15.75" customHeight="1" x14ac:dyDescent="0.2">
      <c r="E1749" s="42"/>
      <c r="H1749" s="43"/>
      <c r="J1749" s="23"/>
      <c r="S1749" s="23"/>
    </row>
    <row r="1750" spans="5:19" s="30" customFormat="1" ht="15.75" customHeight="1" x14ac:dyDescent="0.2">
      <c r="E1750" s="42"/>
      <c r="H1750" s="43"/>
      <c r="J1750" s="23"/>
      <c r="S1750" s="23"/>
    </row>
    <row r="1751" spans="5:19" s="30" customFormat="1" ht="15.75" customHeight="1" x14ac:dyDescent="0.2">
      <c r="E1751" s="42"/>
      <c r="H1751" s="43"/>
      <c r="J1751" s="23"/>
      <c r="S1751" s="23"/>
    </row>
    <row r="1752" spans="5:19" s="30" customFormat="1" ht="15.75" customHeight="1" x14ac:dyDescent="0.2">
      <c r="E1752" s="42"/>
      <c r="H1752" s="43"/>
      <c r="J1752" s="23"/>
      <c r="S1752" s="23"/>
    </row>
    <row r="1753" spans="5:19" s="30" customFormat="1" ht="15.75" customHeight="1" x14ac:dyDescent="0.2">
      <c r="E1753" s="42"/>
      <c r="H1753" s="43"/>
      <c r="J1753" s="23"/>
      <c r="S1753" s="23"/>
    </row>
    <row r="1754" spans="5:19" s="30" customFormat="1" ht="15.75" customHeight="1" x14ac:dyDescent="0.2">
      <c r="E1754" s="42"/>
      <c r="H1754" s="43"/>
      <c r="J1754" s="23"/>
      <c r="S1754" s="23"/>
    </row>
    <row r="1755" spans="5:19" s="30" customFormat="1" ht="15.75" customHeight="1" x14ac:dyDescent="0.2">
      <c r="E1755" s="42"/>
      <c r="H1755" s="43"/>
      <c r="J1755" s="23"/>
      <c r="S1755" s="23"/>
    </row>
    <row r="1756" spans="5:19" s="30" customFormat="1" ht="15.75" customHeight="1" x14ac:dyDescent="0.2">
      <c r="E1756" s="42"/>
      <c r="H1756" s="43"/>
      <c r="J1756" s="23"/>
      <c r="S1756" s="23"/>
    </row>
    <row r="1757" spans="5:19" s="30" customFormat="1" ht="15.75" customHeight="1" x14ac:dyDescent="0.2">
      <c r="E1757" s="42"/>
      <c r="H1757" s="43"/>
      <c r="J1757" s="23"/>
      <c r="S1757" s="23"/>
    </row>
    <row r="1758" spans="5:19" s="30" customFormat="1" ht="15.75" customHeight="1" x14ac:dyDescent="0.2">
      <c r="E1758" s="42"/>
      <c r="H1758" s="43"/>
      <c r="J1758" s="23"/>
      <c r="S1758" s="23"/>
    </row>
    <row r="1759" spans="5:19" s="30" customFormat="1" ht="15.75" customHeight="1" x14ac:dyDescent="0.2">
      <c r="E1759" s="42"/>
      <c r="H1759" s="43"/>
      <c r="J1759" s="23"/>
      <c r="S1759" s="23"/>
    </row>
    <row r="1760" spans="5:19" s="30" customFormat="1" ht="15.75" customHeight="1" x14ac:dyDescent="0.2">
      <c r="E1760" s="42"/>
      <c r="H1760" s="43"/>
      <c r="J1760" s="23"/>
      <c r="S1760" s="23"/>
    </row>
    <row r="1761" spans="5:19" s="30" customFormat="1" ht="15.75" customHeight="1" x14ac:dyDescent="0.2">
      <c r="E1761" s="42"/>
      <c r="H1761" s="43"/>
      <c r="J1761" s="23"/>
      <c r="S1761" s="23"/>
    </row>
    <row r="1762" spans="5:19" s="30" customFormat="1" ht="15.75" customHeight="1" x14ac:dyDescent="0.2">
      <c r="E1762" s="42"/>
      <c r="H1762" s="43"/>
      <c r="J1762" s="23"/>
      <c r="S1762" s="23"/>
    </row>
    <row r="1763" spans="5:19" s="30" customFormat="1" ht="15.75" customHeight="1" x14ac:dyDescent="0.2">
      <c r="E1763" s="42"/>
      <c r="H1763" s="43"/>
      <c r="J1763" s="23"/>
      <c r="S1763" s="23"/>
    </row>
    <row r="1764" spans="5:19" s="30" customFormat="1" ht="15.75" customHeight="1" x14ac:dyDescent="0.2">
      <c r="E1764" s="42"/>
      <c r="H1764" s="43"/>
      <c r="J1764" s="23"/>
      <c r="S1764" s="23"/>
    </row>
    <row r="1765" spans="5:19" s="30" customFormat="1" ht="15.75" customHeight="1" x14ac:dyDescent="0.2">
      <c r="E1765" s="42"/>
      <c r="H1765" s="43"/>
      <c r="J1765" s="23"/>
      <c r="S1765" s="23"/>
    </row>
    <row r="1766" spans="5:19" s="30" customFormat="1" ht="15.75" customHeight="1" x14ac:dyDescent="0.2">
      <c r="E1766" s="42"/>
      <c r="H1766" s="43"/>
      <c r="J1766" s="23"/>
      <c r="S1766" s="23"/>
    </row>
    <row r="1767" spans="5:19" s="30" customFormat="1" ht="15.75" customHeight="1" x14ac:dyDescent="0.2">
      <c r="E1767" s="42"/>
      <c r="H1767" s="43"/>
      <c r="J1767" s="23"/>
      <c r="S1767" s="23"/>
    </row>
    <row r="1768" spans="5:19" s="30" customFormat="1" ht="15.75" customHeight="1" x14ac:dyDescent="0.2">
      <c r="E1768" s="42"/>
      <c r="H1768" s="43"/>
      <c r="J1768" s="23"/>
      <c r="S1768" s="23"/>
    </row>
    <row r="1769" spans="5:19" s="30" customFormat="1" ht="15.75" customHeight="1" x14ac:dyDescent="0.2">
      <c r="E1769" s="42"/>
      <c r="H1769" s="43"/>
      <c r="J1769" s="23"/>
      <c r="S1769" s="23"/>
    </row>
    <row r="1770" spans="5:19" s="30" customFormat="1" ht="15.75" customHeight="1" x14ac:dyDescent="0.2">
      <c r="E1770" s="42"/>
      <c r="H1770" s="43"/>
      <c r="J1770" s="23"/>
      <c r="S1770" s="23"/>
    </row>
    <row r="1771" spans="5:19" s="30" customFormat="1" ht="15.75" customHeight="1" x14ac:dyDescent="0.2">
      <c r="E1771" s="42"/>
      <c r="H1771" s="43"/>
      <c r="J1771" s="23"/>
      <c r="S1771" s="23"/>
    </row>
    <row r="1772" spans="5:19" s="30" customFormat="1" ht="15.75" customHeight="1" x14ac:dyDescent="0.2">
      <c r="E1772" s="42"/>
      <c r="H1772" s="43"/>
      <c r="J1772" s="23"/>
      <c r="S1772" s="23"/>
    </row>
    <row r="1773" spans="5:19" s="30" customFormat="1" ht="15.75" customHeight="1" x14ac:dyDescent="0.2">
      <c r="E1773" s="42"/>
      <c r="H1773" s="43"/>
      <c r="J1773" s="23"/>
      <c r="S1773" s="23"/>
    </row>
    <row r="1774" spans="5:19" s="30" customFormat="1" ht="15.75" customHeight="1" x14ac:dyDescent="0.2">
      <c r="E1774" s="42"/>
      <c r="H1774" s="43"/>
      <c r="J1774" s="23"/>
      <c r="S1774" s="23"/>
    </row>
    <row r="1775" spans="5:19" s="30" customFormat="1" ht="15.75" customHeight="1" x14ac:dyDescent="0.2">
      <c r="E1775" s="42"/>
      <c r="H1775" s="43"/>
      <c r="J1775" s="23"/>
      <c r="S1775" s="23"/>
    </row>
    <row r="1776" spans="5:19" s="30" customFormat="1" ht="15.75" customHeight="1" x14ac:dyDescent="0.2">
      <c r="E1776" s="42"/>
      <c r="H1776" s="43"/>
      <c r="J1776" s="23"/>
      <c r="S1776" s="23"/>
    </row>
    <row r="1777" spans="5:19" s="30" customFormat="1" ht="15.75" customHeight="1" x14ac:dyDescent="0.2">
      <c r="E1777" s="42"/>
      <c r="H1777" s="43"/>
      <c r="J1777" s="23"/>
      <c r="S1777" s="23"/>
    </row>
    <row r="1778" spans="5:19" s="30" customFormat="1" ht="15.75" customHeight="1" x14ac:dyDescent="0.2">
      <c r="E1778" s="42"/>
      <c r="H1778" s="43"/>
      <c r="J1778" s="23"/>
      <c r="S1778" s="23"/>
    </row>
    <row r="1779" spans="5:19" s="30" customFormat="1" ht="15.75" customHeight="1" x14ac:dyDescent="0.2">
      <c r="E1779" s="42"/>
      <c r="H1779" s="43"/>
      <c r="J1779" s="23"/>
      <c r="S1779" s="23"/>
    </row>
    <row r="1780" spans="5:19" s="30" customFormat="1" ht="15.75" customHeight="1" x14ac:dyDescent="0.2">
      <c r="E1780" s="42"/>
      <c r="H1780" s="43"/>
      <c r="J1780" s="23"/>
      <c r="S1780" s="23"/>
    </row>
    <row r="1781" spans="5:19" s="30" customFormat="1" ht="15.75" customHeight="1" x14ac:dyDescent="0.2">
      <c r="E1781" s="42"/>
      <c r="H1781" s="43"/>
      <c r="J1781" s="23"/>
      <c r="S1781" s="23"/>
    </row>
    <row r="1782" spans="5:19" s="30" customFormat="1" ht="15.75" customHeight="1" x14ac:dyDescent="0.2">
      <c r="E1782" s="42"/>
      <c r="H1782" s="43"/>
      <c r="J1782" s="23"/>
      <c r="S1782" s="23"/>
    </row>
    <row r="1783" spans="5:19" s="30" customFormat="1" ht="15.75" customHeight="1" x14ac:dyDescent="0.2">
      <c r="E1783" s="42"/>
      <c r="H1783" s="43"/>
      <c r="J1783" s="23"/>
      <c r="S1783" s="23"/>
    </row>
    <row r="1784" spans="5:19" s="30" customFormat="1" ht="15.75" customHeight="1" x14ac:dyDescent="0.2">
      <c r="E1784" s="42"/>
      <c r="H1784" s="43"/>
      <c r="J1784" s="23"/>
      <c r="S1784" s="23"/>
    </row>
    <row r="1785" spans="5:19" s="30" customFormat="1" ht="15.75" customHeight="1" x14ac:dyDescent="0.2">
      <c r="E1785" s="42"/>
      <c r="H1785" s="43"/>
      <c r="J1785" s="23"/>
      <c r="S1785" s="23"/>
    </row>
    <row r="1786" spans="5:19" s="30" customFormat="1" ht="15.75" customHeight="1" x14ac:dyDescent="0.2">
      <c r="E1786" s="42"/>
      <c r="H1786" s="43"/>
      <c r="J1786" s="23"/>
      <c r="S1786" s="23"/>
    </row>
    <row r="1787" spans="5:19" s="30" customFormat="1" ht="15.75" customHeight="1" x14ac:dyDescent="0.2">
      <c r="E1787" s="42"/>
      <c r="H1787" s="43"/>
      <c r="J1787" s="23"/>
      <c r="S1787" s="23"/>
    </row>
    <row r="1788" spans="5:19" s="30" customFormat="1" ht="15.75" customHeight="1" x14ac:dyDescent="0.2">
      <c r="E1788" s="42"/>
      <c r="H1788" s="43"/>
      <c r="J1788" s="23"/>
      <c r="S1788" s="23"/>
    </row>
    <row r="1789" spans="5:19" s="30" customFormat="1" ht="15.75" customHeight="1" x14ac:dyDescent="0.2">
      <c r="E1789" s="42"/>
      <c r="H1789" s="43"/>
      <c r="J1789" s="23"/>
      <c r="S1789" s="23"/>
    </row>
    <row r="1790" spans="5:19" s="30" customFormat="1" ht="15.75" customHeight="1" x14ac:dyDescent="0.2">
      <c r="E1790" s="42"/>
      <c r="H1790" s="43"/>
      <c r="J1790" s="23"/>
      <c r="S1790" s="23"/>
    </row>
    <row r="1791" spans="5:19" s="30" customFormat="1" ht="15.75" customHeight="1" x14ac:dyDescent="0.2">
      <c r="E1791" s="42"/>
      <c r="H1791" s="43"/>
      <c r="J1791" s="23"/>
      <c r="S1791" s="23"/>
    </row>
    <row r="1792" spans="5:19" s="30" customFormat="1" ht="15.75" customHeight="1" x14ac:dyDescent="0.2">
      <c r="E1792" s="42"/>
      <c r="H1792" s="43"/>
      <c r="J1792" s="23"/>
      <c r="S1792" s="23"/>
    </row>
    <row r="1793" spans="5:19" s="30" customFormat="1" ht="15.75" customHeight="1" x14ac:dyDescent="0.2">
      <c r="E1793" s="42"/>
      <c r="H1793" s="43"/>
      <c r="J1793" s="23"/>
      <c r="S1793" s="23"/>
    </row>
    <row r="1794" spans="5:19" s="30" customFormat="1" ht="15.75" customHeight="1" x14ac:dyDescent="0.2">
      <c r="E1794" s="42"/>
      <c r="H1794" s="43"/>
      <c r="J1794" s="23"/>
      <c r="S1794" s="23"/>
    </row>
    <row r="1795" spans="5:19" s="30" customFormat="1" ht="15.75" customHeight="1" x14ac:dyDescent="0.2">
      <c r="E1795" s="42"/>
      <c r="H1795" s="43"/>
      <c r="J1795" s="23"/>
      <c r="S1795" s="23"/>
    </row>
    <row r="1796" spans="5:19" s="30" customFormat="1" ht="15.75" customHeight="1" x14ac:dyDescent="0.2">
      <c r="E1796" s="42"/>
      <c r="H1796" s="43"/>
      <c r="J1796" s="23"/>
      <c r="S1796" s="23"/>
    </row>
    <row r="1797" spans="5:19" s="30" customFormat="1" ht="15.75" customHeight="1" x14ac:dyDescent="0.2">
      <c r="E1797" s="42"/>
      <c r="H1797" s="43"/>
      <c r="J1797" s="23"/>
      <c r="S1797" s="23"/>
    </row>
    <row r="1798" spans="5:19" s="30" customFormat="1" ht="15.75" customHeight="1" x14ac:dyDescent="0.2">
      <c r="E1798" s="42"/>
      <c r="H1798" s="43"/>
      <c r="J1798" s="23"/>
      <c r="S1798" s="23"/>
    </row>
    <row r="1799" spans="5:19" s="30" customFormat="1" ht="15.75" customHeight="1" x14ac:dyDescent="0.2">
      <c r="E1799" s="42"/>
      <c r="H1799" s="43"/>
      <c r="J1799" s="23"/>
      <c r="S1799" s="23"/>
    </row>
    <row r="1800" spans="5:19" s="30" customFormat="1" ht="15.75" customHeight="1" x14ac:dyDescent="0.2">
      <c r="E1800" s="42"/>
      <c r="H1800" s="43"/>
      <c r="J1800" s="23"/>
      <c r="S1800" s="23"/>
    </row>
    <row r="1801" spans="5:19" s="30" customFormat="1" ht="15.75" customHeight="1" x14ac:dyDescent="0.2">
      <c r="E1801" s="42"/>
      <c r="H1801" s="43"/>
      <c r="J1801" s="23"/>
      <c r="S1801" s="23"/>
    </row>
    <row r="1802" spans="5:19" s="30" customFormat="1" ht="15.75" customHeight="1" x14ac:dyDescent="0.2">
      <c r="E1802" s="42"/>
      <c r="H1802" s="43"/>
      <c r="J1802" s="23"/>
      <c r="S1802" s="23"/>
    </row>
    <row r="1803" spans="5:19" s="30" customFormat="1" ht="15.75" customHeight="1" x14ac:dyDescent="0.2">
      <c r="E1803" s="42"/>
      <c r="H1803" s="43"/>
      <c r="J1803" s="23"/>
      <c r="S1803" s="23"/>
    </row>
    <row r="1804" spans="5:19" s="30" customFormat="1" ht="15.75" customHeight="1" x14ac:dyDescent="0.2">
      <c r="E1804" s="42"/>
      <c r="H1804" s="43"/>
      <c r="J1804" s="23"/>
      <c r="S1804" s="23"/>
    </row>
    <row r="1805" spans="5:19" s="30" customFormat="1" ht="15.75" customHeight="1" x14ac:dyDescent="0.2">
      <c r="E1805" s="42"/>
      <c r="H1805" s="43"/>
      <c r="J1805" s="23"/>
      <c r="S1805" s="23"/>
    </row>
    <row r="1806" spans="5:19" s="30" customFormat="1" ht="15.75" customHeight="1" x14ac:dyDescent="0.2">
      <c r="E1806" s="42"/>
      <c r="H1806" s="43"/>
      <c r="J1806" s="23"/>
      <c r="S1806" s="23"/>
    </row>
    <row r="1807" spans="5:19" s="30" customFormat="1" ht="15.75" customHeight="1" x14ac:dyDescent="0.2">
      <c r="E1807" s="42"/>
      <c r="H1807" s="43"/>
      <c r="J1807" s="23"/>
      <c r="S1807" s="23"/>
    </row>
    <row r="1808" spans="5:19" s="30" customFormat="1" ht="15.75" customHeight="1" x14ac:dyDescent="0.2">
      <c r="E1808" s="42"/>
      <c r="H1808" s="43"/>
      <c r="J1808" s="23"/>
      <c r="S1808" s="23"/>
    </row>
    <row r="1809" spans="5:19" s="30" customFormat="1" ht="15.75" customHeight="1" x14ac:dyDescent="0.2">
      <c r="E1809" s="42"/>
      <c r="H1809" s="43"/>
      <c r="J1809" s="23"/>
      <c r="S1809" s="23"/>
    </row>
    <row r="1810" spans="5:19" s="30" customFormat="1" ht="15.75" customHeight="1" x14ac:dyDescent="0.2">
      <c r="E1810" s="42"/>
      <c r="H1810" s="43"/>
      <c r="J1810" s="23"/>
      <c r="S1810" s="23"/>
    </row>
    <row r="1811" spans="5:19" s="30" customFormat="1" ht="15.75" customHeight="1" x14ac:dyDescent="0.2">
      <c r="E1811" s="42"/>
      <c r="H1811" s="43"/>
      <c r="J1811" s="23"/>
      <c r="S1811" s="23"/>
    </row>
    <row r="1812" spans="5:19" s="30" customFormat="1" ht="15.75" customHeight="1" x14ac:dyDescent="0.2">
      <c r="E1812" s="42"/>
      <c r="H1812" s="43"/>
      <c r="J1812" s="23"/>
      <c r="S1812" s="23"/>
    </row>
    <row r="1813" spans="5:19" s="30" customFormat="1" ht="15.75" customHeight="1" x14ac:dyDescent="0.2">
      <c r="E1813" s="42"/>
      <c r="H1813" s="43"/>
      <c r="J1813" s="23"/>
      <c r="S1813" s="23"/>
    </row>
    <row r="1814" spans="5:19" s="30" customFormat="1" ht="15.75" customHeight="1" x14ac:dyDescent="0.2">
      <c r="E1814" s="42"/>
      <c r="H1814" s="43"/>
      <c r="J1814" s="23"/>
      <c r="S1814" s="23"/>
    </row>
    <row r="1815" spans="5:19" s="30" customFormat="1" ht="15.75" customHeight="1" x14ac:dyDescent="0.2">
      <c r="E1815" s="42"/>
      <c r="H1815" s="43"/>
      <c r="J1815" s="23"/>
      <c r="S1815" s="23"/>
    </row>
    <row r="1816" spans="5:19" s="30" customFormat="1" ht="15.75" customHeight="1" x14ac:dyDescent="0.2">
      <c r="E1816" s="42"/>
      <c r="H1816" s="43"/>
      <c r="J1816" s="23"/>
      <c r="S1816" s="23"/>
    </row>
    <row r="1817" spans="5:19" s="30" customFormat="1" ht="15.75" customHeight="1" x14ac:dyDescent="0.2">
      <c r="E1817" s="42"/>
      <c r="H1817" s="43"/>
      <c r="J1817" s="23"/>
      <c r="S1817" s="23"/>
    </row>
    <row r="1818" spans="5:19" s="30" customFormat="1" ht="15.75" customHeight="1" x14ac:dyDescent="0.2">
      <c r="E1818" s="42"/>
      <c r="H1818" s="43"/>
      <c r="J1818" s="23"/>
      <c r="S1818" s="23"/>
    </row>
    <row r="1819" spans="5:19" s="30" customFormat="1" ht="15.75" customHeight="1" x14ac:dyDescent="0.2">
      <c r="E1819" s="42"/>
      <c r="H1819" s="43"/>
      <c r="J1819" s="23"/>
      <c r="S1819" s="23"/>
    </row>
    <row r="1820" spans="5:19" s="30" customFormat="1" ht="15.75" customHeight="1" x14ac:dyDescent="0.2">
      <c r="E1820" s="42"/>
      <c r="H1820" s="43"/>
      <c r="J1820" s="23"/>
      <c r="S1820" s="23"/>
    </row>
    <row r="1821" spans="5:19" s="30" customFormat="1" ht="15.75" customHeight="1" x14ac:dyDescent="0.2">
      <c r="E1821" s="42"/>
      <c r="H1821" s="43"/>
      <c r="J1821" s="23"/>
      <c r="S1821" s="23"/>
    </row>
    <row r="1822" spans="5:19" s="30" customFormat="1" ht="15.75" customHeight="1" x14ac:dyDescent="0.2">
      <c r="E1822" s="42"/>
      <c r="H1822" s="43"/>
      <c r="J1822" s="23"/>
      <c r="S1822" s="23"/>
    </row>
    <row r="1823" spans="5:19" s="30" customFormat="1" ht="15.75" customHeight="1" x14ac:dyDescent="0.2">
      <c r="E1823" s="42"/>
      <c r="H1823" s="43"/>
      <c r="J1823" s="23"/>
      <c r="S1823" s="23"/>
    </row>
    <row r="1824" spans="5:19" s="30" customFormat="1" ht="15.75" customHeight="1" x14ac:dyDescent="0.2">
      <c r="E1824" s="42"/>
      <c r="H1824" s="43"/>
      <c r="J1824" s="23"/>
      <c r="S1824" s="23"/>
    </row>
    <row r="1825" spans="5:19" s="30" customFormat="1" ht="15.75" customHeight="1" x14ac:dyDescent="0.2">
      <c r="E1825" s="42"/>
      <c r="H1825" s="43"/>
      <c r="J1825" s="23"/>
      <c r="S1825" s="23"/>
    </row>
    <row r="1826" spans="5:19" s="30" customFormat="1" ht="15.75" customHeight="1" x14ac:dyDescent="0.2">
      <c r="E1826" s="42"/>
      <c r="H1826" s="43"/>
      <c r="J1826" s="23"/>
      <c r="S1826" s="23"/>
    </row>
    <row r="1827" spans="5:19" s="30" customFormat="1" ht="15.75" customHeight="1" x14ac:dyDescent="0.2">
      <c r="E1827" s="42"/>
      <c r="H1827" s="43"/>
      <c r="J1827" s="23"/>
      <c r="S1827" s="23"/>
    </row>
    <row r="1828" spans="5:19" s="30" customFormat="1" ht="15.75" customHeight="1" x14ac:dyDescent="0.2">
      <c r="E1828" s="42"/>
      <c r="H1828" s="43"/>
      <c r="J1828" s="23"/>
      <c r="S1828" s="23"/>
    </row>
    <row r="1829" spans="5:19" s="30" customFormat="1" ht="15.75" customHeight="1" x14ac:dyDescent="0.2">
      <c r="E1829" s="42"/>
      <c r="H1829" s="43"/>
      <c r="J1829" s="23"/>
      <c r="S1829" s="23"/>
    </row>
    <row r="1830" spans="5:19" s="30" customFormat="1" ht="15.75" customHeight="1" x14ac:dyDescent="0.2">
      <c r="E1830" s="42"/>
      <c r="H1830" s="43"/>
      <c r="J1830" s="23"/>
      <c r="S1830" s="23"/>
    </row>
    <row r="1831" spans="5:19" s="30" customFormat="1" ht="15.75" customHeight="1" x14ac:dyDescent="0.2">
      <c r="E1831" s="42"/>
      <c r="H1831" s="43"/>
      <c r="J1831" s="23"/>
      <c r="S1831" s="23"/>
    </row>
    <row r="1832" spans="5:19" s="30" customFormat="1" ht="15.75" customHeight="1" x14ac:dyDescent="0.2">
      <c r="E1832" s="42"/>
      <c r="H1832" s="43"/>
      <c r="J1832" s="23"/>
      <c r="S1832" s="23"/>
    </row>
    <row r="1833" spans="5:19" s="30" customFormat="1" ht="15.75" customHeight="1" x14ac:dyDescent="0.2">
      <c r="E1833" s="42"/>
      <c r="H1833" s="43"/>
      <c r="J1833" s="23"/>
      <c r="S1833" s="23"/>
    </row>
    <row r="1834" spans="5:19" s="30" customFormat="1" ht="15.75" customHeight="1" x14ac:dyDescent="0.2">
      <c r="E1834" s="42"/>
      <c r="H1834" s="43"/>
      <c r="J1834" s="23"/>
      <c r="S1834" s="23"/>
    </row>
    <row r="1835" spans="5:19" s="30" customFormat="1" ht="15.75" customHeight="1" x14ac:dyDescent="0.2">
      <c r="E1835" s="42"/>
      <c r="H1835" s="43"/>
      <c r="J1835" s="23"/>
      <c r="S1835" s="23"/>
    </row>
    <row r="1836" spans="5:19" s="30" customFormat="1" ht="15.75" customHeight="1" x14ac:dyDescent="0.2">
      <c r="E1836" s="42"/>
      <c r="H1836" s="43"/>
      <c r="J1836" s="23"/>
      <c r="S1836" s="23"/>
    </row>
    <row r="1837" spans="5:19" s="30" customFormat="1" ht="15.75" customHeight="1" x14ac:dyDescent="0.2">
      <c r="E1837" s="42"/>
      <c r="H1837" s="43"/>
      <c r="J1837" s="23"/>
      <c r="S1837" s="23"/>
    </row>
    <row r="1838" spans="5:19" s="30" customFormat="1" ht="15.75" customHeight="1" x14ac:dyDescent="0.2">
      <c r="E1838" s="42"/>
      <c r="H1838" s="43"/>
      <c r="J1838" s="23"/>
      <c r="S1838" s="23"/>
    </row>
    <row r="1839" spans="5:19" s="30" customFormat="1" ht="15.75" customHeight="1" x14ac:dyDescent="0.2">
      <c r="E1839" s="42"/>
      <c r="H1839" s="43"/>
      <c r="J1839" s="23"/>
      <c r="S1839" s="23"/>
    </row>
    <row r="1840" spans="5:19" s="30" customFormat="1" ht="15.75" customHeight="1" x14ac:dyDescent="0.2">
      <c r="E1840" s="42"/>
      <c r="H1840" s="43"/>
      <c r="J1840" s="23"/>
      <c r="S1840" s="23"/>
    </row>
    <row r="1841" spans="5:19" s="30" customFormat="1" ht="15.75" customHeight="1" x14ac:dyDescent="0.2">
      <c r="E1841" s="42"/>
      <c r="H1841" s="43"/>
      <c r="J1841" s="23"/>
      <c r="S1841" s="23"/>
    </row>
    <row r="1842" spans="5:19" s="30" customFormat="1" ht="15.75" customHeight="1" x14ac:dyDescent="0.2">
      <c r="E1842" s="42"/>
      <c r="H1842" s="43"/>
      <c r="J1842" s="23"/>
      <c r="S1842" s="23"/>
    </row>
    <row r="1843" spans="5:19" s="30" customFormat="1" ht="15.75" customHeight="1" x14ac:dyDescent="0.2">
      <c r="E1843" s="42"/>
      <c r="H1843" s="43"/>
      <c r="J1843" s="23"/>
      <c r="S1843" s="23"/>
    </row>
    <row r="1844" spans="5:19" s="30" customFormat="1" ht="15.75" customHeight="1" x14ac:dyDescent="0.2">
      <c r="E1844" s="42"/>
      <c r="H1844" s="43"/>
      <c r="J1844" s="23"/>
      <c r="S1844" s="23"/>
    </row>
    <row r="1845" spans="5:19" s="30" customFormat="1" ht="15.75" customHeight="1" x14ac:dyDescent="0.2">
      <c r="E1845" s="42"/>
      <c r="H1845" s="43"/>
      <c r="J1845" s="23"/>
      <c r="S1845" s="23"/>
    </row>
    <row r="1846" spans="5:19" s="30" customFormat="1" ht="15.75" customHeight="1" x14ac:dyDescent="0.2">
      <c r="E1846" s="42"/>
      <c r="H1846" s="43"/>
      <c r="J1846" s="23"/>
      <c r="S1846" s="23"/>
    </row>
    <row r="1847" spans="5:19" s="30" customFormat="1" ht="15.75" customHeight="1" x14ac:dyDescent="0.2">
      <c r="E1847" s="42"/>
      <c r="H1847" s="43"/>
      <c r="J1847" s="23"/>
      <c r="S1847" s="23"/>
    </row>
    <row r="1848" spans="5:19" s="30" customFormat="1" ht="15.75" customHeight="1" x14ac:dyDescent="0.2">
      <c r="E1848" s="42"/>
      <c r="H1848" s="43"/>
      <c r="J1848" s="23"/>
      <c r="S1848" s="23"/>
    </row>
    <row r="1849" spans="5:19" s="30" customFormat="1" ht="15.75" customHeight="1" x14ac:dyDescent="0.2">
      <c r="E1849" s="42"/>
      <c r="H1849" s="43"/>
      <c r="J1849" s="23"/>
      <c r="S1849" s="23"/>
    </row>
    <row r="1850" spans="5:19" s="30" customFormat="1" ht="15.75" customHeight="1" x14ac:dyDescent="0.2">
      <c r="E1850" s="42"/>
      <c r="H1850" s="43"/>
      <c r="J1850" s="23"/>
      <c r="S1850" s="23"/>
    </row>
    <row r="1851" spans="5:19" s="30" customFormat="1" ht="15.75" customHeight="1" x14ac:dyDescent="0.2">
      <c r="E1851" s="42"/>
      <c r="H1851" s="43"/>
      <c r="J1851" s="23"/>
      <c r="S1851" s="23"/>
    </row>
    <row r="1852" spans="5:19" s="30" customFormat="1" ht="15.75" customHeight="1" x14ac:dyDescent="0.2">
      <c r="E1852" s="42"/>
      <c r="H1852" s="43"/>
      <c r="J1852" s="23"/>
      <c r="S1852" s="23"/>
    </row>
    <row r="1853" spans="5:19" s="30" customFormat="1" ht="15.75" customHeight="1" x14ac:dyDescent="0.2">
      <c r="E1853" s="42"/>
      <c r="H1853" s="43"/>
      <c r="J1853" s="23"/>
      <c r="S1853" s="23"/>
    </row>
    <row r="1854" spans="5:19" s="30" customFormat="1" ht="15.75" customHeight="1" x14ac:dyDescent="0.2">
      <c r="E1854" s="42"/>
      <c r="H1854" s="43"/>
      <c r="J1854" s="23"/>
      <c r="S1854" s="23"/>
    </row>
    <row r="1855" spans="5:19" s="30" customFormat="1" ht="15.75" customHeight="1" x14ac:dyDescent="0.2">
      <c r="E1855" s="42"/>
      <c r="H1855" s="43"/>
      <c r="J1855" s="23"/>
      <c r="S1855" s="23"/>
    </row>
    <row r="1856" spans="5:19" s="30" customFormat="1" ht="15.75" customHeight="1" x14ac:dyDescent="0.2">
      <c r="E1856" s="42"/>
      <c r="H1856" s="43"/>
      <c r="J1856" s="23"/>
      <c r="S1856" s="23"/>
    </row>
    <row r="1857" spans="5:19" s="30" customFormat="1" ht="15.75" customHeight="1" x14ac:dyDescent="0.2">
      <c r="E1857" s="42"/>
      <c r="H1857" s="43"/>
      <c r="J1857" s="23"/>
      <c r="S1857" s="23"/>
    </row>
    <row r="1858" spans="5:19" s="30" customFormat="1" ht="15.75" customHeight="1" x14ac:dyDescent="0.2">
      <c r="E1858" s="42"/>
      <c r="H1858" s="43"/>
      <c r="J1858" s="23"/>
      <c r="S1858" s="23"/>
    </row>
    <row r="1859" spans="5:19" s="30" customFormat="1" ht="15.75" customHeight="1" x14ac:dyDescent="0.2">
      <c r="E1859" s="42"/>
      <c r="H1859" s="43"/>
      <c r="J1859" s="23"/>
      <c r="S1859" s="23"/>
    </row>
    <row r="1860" spans="5:19" s="30" customFormat="1" ht="15.75" customHeight="1" x14ac:dyDescent="0.2">
      <c r="E1860" s="42"/>
      <c r="H1860" s="43"/>
      <c r="J1860" s="23"/>
      <c r="S1860" s="23"/>
    </row>
    <row r="1861" spans="5:19" s="30" customFormat="1" ht="15.75" customHeight="1" x14ac:dyDescent="0.2">
      <c r="E1861" s="42"/>
      <c r="H1861" s="43"/>
      <c r="J1861" s="23"/>
      <c r="S1861" s="23"/>
    </row>
    <row r="1862" spans="5:19" s="30" customFormat="1" ht="15.75" customHeight="1" x14ac:dyDescent="0.2">
      <c r="E1862" s="42"/>
      <c r="H1862" s="43"/>
      <c r="J1862" s="23"/>
      <c r="S1862" s="23"/>
    </row>
    <row r="1863" spans="5:19" s="30" customFormat="1" ht="15.75" customHeight="1" x14ac:dyDescent="0.2">
      <c r="E1863" s="42"/>
      <c r="H1863" s="43"/>
      <c r="J1863" s="23"/>
      <c r="S1863" s="23"/>
    </row>
    <row r="1864" spans="5:19" s="30" customFormat="1" ht="15.75" customHeight="1" x14ac:dyDescent="0.2">
      <c r="E1864" s="42"/>
      <c r="H1864" s="43"/>
      <c r="J1864" s="23"/>
      <c r="S1864" s="23"/>
    </row>
    <row r="1865" spans="5:19" s="30" customFormat="1" ht="15.75" customHeight="1" x14ac:dyDescent="0.2">
      <c r="E1865" s="42"/>
      <c r="H1865" s="43"/>
      <c r="J1865" s="23"/>
      <c r="S1865" s="23"/>
    </row>
    <row r="1866" spans="5:19" s="30" customFormat="1" ht="15.75" customHeight="1" x14ac:dyDescent="0.2">
      <c r="E1866" s="42"/>
      <c r="H1866" s="43"/>
      <c r="J1866" s="23"/>
      <c r="S1866" s="23"/>
    </row>
    <row r="1867" spans="5:19" s="30" customFormat="1" ht="15.75" customHeight="1" x14ac:dyDescent="0.2">
      <c r="E1867" s="42"/>
      <c r="H1867" s="43"/>
      <c r="J1867" s="23"/>
      <c r="S1867" s="23"/>
    </row>
    <row r="1868" spans="5:19" s="30" customFormat="1" ht="15.75" customHeight="1" x14ac:dyDescent="0.2">
      <c r="E1868" s="42"/>
      <c r="H1868" s="43"/>
      <c r="J1868" s="23"/>
      <c r="S1868" s="23"/>
    </row>
    <row r="1869" spans="5:19" s="30" customFormat="1" ht="15.75" customHeight="1" x14ac:dyDescent="0.2">
      <c r="E1869" s="42"/>
      <c r="H1869" s="43"/>
      <c r="J1869" s="23"/>
      <c r="S1869" s="23"/>
    </row>
    <row r="1870" spans="5:19" s="30" customFormat="1" ht="15.75" customHeight="1" x14ac:dyDescent="0.2">
      <c r="E1870" s="42"/>
      <c r="H1870" s="43"/>
      <c r="J1870" s="23"/>
      <c r="S1870" s="23"/>
    </row>
    <row r="1871" spans="5:19" s="30" customFormat="1" ht="15.75" customHeight="1" x14ac:dyDescent="0.2">
      <c r="E1871" s="42"/>
      <c r="H1871" s="43"/>
      <c r="J1871" s="23"/>
      <c r="S1871" s="23"/>
    </row>
    <row r="1872" spans="5:19" s="30" customFormat="1" ht="15.75" customHeight="1" x14ac:dyDescent="0.2">
      <c r="E1872" s="42"/>
      <c r="H1872" s="43"/>
      <c r="J1872" s="23"/>
      <c r="S1872" s="23"/>
    </row>
    <row r="1873" spans="5:19" s="30" customFormat="1" ht="15.75" customHeight="1" x14ac:dyDescent="0.2">
      <c r="E1873" s="42"/>
      <c r="H1873" s="43"/>
      <c r="J1873" s="23"/>
      <c r="S1873" s="23"/>
    </row>
    <row r="1874" spans="5:19" s="30" customFormat="1" ht="15.75" customHeight="1" x14ac:dyDescent="0.2">
      <c r="E1874" s="42"/>
      <c r="H1874" s="43"/>
      <c r="J1874" s="23"/>
      <c r="S1874" s="23"/>
    </row>
    <row r="1875" spans="5:19" s="30" customFormat="1" ht="15.75" customHeight="1" x14ac:dyDescent="0.2">
      <c r="E1875" s="42"/>
      <c r="H1875" s="43"/>
      <c r="J1875" s="23"/>
      <c r="S1875" s="23"/>
    </row>
    <row r="1876" spans="5:19" s="30" customFormat="1" ht="15.75" customHeight="1" x14ac:dyDescent="0.2">
      <c r="E1876" s="42"/>
      <c r="H1876" s="43"/>
      <c r="J1876" s="23"/>
      <c r="S1876" s="23"/>
    </row>
    <row r="1877" spans="5:19" s="30" customFormat="1" ht="15.75" customHeight="1" x14ac:dyDescent="0.2">
      <c r="E1877" s="42"/>
      <c r="H1877" s="43"/>
      <c r="J1877" s="23"/>
      <c r="S1877" s="23"/>
    </row>
    <row r="1878" spans="5:19" s="30" customFormat="1" ht="15.75" customHeight="1" x14ac:dyDescent="0.2">
      <c r="E1878" s="42"/>
      <c r="H1878" s="43"/>
      <c r="J1878" s="23"/>
      <c r="S1878" s="23"/>
    </row>
    <row r="1879" spans="5:19" s="30" customFormat="1" ht="15.75" customHeight="1" x14ac:dyDescent="0.2">
      <c r="E1879" s="42"/>
      <c r="H1879" s="43"/>
      <c r="J1879" s="23"/>
      <c r="S1879" s="23"/>
    </row>
    <row r="1880" spans="5:19" s="30" customFormat="1" ht="15.75" customHeight="1" x14ac:dyDescent="0.2">
      <c r="E1880" s="42"/>
      <c r="H1880" s="43"/>
      <c r="J1880" s="23"/>
      <c r="S1880" s="23"/>
    </row>
    <row r="1881" spans="5:19" s="30" customFormat="1" ht="15.75" customHeight="1" x14ac:dyDescent="0.2">
      <c r="E1881" s="42"/>
      <c r="H1881" s="43"/>
      <c r="J1881" s="23"/>
      <c r="S1881" s="23"/>
    </row>
    <row r="1882" spans="5:19" s="30" customFormat="1" ht="15.75" customHeight="1" x14ac:dyDescent="0.2">
      <c r="E1882" s="42"/>
      <c r="H1882" s="43"/>
      <c r="J1882" s="23"/>
      <c r="S1882" s="23"/>
    </row>
    <row r="1883" spans="5:19" s="30" customFormat="1" ht="15.75" customHeight="1" x14ac:dyDescent="0.2">
      <c r="E1883" s="42"/>
      <c r="H1883" s="43"/>
      <c r="J1883" s="23"/>
      <c r="S1883" s="23"/>
    </row>
    <row r="1884" spans="5:19" s="30" customFormat="1" ht="15.75" customHeight="1" x14ac:dyDescent="0.2">
      <c r="E1884" s="42"/>
      <c r="H1884" s="43"/>
      <c r="J1884" s="23"/>
      <c r="S1884" s="23"/>
    </row>
    <row r="1885" spans="5:19" s="30" customFormat="1" ht="15.75" customHeight="1" x14ac:dyDescent="0.2">
      <c r="E1885" s="42"/>
      <c r="H1885" s="43"/>
      <c r="J1885" s="23"/>
      <c r="S1885" s="23"/>
    </row>
    <row r="1886" spans="5:19" s="30" customFormat="1" ht="15.75" customHeight="1" x14ac:dyDescent="0.2">
      <c r="E1886" s="42"/>
      <c r="H1886" s="43"/>
      <c r="J1886" s="23"/>
      <c r="S1886" s="23"/>
    </row>
    <row r="1887" spans="5:19" s="30" customFormat="1" ht="15.75" customHeight="1" x14ac:dyDescent="0.2">
      <c r="E1887" s="42"/>
      <c r="H1887" s="43"/>
      <c r="J1887" s="23"/>
      <c r="S1887" s="23"/>
    </row>
    <row r="1888" spans="5:19" s="30" customFormat="1" ht="15.75" customHeight="1" x14ac:dyDescent="0.2">
      <c r="E1888" s="42"/>
      <c r="H1888" s="43"/>
      <c r="J1888" s="23"/>
      <c r="S1888" s="23"/>
    </row>
    <row r="1889" spans="5:19" s="30" customFormat="1" ht="15.75" customHeight="1" x14ac:dyDescent="0.2">
      <c r="E1889" s="42"/>
      <c r="H1889" s="43"/>
      <c r="J1889" s="23"/>
      <c r="S1889" s="23"/>
    </row>
    <row r="1890" spans="5:19" s="30" customFormat="1" ht="15.75" customHeight="1" x14ac:dyDescent="0.2">
      <c r="E1890" s="42"/>
      <c r="H1890" s="43"/>
      <c r="J1890" s="23"/>
      <c r="S1890" s="23"/>
    </row>
    <row r="1891" spans="5:19" s="30" customFormat="1" ht="15.75" customHeight="1" x14ac:dyDescent="0.2">
      <c r="E1891" s="42"/>
      <c r="H1891" s="43"/>
      <c r="J1891" s="23"/>
      <c r="S1891" s="23"/>
    </row>
    <row r="1892" spans="5:19" s="30" customFormat="1" ht="15.75" customHeight="1" x14ac:dyDescent="0.2">
      <c r="E1892" s="42"/>
      <c r="H1892" s="43"/>
      <c r="J1892" s="23"/>
      <c r="S1892" s="23"/>
    </row>
    <row r="1893" spans="5:19" s="30" customFormat="1" ht="15.75" customHeight="1" x14ac:dyDescent="0.2">
      <c r="E1893" s="42"/>
      <c r="H1893" s="43"/>
      <c r="J1893" s="23"/>
      <c r="S1893" s="23"/>
    </row>
    <row r="1894" spans="5:19" s="30" customFormat="1" ht="15.75" customHeight="1" x14ac:dyDescent="0.2">
      <c r="E1894" s="42"/>
      <c r="H1894" s="43"/>
      <c r="J1894" s="23"/>
      <c r="S1894" s="23"/>
    </row>
    <row r="1895" spans="5:19" s="30" customFormat="1" ht="15.75" customHeight="1" x14ac:dyDescent="0.2">
      <c r="E1895" s="42"/>
      <c r="H1895" s="43"/>
      <c r="J1895" s="23"/>
      <c r="S1895" s="23"/>
    </row>
    <row r="1896" spans="5:19" s="30" customFormat="1" ht="15.75" customHeight="1" x14ac:dyDescent="0.2">
      <c r="E1896" s="42"/>
      <c r="H1896" s="43"/>
      <c r="J1896" s="23"/>
      <c r="S1896" s="23"/>
    </row>
    <row r="1897" spans="5:19" s="30" customFormat="1" ht="15.75" customHeight="1" x14ac:dyDescent="0.2">
      <c r="E1897" s="42"/>
      <c r="H1897" s="43"/>
      <c r="J1897" s="23"/>
      <c r="S1897" s="23"/>
    </row>
    <row r="1898" spans="5:19" s="30" customFormat="1" ht="15.75" customHeight="1" x14ac:dyDescent="0.2">
      <c r="E1898" s="42"/>
      <c r="H1898" s="43"/>
      <c r="J1898" s="23"/>
      <c r="S1898" s="23"/>
    </row>
    <row r="1899" spans="5:19" s="30" customFormat="1" ht="15.75" customHeight="1" x14ac:dyDescent="0.2">
      <c r="E1899" s="42"/>
      <c r="H1899" s="43"/>
      <c r="J1899" s="23"/>
      <c r="S1899" s="23"/>
    </row>
    <row r="1900" spans="5:19" s="30" customFormat="1" ht="15.75" customHeight="1" x14ac:dyDescent="0.2">
      <c r="E1900" s="42"/>
      <c r="H1900" s="43"/>
      <c r="J1900" s="23"/>
      <c r="S1900" s="23"/>
    </row>
    <row r="1901" spans="5:19" s="30" customFormat="1" ht="15.75" customHeight="1" x14ac:dyDescent="0.2">
      <c r="E1901" s="42"/>
      <c r="H1901" s="43"/>
      <c r="J1901" s="23"/>
      <c r="S1901" s="23"/>
    </row>
    <row r="1902" spans="5:19" s="30" customFormat="1" ht="15.75" customHeight="1" x14ac:dyDescent="0.2">
      <c r="E1902" s="42"/>
      <c r="H1902" s="43"/>
      <c r="J1902" s="23"/>
      <c r="S1902" s="23"/>
    </row>
    <row r="1903" spans="5:19" s="30" customFormat="1" ht="15.75" customHeight="1" x14ac:dyDescent="0.2">
      <c r="E1903" s="42"/>
      <c r="H1903" s="43"/>
      <c r="J1903" s="23"/>
      <c r="S1903" s="23"/>
    </row>
    <row r="1904" spans="5:19" s="30" customFormat="1" ht="15.75" customHeight="1" x14ac:dyDescent="0.2">
      <c r="E1904" s="42"/>
      <c r="H1904" s="43"/>
      <c r="J1904" s="23"/>
      <c r="S1904" s="23"/>
    </row>
    <row r="1905" spans="5:19" s="30" customFormat="1" ht="15.75" customHeight="1" x14ac:dyDescent="0.2">
      <c r="E1905" s="42"/>
      <c r="H1905" s="43"/>
      <c r="J1905" s="23"/>
      <c r="S1905" s="23"/>
    </row>
    <row r="1906" spans="5:19" s="30" customFormat="1" ht="15.75" customHeight="1" x14ac:dyDescent="0.2">
      <c r="E1906" s="42"/>
      <c r="H1906" s="43"/>
      <c r="J1906" s="23"/>
      <c r="S1906" s="23"/>
    </row>
    <row r="1907" spans="5:19" s="30" customFormat="1" ht="15.75" customHeight="1" x14ac:dyDescent="0.2">
      <c r="E1907" s="42"/>
      <c r="H1907" s="43"/>
      <c r="J1907" s="23"/>
      <c r="S1907" s="23"/>
    </row>
    <row r="1908" spans="5:19" s="30" customFormat="1" ht="15.75" customHeight="1" x14ac:dyDescent="0.2">
      <c r="E1908" s="42"/>
      <c r="H1908" s="43"/>
      <c r="J1908" s="23"/>
      <c r="S1908" s="23"/>
    </row>
    <row r="1909" spans="5:19" s="30" customFormat="1" ht="15.75" customHeight="1" x14ac:dyDescent="0.2">
      <c r="E1909" s="42"/>
      <c r="H1909" s="43"/>
      <c r="J1909" s="23"/>
      <c r="S1909" s="23"/>
    </row>
    <row r="1910" spans="5:19" s="30" customFormat="1" ht="15.75" customHeight="1" x14ac:dyDescent="0.2">
      <c r="E1910" s="42"/>
      <c r="H1910" s="43"/>
      <c r="J1910" s="23"/>
      <c r="S1910" s="23"/>
    </row>
    <row r="1911" spans="5:19" s="30" customFormat="1" ht="15.75" customHeight="1" x14ac:dyDescent="0.2">
      <c r="E1911" s="42"/>
      <c r="H1911" s="43"/>
      <c r="J1911" s="23"/>
      <c r="S1911" s="23"/>
    </row>
    <row r="1912" spans="5:19" s="30" customFormat="1" ht="15.75" customHeight="1" x14ac:dyDescent="0.2">
      <c r="E1912" s="42"/>
      <c r="H1912" s="43"/>
      <c r="J1912" s="23"/>
      <c r="S1912" s="23"/>
    </row>
    <row r="1913" spans="5:19" s="30" customFormat="1" ht="15.75" customHeight="1" x14ac:dyDescent="0.2">
      <c r="E1913" s="42"/>
      <c r="H1913" s="43"/>
      <c r="J1913" s="23"/>
      <c r="S1913" s="23"/>
    </row>
    <row r="1914" spans="5:19" s="30" customFormat="1" ht="15.75" customHeight="1" x14ac:dyDescent="0.2">
      <c r="E1914" s="42"/>
      <c r="H1914" s="43"/>
      <c r="J1914" s="23"/>
      <c r="S1914" s="23"/>
    </row>
    <row r="1915" spans="5:19" s="30" customFormat="1" ht="15.75" customHeight="1" x14ac:dyDescent="0.2">
      <c r="E1915" s="42"/>
      <c r="H1915" s="43"/>
      <c r="J1915" s="23"/>
      <c r="S1915" s="23"/>
    </row>
    <row r="1916" spans="5:19" s="30" customFormat="1" ht="15.75" customHeight="1" x14ac:dyDescent="0.2">
      <c r="E1916" s="42"/>
      <c r="H1916" s="43"/>
      <c r="J1916" s="23"/>
      <c r="S1916" s="23"/>
    </row>
    <row r="1917" spans="5:19" s="30" customFormat="1" ht="15.75" customHeight="1" x14ac:dyDescent="0.2">
      <c r="E1917" s="42"/>
      <c r="H1917" s="43"/>
      <c r="J1917" s="23"/>
      <c r="S1917" s="23"/>
    </row>
    <row r="1918" spans="5:19" s="30" customFormat="1" ht="15.75" customHeight="1" x14ac:dyDescent="0.2">
      <c r="E1918" s="42"/>
      <c r="H1918" s="43"/>
      <c r="J1918" s="23"/>
      <c r="S1918" s="23"/>
    </row>
    <row r="1919" spans="5:19" s="30" customFormat="1" ht="15.75" customHeight="1" x14ac:dyDescent="0.2">
      <c r="E1919" s="42"/>
      <c r="H1919" s="43"/>
      <c r="J1919" s="23"/>
      <c r="S1919" s="23"/>
    </row>
    <row r="1920" spans="5:19" s="30" customFormat="1" ht="15.75" customHeight="1" x14ac:dyDescent="0.2">
      <c r="E1920" s="42"/>
      <c r="H1920" s="43"/>
      <c r="J1920" s="23"/>
      <c r="S1920" s="23"/>
    </row>
    <row r="1921" spans="5:19" s="30" customFormat="1" ht="15.75" customHeight="1" x14ac:dyDescent="0.2">
      <c r="E1921" s="42"/>
      <c r="H1921" s="43"/>
      <c r="J1921" s="23"/>
      <c r="S1921" s="23"/>
    </row>
    <row r="1922" spans="5:19" s="30" customFormat="1" ht="15.75" customHeight="1" x14ac:dyDescent="0.2">
      <c r="E1922" s="42"/>
      <c r="H1922" s="43"/>
      <c r="J1922" s="23"/>
      <c r="S1922" s="23"/>
    </row>
    <row r="1923" spans="5:19" s="30" customFormat="1" ht="15.75" customHeight="1" x14ac:dyDescent="0.2">
      <c r="E1923" s="42"/>
      <c r="H1923" s="43"/>
      <c r="J1923" s="23"/>
      <c r="S1923" s="23"/>
    </row>
    <row r="1924" spans="5:19" s="30" customFormat="1" ht="15.75" customHeight="1" x14ac:dyDescent="0.2">
      <c r="E1924" s="42"/>
      <c r="H1924" s="43"/>
      <c r="J1924" s="23"/>
      <c r="S1924" s="23"/>
    </row>
    <row r="1925" spans="5:19" s="30" customFormat="1" ht="15.75" customHeight="1" x14ac:dyDescent="0.2">
      <c r="E1925" s="42"/>
      <c r="H1925" s="43"/>
      <c r="J1925" s="23"/>
      <c r="S1925" s="23"/>
    </row>
    <row r="1926" spans="5:19" s="30" customFormat="1" ht="15.75" customHeight="1" x14ac:dyDescent="0.2">
      <c r="E1926" s="42"/>
      <c r="H1926" s="43"/>
      <c r="J1926" s="23"/>
      <c r="S1926" s="23"/>
    </row>
    <row r="1927" spans="5:19" s="30" customFormat="1" ht="15.75" customHeight="1" x14ac:dyDescent="0.2">
      <c r="E1927" s="42"/>
      <c r="H1927" s="43"/>
      <c r="J1927" s="23"/>
      <c r="S1927" s="23"/>
    </row>
    <row r="1928" spans="5:19" s="30" customFormat="1" ht="15.75" customHeight="1" x14ac:dyDescent="0.2">
      <c r="E1928" s="42"/>
      <c r="H1928" s="43"/>
      <c r="J1928" s="23"/>
      <c r="S1928" s="23"/>
    </row>
    <row r="1929" spans="5:19" s="30" customFormat="1" ht="15.75" customHeight="1" x14ac:dyDescent="0.2">
      <c r="E1929" s="42"/>
      <c r="H1929" s="43"/>
      <c r="J1929" s="23"/>
      <c r="S1929" s="23"/>
    </row>
    <row r="1930" spans="5:19" s="30" customFormat="1" ht="15.75" customHeight="1" x14ac:dyDescent="0.2">
      <c r="E1930" s="42"/>
      <c r="H1930" s="43"/>
      <c r="J1930" s="23"/>
      <c r="S1930" s="23"/>
    </row>
    <row r="1931" spans="5:19" s="30" customFormat="1" ht="15.75" customHeight="1" x14ac:dyDescent="0.2">
      <c r="E1931" s="42"/>
      <c r="H1931" s="43"/>
      <c r="J1931" s="23"/>
      <c r="S1931" s="23"/>
    </row>
    <row r="1932" spans="5:19" s="30" customFormat="1" ht="15.75" customHeight="1" x14ac:dyDescent="0.2">
      <c r="E1932" s="42"/>
      <c r="H1932" s="43"/>
      <c r="J1932" s="23"/>
      <c r="S1932" s="23"/>
    </row>
    <row r="1933" spans="5:19" s="30" customFormat="1" ht="15.75" customHeight="1" x14ac:dyDescent="0.2">
      <c r="E1933" s="42"/>
      <c r="H1933" s="43"/>
      <c r="J1933" s="23"/>
      <c r="S1933" s="23"/>
    </row>
    <row r="1934" spans="5:19" s="30" customFormat="1" ht="15.75" customHeight="1" x14ac:dyDescent="0.2">
      <c r="E1934" s="42"/>
      <c r="H1934" s="43"/>
      <c r="J1934" s="23"/>
      <c r="S1934" s="23"/>
    </row>
    <row r="1935" spans="5:19" s="30" customFormat="1" ht="15.75" customHeight="1" x14ac:dyDescent="0.2">
      <c r="E1935" s="42"/>
      <c r="H1935" s="43"/>
      <c r="J1935" s="23"/>
      <c r="S1935" s="23"/>
    </row>
    <row r="1936" spans="5:19" s="30" customFormat="1" ht="15.75" customHeight="1" x14ac:dyDescent="0.2">
      <c r="E1936" s="42"/>
      <c r="H1936" s="43"/>
      <c r="J1936" s="23"/>
      <c r="S1936" s="23"/>
    </row>
    <row r="1937" spans="5:19" s="30" customFormat="1" ht="15.75" customHeight="1" x14ac:dyDescent="0.2">
      <c r="E1937" s="42"/>
      <c r="H1937" s="43"/>
      <c r="J1937" s="23"/>
      <c r="S1937" s="23"/>
    </row>
    <row r="1938" spans="5:19" s="30" customFormat="1" ht="15.75" customHeight="1" x14ac:dyDescent="0.2">
      <c r="E1938" s="42"/>
      <c r="H1938" s="43"/>
      <c r="J1938" s="23"/>
      <c r="S1938" s="23"/>
    </row>
    <row r="1939" spans="5:19" s="30" customFormat="1" ht="15.75" customHeight="1" x14ac:dyDescent="0.2">
      <c r="E1939" s="42"/>
      <c r="H1939" s="43"/>
      <c r="J1939" s="23"/>
      <c r="S1939" s="23"/>
    </row>
    <row r="1940" spans="5:19" s="30" customFormat="1" ht="15.75" customHeight="1" x14ac:dyDescent="0.2">
      <c r="E1940" s="42"/>
      <c r="H1940" s="43"/>
      <c r="J1940" s="23"/>
      <c r="S1940" s="23"/>
    </row>
    <row r="1941" spans="5:19" s="30" customFormat="1" ht="15.75" customHeight="1" x14ac:dyDescent="0.2">
      <c r="E1941" s="42"/>
      <c r="H1941" s="43"/>
      <c r="J1941" s="23"/>
      <c r="S1941" s="23"/>
    </row>
    <row r="1942" spans="5:19" s="30" customFormat="1" ht="15.75" customHeight="1" x14ac:dyDescent="0.2">
      <c r="E1942" s="42"/>
      <c r="H1942" s="43"/>
      <c r="J1942" s="23"/>
      <c r="S1942" s="23"/>
    </row>
    <row r="1943" spans="5:19" s="30" customFormat="1" ht="15.75" customHeight="1" x14ac:dyDescent="0.2">
      <c r="E1943" s="42"/>
      <c r="H1943" s="43"/>
      <c r="J1943" s="23"/>
      <c r="S1943" s="23"/>
    </row>
    <row r="1944" spans="5:19" s="30" customFormat="1" ht="15.75" customHeight="1" x14ac:dyDescent="0.2">
      <c r="E1944" s="42"/>
      <c r="H1944" s="43"/>
      <c r="J1944" s="23"/>
      <c r="S1944" s="23"/>
    </row>
    <row r="1945" spans="5:19" s="30" customFormat="1" ht="15.75" customHeight="1" x14ac:dyDescent="0.2">
      <c r="E1945" s="42"/>
      <c r="H1945" s="43"/>
      <c r="J1945" s="23"/>
      <c r="S1945" s="23"/>
    </row>
    <row r="1946" spans="5:19" s="30" customFormat="1" ht="15.75" customHeight="1" x14ac:dyDescent="0.2">
      <c r="E1946" s="42"/>
      <c r="H1946" s="43"/>
      <c r="J1946" s="23"/>
      <c r="S1946" s="23"/>
    </row>
    <row r="1947" spans="5:19" s="30" customFormat="1" ht="15.75" customHeight="1" x14ac:dyDescent="0.2">
      <c r="E1947" s="42"/>
      <c r="H1947" s="43"/>
      <c r="J1947" s="23"/>
      <c r="S1947" s="23"/>
    </row>
    <row r="1948" spans="5:19" s="30" customFormat="1" ht="15.75" customHeight="1" x14ac:dyDescent="0.2">
      <c r="E1948" s="42"/>
      <c r="H1948" s="43"/>
      <c r="J1948" s="23"/>
      <c r="S1948" s="23"/>
    </row>
    <row r="1949" spans="5:19" s="30" customFormat="1" ht="15.75" customHeight="1" x14ac:dyDescent="0.2">
      <c r="E1949" s="42"/>
      <c r="H1949" s="43"/>
      <c r="J1949" s="23"/>
      <c r="S1949" s="23"/>
    </row>
    <row r="1950" spans="5:19" s="30" customFormat="1" ht="15.75" customHeight="1" x14ac:dyDescent="0.2">
      <c r="E1950" s="42"/>
      <c r="H1950" s="43"/>
      <c r="J1950" s="23"/>
      <c r="S1950" s="23"/>
    </row>
    <row r="1951" spans="5:19" s="30" customFormat="1" ht="15.75" customHeight="1" x14ac:dyDescent="0.2">
      <c r="E1951" s="42"/>
      <c r="H1951" s="43"/>
      <c r="J1951" s="23"/>
      <c r="S1951" s="23"/>
    </row>
    <row r="1952" spans="5:19" s="30" customFormat="1" ht="15.75" customHeight="1" x14ac:dyDescent="0.2">
      <c r="E1952" s="42"/>
      <c r="H1952" s="43"/>
      <c r="J1952" s="23"/>
      <c r="S1952" s="23"/>
    </row>
    <row r="1953" spans="5:19" s="30" customFormat="1" ht="15.75" customHeight="1" x14ac:dyDescent="0.2">
      <c r="E1953" s="42"/>
      <c r="H1953" s="43"/>
      <c r="J1953" s="23"/>
      <c r="S1953" s="23"/>
    </row>
    <row r="1954" spans="5:19" s="30" customFormat="1" ht="15.75" customHeight="1" x14ac:dyDescent="0.2">
      <c r="E1954" s="42"/>
      <c r="H1954" s="43"/>
      <c r="J1954" s="23"/>
      <c r="S1954" s="23"/>
    </row>
    <row r="1955" spans="5:19" s="30" customFormat="1" ht="15.75" customHeight="1" x14ac:dyDescent="0.2">
      <c r="E1955" s="42"/>
      <c r="H1955" s="43"/>
      <c r="J1955" s="23"/>
      <c r="S1955" s="23"/>
    </row>
    <row r="1956" spans="5:19" s="30" customFormat="1" ht="15.75" customHeight="1" x14ac:dyDescent="0.2">
      <c r="E1956" s="42"/>
      <c r="H1956" s="43"/>
      <c r="J1956" s="23"/>
      <c r="S1956" s="23"/>
    </row>
    <row r="1957" spans="5:19" s="30" customFormat="1" ht="15.75" customHeight="1" x14ac:dyDescent="0.2">
      <c r="E1957" s="42"/>
      <c r="H1957" s="43"/>
      <c r="J1957" s="23"/>
      <c r="S1957" s="23"/>
    </row>
    <row r="1958" spans="5:19" s="30" customFormat="1" ht="15.75" customHeight="1" x14ac:dyDescent="0.2">
      <c r="E1958" s="42"/>
      <c r="H1958" s="43"/>
      <c r="J1958" s="23"/>
      <c r="S1958" s="23"/>
    </row>
    <row r="1959" spans="5:19" s="30" customFormat="1" ht="15.75" customHeight="1" x14ac:dyDescent="0.2">
      <c r="E1959" s="42"/>
      <c r="H1959" s="43"/>
      <c r="J1959" s="23"/>
      <c r="S1959" s="23"/>
    </row>
    <row r="1960" spans="5:19" s="30" customFormat="1" ht="15.75" customHeight="1" x14ac:dyDescent="0.2">
      <c r="E1960" s="42"/>
      <c r="H1960" s="43"/>
      <c r="J1960" s="23"/>
      <c r="S1960" s="23"/>
    </row>
    <row r="1961" spans="5:19" s="30" customFormat="1" ht="15.75" customHeight="1" x14ac:dyDescent="0.2">
      <c r="E1961" s="42"/>
      <c r="H1961" s="43"/>
      <c r="J1961" s="23"/>
      <c r="S1961" s="23"/>
    </row>
    <row r="1962" spans="5:19" s="30" customFormat="1" ht="15.75" customHeight="1" x14ac:dyDescent="0.2">
      <c r="E1962" s="42"/>
      <c r="H1962" s="43"/>
      <c r="J1962" s="23"/>
      <c r="S1962" s="23"/>
    </row>
    <row r="1963" spans="5:19" s="30" customFormat="1" ht="15.75" customHeight="1" x14ac:dyDescent="0.2">
      <c r="E1963" s="42"/>
      <c r="H1963" s="43"/>
      <c r="J1963" s="23"/>
      <c r="S1963" s="23"/>
    </row>
    <row r="1964" spans="5:19" s="30" customFormat="1" ht="15.75" customHeight="1" x14ac:dyDescent="0.2">
      <c r="E1964" s="42"/>
      <c r="H1964" s="43"/>
      <c r="J1964" s="23"/>
      <c r="S1964" s="23"/>
    </row>
    <row r="1965" spans="5:19" s="30" customFormat="1" ht="15.75" customHeight="1" x14ac:dyDescent="0.2">
      <c r="E1965" s="42"/>
      <c r="H1965" s="43"/>
      <c r="J1965" s="23"/>
      <c r="S1965" s="23"/>
    </row>
    <row r="1966" spans="5:19" s="30" customFormat="1" ht="15.75" customHeight="1" x14ac:dyDescent="0.2">
      <c r="E1966" s="42"/>
      <c r="H1966" s="43"/>
      <c r="J1966" s="23"/>
      <c r="S1966" s="23"/>
    </row>
    <row r="1967" spans="5:19" s="30" customFormat="1" ht="15.75" customHeight="1" x14ac:dyDescent="0.2">
      <c r="E1967" s="42"/>
      <c r="H1967" s="43"/>
      <c r="J1967" s="23"/>
      <c r="S1967" s="23"/>
    </row>
    <row r="1968" spans="5:19" s="30" customFormat="1" ht="15.75" customHeight="1" x14ac:dyDescent="0.2">
      <c r="E1968" s="42"/>
      <c r="H1968" s="43"/>
      <c r="J1968" s="23"/>
      <c r="S1968" s="23"/>
    </row>
    <row r="1969" spans="5:19" s="30" customFormat="1" ht="15.75" customHeight="1" x14ac:dyDescent="0.2">
      <c r="E1969" s="42"/>
      <c r="H1969" s="43"/>
      <c r="J1969" s="23"/>
      <c r="S1969" s="23"/>
    </row>
    <row r="1970" spans="5:19" s="30" customFormat="1" ht="15.75" customHeight="1" x14ac:dyDescent="0.2">
      <c r="E1970" s="42"/>
      <c r="H1970" s="43"/>
      <c r="J1970" s="23"/>
      <c r="S1970" s="23"/>
    </row>
    <row r="1971" spans="5:19" s="30" customFormat="1" ht="15.75" customHeight="1" x14ac:dyDescent="0.2">
      <c r="E1971" s="42"/>
      <c r="H1971" s="43"/>
      <c r="J1971" s="23"/>
      <c r="S1971" s="23"/>
    </row>
    <row r="1972" spans="5:19" s="30" customFormat="1" ht="15.75" customHeight="1" x14ac:dyDescent="0.2">
      <c r="E1972" s="42"/>
      <c r="H1972" s="43"/>
      <c r="J1972" s="23"/>
      <c r="S1972" s="23"/>
    </row>
    <row r="1973" spans="5:19" s="30" customFormat="1" ht="15.75" customHeight="1" x14ac:dyDescent="0.2">
      <c r="E1973" s="42"/>
      <c r="H1973" s="43"/>
      <c r="J1973" s="23"/>
      <c r="S1973" s="23"/>
    </row>
    <row r="1974" spans="5:19" s="30" customFormat="1" ht="15.75" customHeight="1" x14ac:dyDescent="0.2">
      <c r="E1974" s="42"/>
      <c r="H1974" s="43"/>
      <c r="J1974" s="23"/>
      <c r="S1974" s="23"/>
    </row>
    <row r="1975" spans="5:19" s="30" customFormat="1" ht="15.75" customHeight="1" x14ac:dyDescent="0.2">
      <c r="E1975" s="42"/>
      <c r="H1975" s="43"/>
      <c r="J1975" s="23"/>
      <c r="S1975" s="23"/>
    </row>
    <row r="1976" spans="5:19" s="30" customFormat="1" ht="15.75" customHeight="1" x14ac:dyDescent="0.2">
      <c r="E1976" s="42"/>
      <c r="H1976" s="43"/>
      <c r="J1976" s="23"/>
      <c r="S1976" s="23"/>
    </row>
    <row r="1977" spans="5:19" s="30" customFormat="1" ht="15.75" customHeight="1" x14ac:dyDescent="0.2">
      <c r="E1977" s="42"/>
      <c r="H1977" s="43"/>
      <c r="J1977" s="23"/>
      <c r="S1977" s="23"/>
    </row>
    <row r="1978" spans="5:19" s="30" customFormat="1" ht="15.75" customHeight="1" x14ac:dyDescent="0.2">
      <c r="E1978" s="42"/>
      <c r="H1978" s="43"/>
      <c r="J1978" s="23"/>
      <c r="S1978" s="23"/>
    </row>
    <row r="1979" spans="5:19" s="30" customFormat="1" ht="15.75" customHeight="1" x14ac:dyDescent="0.2">
      <c r="E1979" s="42"/>
      <c r="H1979" s="43"/>
      <c r="J1979" s="23"/>
      <c r="S1979" s="23"/>
    </row>
    <row r="1980" spans="5:19" s="30" customFormat="1" ht="15.75" customHeight="1" x14ac:dyDescent="0.2">
      <c r="E1980" s="42"/>
      <c r="H1980" s="43"/>
      <c r="J1980" s="23"/>
      <c r="S1980" s="23"/>
    </row>
    <row r="1981" spans="5:19" s="30" customFormat="1" ht="15.75" customHeight="1" x14ac:dyDescent="0.2">
      <c r="E1981" s="42"/>
      <c r="H1981" s="43"/>
      <c r="J1981" s="23"/>
      <c r="S1981" s="23"/>
    </row>
    <row r="1982" spans="5:19" s="30" customFormat="1" ht="15.75" customHeight="1" x14ac:dyDescent="0.2">
      <c r="E1982" s="42"/>
      <c r="H1982" s="43"/>
      <c r="J1982" s="23"/>
      <c r="S1982" s="23"/>
    </row>
    <row r="1983" spans="5:19" s="30" customFormat="1" ht="15.75" customHeight="1" x14ac:dyDescent="0.2">
      <c r="E1983" s="42"/>
      <c r="H1983" s="43"/>
      <c r="J1983" s="23"/>
      <c r="S1983" s="23"/>
    </row>
    <row r="1984" spans="5:19" s="30" customFormat="1" ht="15.75" customHeight="1" x14ac:dyDescent="0.2">
      <c r="E1984" s="42"/>
      <c r="H1984" s="43"/>
      <c r="J1984" s="23"/>
      <c r="S1984" s="23"/>
    </row>
    <row r="1985" spans="5:19" s="30" customFormat="1" ht="15.75" customHeight="1" x14ac:dyDescent="0.2">
      <c r="E1985" s="42"/>
      <c r="H1985" s="43"/>
      <c r="J1985" s="23"/>
      <c r="S1985" s="23"/>
    </row>
    <row r="1986" spans="5:19" s="30" customFormat="1" ht="15.75" customHeight="1" x14ac:dyDescent="0.2">
      <c r="E1986" s="42"/>
      <c r="H1986" s="43"/>
      <c r="J1986" s="23"/>
      <c r="S1986" s="23"/>
    </row>
    <row r="1987" spans="5:19" s="30" customFormat="1" ht="15.75" customHeight="1" x14ac:dyDescent="0.2">
      <c r="E1987" s="42"/>
      <c r="H1987" s="43"/>
      <c r="J1987" s="23"/>
      <c r="S1987" s="23"/>
    </row>
    <row r="1988" spans="5:19" s="30" customFormat="1" ht="15.75" customHeight="1" x14ac:dyDescent="0.2">
      <c r="E1988" s="42"/>
      <c r="H1988" s="43"/>
      <c r="J1988" s="23"/>
      <c r="S1988" s="23"/>
    </row>
    <row r="1989" spans="5:19" s="30" customFormat="1" ht="15.75" customHeight="1" x14ac:dyDescent="0.2">
      <c r="E1989" s="42"/>
      <c r="H1989" s="43"/>
      <c r="J1989" s="23"/>
      <c r="S1989" s="23"/>
    </row>
    <row r="1990" spans="5:19" s="30" customFormat="1" ht="15.75" customHeight="1" x14ac:dyDescent="0.2">
      <c r="E1990" s="42"/>
      <c r="H1990" s="43"/>
      <c r="J1990" s="23"/>
      <c r="S1990" s="23"/>
    </row>
    <row r="1991" spans="5:19" s="30" customFormat="1" ht="15.75" customHeight="1" x14ac:dyDescent="0.2">
      <c r="E1991" s="42"/>
      <c r="H1991" s="43"/>
      <c r="J1991" s="23"/>
      <c r="S1991" s="23"/>
    </row>
    <row r="1992" spans="5:19" s="30" customFormat="1" ht="15.75" customHeight="1" x14ac:dyDescent="0.2">
      <c r="E1992" s="42"/>
      <c r="H1992" s="43"/>
      <c r="J1992" s="23"/>
      <c r="S1992" s="23"/>
    </row>
    <row r="1993" spans="5:19" s="30" customFormat="1" ht="15.75" customHeight="1" x14ac:dyDescent="0.2">
      <c r="E1993" s="42"/>
      <c r="H1993" s="43"/>
      <c r="J1993" s="23"/>
      <c r="S1993" s="23"/>
    </row>
    <row r="1994" spans="5:19" s="30" customFormat="1" ht="15.75" customHeight="1" x14ac:dyDescent="0.2">
      <c r="E1994" s="42"/>
      <c r="H1994" s="43"/>
      <c r="J1994" s="23"/>
      <c r="S1994" s="23"/>
    </row>
    <row r="1995" spans="5:19" s="30" customFormat="1" ht="15.75" customHeight="1" x14ac:dyDescent="0.2">
      <c r="E1995" s="42"/>
      <c r="H1995" s="43"/>
      <c r="J1995" s="23"/>
      <c r="S1995" s="23"/>
    </row>
    <row r="1996" spans="5:19" s="30" customFormat="1" ht="15.75" customHeight="1" x14ac:dyDescent="0.2">
      <c r="E1996" s="42"/>
      <c r="H1996" s="43"/>
      <c r="J1996" s="23"/>
      <c r="S1996" s="23"/>
    </row>
    <row r="1997" spans="5:19" s="30" customFormat="1" ht="15.75" customHeight="1" x14ac:dyDescent="0.2">
      <c r="E1997" s="42"/>
      <c r="H1997" s="43"/>
      <c r="J1997" s="23"/>
      <c r="S1997" s="23"/>
    </row>
    <row r="1998" spans="5:19" s="30" customFormat="1" ht="15.75" customHeight="1" x14ac:dyDescent="0.2">
      <c r="E1998" s="42"/>
      <c r="H1998" s="43"/>
      <c r="J1998" s="23"/>
      <c r="S1998" s="23"/>
    </row>
    <row r="1999" spans="5:19" s="30" customFormat="1" ht="15.75" customHeight="1" x14ac:dyDescent="0.2">
      <c r="E1999" s="42"/>
      <c r="H1999" s="43"/>
      <c r="J1999" s="23"/>
      <c r="S1999" s="23"/>
    </row>
    <row r="2000" spans="5:19" s="30" customFormat="1" ht="15.75" customHeight="1" x14ac:dyDescent="0.2">
      <c r="E2000" s="42"/>
      <c r="H2000" s="43"/>
      <c r="J2000" s="23"/>
      <c r="S2000" s="23"/>
    </row>
    <row r="2001" spans="5:19" s="30" customFormat="1" ht="15.75" customHeight="1" x14ac:dyDescent="0.2">
      <c r="E2001" s="42"/>
      <c r="H2001" s="43"/>
      <c r="J2001" s="23"/>
      <c r="S2001" s="23"/>
    </row>
    <row r="2002" spans="5:19" s="30" customFormat="1" ht="15.75" customHeight="1" x14ac:dyDescent="0.2">
      <c r="E2002" s="42"/>
      <c r="H2002" s="43"/>
      <c r="J2002" s="23"/>
      <c r="S2002" s="23"/>
    </row>
    <row r="2003" spans="5:19" s="30" customFormat="1" ht="15.75" customHeight="1" x14ac:dyDescent="0.2">
      <c r="E2003" s="42"/>
      <c r="H2003" s="43"/>
      <c r="J2003" s="23"/>
      <c r="S2003" s="23"/>
    </row>
    <row r="2004" spans="5:19" s="30" customFormat="1" ht="15.75" customHeight="1" x14ac:dyDescent="0.2">
      <c r="E2004" s="42"/>
      <c r="H2004" s="43"/>
      <c r="J2004" s="23"/>
      <c r="S2004" s="23"/>
    </row>
    <row r="2005" spans="5:19" s="30" customFormat="1" ht="15.75" customHeight="1" x14ac:dyDescent="0.2">
      <c r="E2005" s="42"/>
      <c r="H2005" s="43"/>
      <c r="J2005" s="23"/>
      <c r="S2005" s="23"/>
    </row>
    <row r="2006" spans="5:19" s="30" customFormat="1" ht="15.75" customHeight="1" x14ac:dyDescent="0.2">
      <c r="E2006" s="42"/>
      <c r="H2006" s="43"/>
      <c r="J2006" s="23"/>
      <c r="S2006" s="23"/>
    </row>
    <row r="2007" spans="5:19" s="30" customFormat="1" ht="15.75" customHeight="1" x14ac:dyDescent="0.2">
      <c r="E2007" s="42"/>
      <c r="H2007" s="43"/>
      <c r="J2007" s="23"/>
      <c r="S2007" s="23"/>
    </row>
    <row r="2008" spans="5:19" s="30" customFormat="1" ht="15.75" customHeight="1" x14ac:dyDescent="0.2">
      <c r="E2008" s="42"/>
      <c r="H2008" s="43"/>
      <c r="J2008" s="23"/>
      <c r="S2008" s="23"/>
    </row>
    <row r="2009" spans="5:19" s="30" customFormat="1" ht="15.75" customHeight="1" x14ac:dyDescent="0.2">
      <c r="E2009" s="42"/>
      <c r="H2009" s="43"/>
      <c r="J2009" s="23"/>
      <c r="S2009" s="23"/>
    </row>
    <row r="2010" spans="5:19" s="30" customFormat="1" ht="15.75" customHeight="1" x14ac:dyDescent="0.2">
      <c r="E2010" s="42"/>
      <c r="H2010" s="43"/>
      <c r="J2010" s="23"/>
      <c r="S2010" s="23"/>
    </row>
    <row r="2011" spans="5:19" s="30" customFormat="1" ht="15.75" customHeight="1" x14ac:dyDescent="0.2">
      <c r="E2011" s="42"/>
      <c r="H2011" s="43"/>
      <c r="J2011" s="23"/>
      <c r="S2011" s="23"/>
    </row>
    <row r="2012" spans="5:19" s="30" customFormat="1" ht="15.75" customHeight="1" x14ac:dyDescent="0.2">
      <c r="E2012" s="42"/>
      <c r="H2012" s="43"/>
      <c r="J2012" s="23"/>
      <c r="S2012" s="23"/>
    </row>
    <row r="2013" spans="5:19" s="30" customFormat="1" ht="15.75" customHeight="1" x14ac:dyDescent="0.2">
      <c r="E2013" s="42"/>
      <c r="H2013" s="43"/>
      <c r="J2013" s="23"/>
      <c r="S2013" s="23"/>
    </row>
    <row r="2014" spans="5:19" s="30" customFormat="1" ht="15.75" customHeight="1" x14ac:dyDescent="0.2">
      <c r="E2014" s="42"/>
      <c r="H2014" s="43"/>
      <c r="J2014" s="23"/>
      <c r="S2014" s="23"/>
    </row>
    <row r="2015" spans="5:19" s="30" customFormat="1" ht="15.75" customHeight="1" x14ac:dyDescent="0.2">
      <c r="E2015" s="42"/>
      <c r="H2015" s="43"/>
      <c r="J2015" s="23"/>
      <c r="S2015" s="23"/>
    </row>
    <row r="2016" spans="5:19" s="30" customFormat="1" ht="15.75" customHeight="1" x14ac:dyDescent="0.2">
      <c r="E2016" s="42"/>
      <c r="H2016" s="43"/>
      <c r="J2016" s="23"/>
      <c r="S2016" s="23"/>
    </row>
    <row r="2017" spans="5:19" s="30" customFormat="1" ht="15.75" customHeight="1" x14ac:dyDescent="0.2">
      <c r="E2017" s="42"/>
      <c r="H2017" s="43"/>
      <c r="J2017" s="23"/>
      <c r="S2017" s="23"/>
    </row>
    <row r="2018" spans="5:19" s="30" customFormat="1" ht="15.75" customHeight="1" x14ac:dyDescent="0.2">
      <c r="E2018" s="42"/>
      <c r="H2018" s="43"/>
      <c r="J2018" s="23"/>
      <c r="S2018" s="23"/>
    </row>
    <row r="2019" spans="5:19" s="30" customFormat="1" ht="15.75" customHeight="1" x14ac:dyDescent="0.2">
      <c r="E2019" s="42"/>
      <c r="H2019" s="43"/>
      <c r="J2019" s="23"/>
      <c r="S2019" s="23"/>
    </row>
    <row r="2020" spans="5:19" s="30" customFormat="1" ht="15.75" customHeight="1" x14ac:dyDescent="0.2">
      <c r="E2020" s="42"/>
      <c r="H2020" s="43"/>
      <c r="J2020" s="23"/>
      <c r="S2020" s="23"/>
    </row>
    <row r="2021" spans="5:19" s="30" customFormat="1" ht="15.75" customHeight="1" x14ac:dyDescent="0.2">
      <c r="E2021" s="42"/>
      <c r="H2021" s="43"/>
      <c r="J2021" s="23"/>
      <c r="S2021" s="23"/>
    </row>
    <row r="2022" spans="5:19" s="30" customFormat="1" ht="15.75" customHeight="1" x14ac:dyDescent="0.2">
      <c r="E2022" s="42"/>
      <c r="H2022" s="43"/>
      <c r="J2022" s="23"/>
      <c r="S2022" s="23"/>
    </row>
    <row r="2023" spans="5:19" s="30" customFormat="1" ht="15.75" customHeight="1" x14ac:dyDescent="0.2">
      <c r="E2023" s="42"/>
      <c r="H2023" s="43"/>
      <c r="J2023" s="23"/>
      <c r="S2023" s="23"/>
    </row>
    <row r="2024" spans="5:19" s="30" customFormat="1" ht="15.75" customHeight="1" x14ac:dyDescent="0.2">
      <c r="E2024" s="42"/>
      <c r="H2024" s="43"/>
      <c r="J2024" s="23"/>
      <c r="S2024" s="23"/>
    </row>
    <row r="2025" spans="5:19" s="30" customFormat="1" ht="15.75" customHeight="1" x14ac:dyDescent="0.2">
      <c r="E2025" s="42"/>
      <c r="H2025" s="43"/>
      <c r="J2025" s="23"/>
      <c r="S2025" s="23"/>
    </row>
    <row r="2026" spans="5:19" s="30" customFormat="1" ht="15.75" customHeight="1" x14ac:dyDescent="0.2">
      <c r="E2026" s="42"/>
      <c r="H2026" s="43"/>
      <c r="J2026" s="23"/>
      <c r="S2026" s="23"/>
    </row>
    <row r="2027" spans="5:19" s="30" customFormat="1" ht="15.75" customHeight="1" x14ac:dyDescent="0.2">
      <c r="E2027" s="42"/>
      <c r="H2027" s="43"/>
      <c r="J2027" s="23"/>
      <c r="S2027" s="23"/>
    </row>
    <row r="2028" spans="5:19" s="30" customFormat="1" ht="15.75" customHeight="1" x14ac:dyDescent="0.2">
      <c r="E2028" s="42"/>
      <c r="H2028" s="43"/>
      <c r="J2028" s="23"/>
      <c r="S2028" s="23"/>
    </row>
    <row r="2029" spans="5:19" s="30" customFormat="1" ht="15.75" customHeight="1" x14ac:dyDescent="0.2">
      <c r="E2029" s="42"/>
      <c r="H2029" s="43"/>
      <c r="J2029" s="23"/>
      <c r="S2029" s="23"/>
    </row>
    <row r="2030" spans="5:19" s="30" customFormat="1" ht="15.75" customHeight="1" x14ac:dyDescent="0.2">
      <c r="E2030" s="42"/>
      <c r="H2030" s="43"/>
      <c r="J2030" s="23"/>
      <c r="S2030" s="23"/>
    </row>
    <row r="2031" spans="5:19" s="30" customFormat="1" ht="15.75" customHeight="1" x14ac:dyDescent="0.2">
      <c r="E2031" s="42"/>
      <c r="H2031" s="43"/>
      <c r="J2031" s="23"/>
      <c r="S2031" s="23"/>
    </row>
    <row r="2032" spans="5:19" s="30" customFormat="1" ht="15.75" customHeight="1" x14ac:dyDescent="0.2">
      <c r="E2032" s="42"/>
      <c r="H2032" s="43"/>
      <c r="J2032" s="23"/>
      <c r="S2032" s="23"/>
    </row>
    <row r="2033" spans="5:19" s="30" customFormat="1" ht="15.75" customHeight="1" x14ac:dyDescent="0.2">
      <c r="E2033" s="42"/>
      <c r="H2033" s="43"/>
      <c r="J2033" s="23"/>
      <c r="S2033" s="23"/>
    </row>
    <row r="2034" spans="5:19" s="30" customFormat="1" ht="15.75" customHeight="1" x14ac:dyDescent="0.2">
      <c r="E2034" s="42"/>
      <c r="H2034" s="43"/>
      <c r="J2034" s="23"/>
      <c r="S2034" s="23"/>
    </row>
    <row r="2035" spans="5:19" s="30" customFormat="1" ht="15.75" customHeight="1" x14ac:dyDescent="0.2">
      <c r="E2035" s="42"/>
      <c r="H2035" s="43"/>
      <c r="J2035" s="23"/>
      <c r="S2035" s="23"/>
    </row>
    <row r="2036" spans="5:19" s="30" customFormat="1" ht="15.75" customHeight="1" x14ac:dyDescent="0.2">
      <c r="E2036" s="42"/>
      <c r="H2036" s="43"/>
      <c r="J2036" s="23"/>
      <c r="S2036" s="23"/>
    </row>
    <row r="2037" spans="5:19" s="30" customFormat="1" ht="15.75" customHeight="1" x14ac:dyDescent="0.2">
      <c r="E2037" s="42"/>
      <c r="H2037" s="43"/>
      <c r="J2037" s="23"/>
      <c r="S2037" s="23"/>
    </row>
    <row r="2038" spans="5:19" s="30" customFormat="1" ht="15.75" customHeight="1" x14ac:dyDescent="0.2">
      <c r="E2038" s="42"/>
      <c r="H2038" s="43"/>
      <c r="J2038" s="23"/>
      <c r="S2038" s="23"/>
    </row>
    <row r="2039" spans="5:19" s="30" customFormat="1" ht="15.75" customHeight="1" x14ac:dyDescent="0.2">
      <c r="E2039" s="42"/>
      <c r="H2039" s="43"/>
      <c r="J2039" s="23"/>
      <c r="S2039" s="23"/>
    </row>
    <row r="2040" spans="5:19" s="30" customFormat="1" ht="15.75" customHeight="1" x14ac:dyDescent="0.2">
      <c r="E2040" s="42"/>
      <c r="H2040" s="43"/>
      <c r="J2040" s="23"/>
      <c r="S2040" s="23"/>
    </row>
    <row r="2041" spans="5:19" s="30" customFormat="1" ht="15.75" customHeight="1" x14ac:dyDescent="0.2">
      <c r="E2041" s="42"/>
      <c r="H2041" s="43"/>
      <c r="J2041" s="23"/>
      <c r="S2041" s="23"/>
    </row>
    <row r="2042" spans="5:19" s="30" customFormat="1" ht="15.75" customHeight="1" x14ac:dyDescent="0.2">
      <c r="E2042" s="42"/>
      <c r="H2042" s="43"/>
      <c r="J2042" s="23"/>
      <c r="S2042" s="23"/>
    </row>
    <row r="2043" spans="5:19" s="30" customFormat="1" ht="15.75" customHeight="1" x14ac:dyDescent="0.2">
      <c r="E2043" s="42"/>
      <c r="H2043" s="43"/>
      <c r="J2043" s="23"/>
      <c r="S2043" s="23"/>
    </row>
    <row r="2044" spans="5:19" s="30" customFormat="1" ht="15.75" customHeight="1" x14ac:dyDescent="0.2">
      <c r="E2044" s="42"/>
      <c r="H2044" s="43"/>
      <c r="J2044" s="23"/>
      <c r="S2044" s="23"/>
    </row>
    <row r="2045" spans="5:19" s="30" customFormat="1" ht="15.75" customHeight="1" x14ac:dyDescent="0.2">
      <c r="E2045" s="42"/>
      <c r="H2045" s="43"/>
      <c r="J2045" s="23"/>
      <c r="S2045" s="23"/>
    </row>
    <row r="2046" spans="5:19" s="30" customFormat="1" ht="15.75" customHeight="1" x14ac:dyDescent="0.2">
      <c r="E2046" s="42"/>
      <c r="H2046" s="43"/>
      <c r="J2046" s="23"/>
      <c r="S2046" s="23"/>
    </row>
    <row r="2047" spans="5:19" s="30" customFormat="1" ht="15.75" customHeight="1" x14ac:dyDescent="0.2">
      <c r="E2047" s="42"/>
      <c r="H2047" s="43"/>
      <c r="J2047" s="23"/>
      <c r="S2047" s="23"/>
    </row>
    <row r="2048" spans="5:19" s="30" customFormat="1" ht="15.75" customHeight="1" x14ac:dyDescent="0.2">
      <c r="E2048" s="42"/>
      <c r="H2048" s="43"/>
      <c r="J2048" s="23"/>
      <c r="S2048" s="23"/>
    </row>
    <row r="2049" spans="5:19" s="30" customFormat="1" ht="15.75" customHeight="1" x14ac:dyDescent="0.2">
      <c r="E2049" s="42"/>
      <c r="H2049" s="43"/>
      <c r="J2049" s="23"/>
      <c r="S2049" s="23"/>
    </row>
    <row r="2050" spans="5:19" s="30" customFormat="1" ht="15.75" customHeight="1" x14ac:dyDescent="0.2">
      <c r="E2050" s="42"/>
      <c r="H2050" s="43"/>
      <c r="J2050" s="23"/>
      <c r="S2050" s="23"/>
    </row>
    <row r="2051" spans="5:19" s="30" customFormat="1" ht="15.75" customHeight="1" x14ac:dyDescent="0.2">
      <c r="E2051" s="42"/>
      <c r="H2051" s="43"/>
      <c r="J2051" s="23"/>
      <c r="S2051" s="23"/>
    </row>
    <row r="2052" spans="5:19" s="30" customFormat="1" ht="15.75" customHeight="1" x14ac:dyDescent="0.2">
      <c r="E2052" s="42"/>
      <c r="H2052" s="43"/>
      <c r="J2052" s="23"/>
      <c r="S2052" s="23"/>
    </row>
    <row r="2053" spans="5:19" s="30" customFormat="1" ht="15.75" customHeight="1" x14ac:dyDescent="0.2">
      <c r="E2053" s="42"/>
      <c r="H2053" s="43"/>
      <c r="J2053" s="23"/>
      <c r="S2053" s="23"/>
    </row>
    <row r="2054" spans="5:19" s="30" customFormat="1" ht="15.75" customHeight="1" x14ac:dyDescent="0.2">
      <c r="E2054" s="42"/>
      <c r="H2054" s="43"/>
      <c r="J2054" s="23"/>
      <c r="S2054" s="23"/>
    </row>
    <row r="2055" spans="5:19" s="30" customFormat="1" ht="15.75" customHeight="1" x14ac:dyDescent="0.2">
      <c r="E2055" s="42"/>
      <c r="H2055" s="43"/>
      <c r="J2055" s="23"/>
      <c r="S2055" s="23"/>
    </row>
    <row r="2056" spans="5:19" s="30" customFormat="1" ht="15.75" customHeight="1" x14ac:dyDescent="0.2">
      <c r="E2056" s="42"/>
      <c r="H2056" s="43"/>
      <c r="J2056" s="23"/>
      <c r="S2056" s="23"/>
    </row>
    <row r="2057" spans="5:19" s="30" customFormat="1" ht="15.75" customHeight="1" x14ac:dyDescent="0.2">
      <c r="E2057" s="42"/>
      <c r="H2057" s="43"/>
      <c r="J2057" s="23"/>
      <c r="S2057" s="23"/>
    </row>
    <row r="2058" spans="5:19" s="30" customFormat="1" ht="15.75" customHeight="1" x14ac:dyDescent="0.2">
      <c r="E2058" s="42"/>
      <c r="H2058" s="43"/>
      <c r="J2058" s="23"/>
      <c r="S2058" s="23"/>
    </row>
    <row r="2059" spans="5:19" s="30" customFormat="1" ht="15.75" customHeight="1" x14ac:dyDescent="0.2">
      <c r="E2059" s="42"/>
      <c r="H2059" s="43"/>
      <c r="J2059" s="23"/>
      <c r="S2059" s="23"/>
    </row>
    <row r="2060" spans="5:19" s="30" customFormat="1" ht="15.75" customHeight="1" x14ac:dyDescent="0.2">
      <c r="E2060" s="42"/>
      <c r="H2060" s="43"/>
      <c r="J2060" s="23"/>
      <c r="S2060" s="23"/>
    </row>
    <row r="2061" spans="5:19" s="30" customFormat="1" ht="15.75" customHeight="1" x14ac:dyDescent="0.2">
      <c r="E2061" s="42"/>
      <c r="H2061" s="43"/>
      <c r="J2061" s="23"/>
      <c r="S2061" s="23"/>
    </row>
    <row r="2062" spans="5:19" s="30" customFormat="1" ht="15.75" customHeight="1" x14ac:dyDescent="0.2">
      <c r="E2062" s="42"/>
      <c r="H2062" s="43"/>
      <c r="J2062" s="23"/>
      <c r="S2062" s="23"/>
    </row>
    <row r="2063" spans="5:19" s="30" customFormat="1" ht="15.75" customHeight="1" x14ac:dyDescent="0.2">
      <c r="E2063" s="42"/>
      <c r="H2063" s="43"/>
      <c r="J2063" s="23"/>
      <c r="S2063" s="23"/>
    </row>
    <row r="2064" spans="5:19" s="30" customFormat="1" ht="15.75" customHeight="1" x14ac:dyDescent="0.2">
      <c r="E2064" s="42"/>
      <c r="H2064" s="43"/>
      <c r="J2064" s="23"/>
      <c r="S2064" s="23"/>
    </row>
    <row r="2065" spans="5:19" s="30" customFormat="1" ht="15.75" customHeight="1" x14ac:dyDescent="0.2">
      <c r="E2065" s="42"/>
      <c r="H2065" s="43"/>
      <c r="J2065" s="23"/>
      <c r="S2065" s="23"/>
    </row>
    <row r="2066" spans="5:19" s="30" customFormat="1" ht="15.75" customHeight="1" x14ac:dyDescent="0.2">
      <c r="E2066" s="42"/>
      <c r="H2066" s="43"/>
      <c r="J2066" s="23"/>
      <c r="S2066" s="23"/>
    </row>
    <row r="2067" spans="5:19" s="30" customFormat="1" ht="15.75" customHeight="1" x14ac:dyDescent="0.2">
      <c r="E2067" s="42"/>
      <c r="H2067" s="43"/>
      <c r="J2067" s="23"/>
      <c r="S2067" s="23"/>
    </row>
    <row r="2068" spans="5:19" s="30" customFormat="1" ht="15.75" customHeight="1" x14ac:dyDescent="0.2">
      <c r="E2068" s="42"/>
      <c r="H2068" s="43"/>
      <c r="J2068" s="23"/>
      <c r="S2068" s="23"/>
    </row>
    <row r="2069" spans="5:19" s="30" customFormat="1" ht="15.75" customHeight="1" x14ac:dyDescent="0.2">
      <c r="E2069" s="42"/>
      <c r="H2069" s="43"/>
      <c r="J2069" s="23"/>
      <c r="S2069" s="23"/>
    </row>
    <row r="2070" spans="5:19" s="30" customFormat="1" ht="15.75" customHeight="1" x14ac:dyDescent="0.2">
      <c r="E2070" s="42"/>
      <c r="H2070" s="43"/>
      <c r="J2070" s="23"/>
      <c r="S2070" s="23"/>
    </row>
    <row r="2071" spans="5:19" s="30" customFormat="1" ht="15.75" customHeight="1" x14ac:dyDescent="0.2">
      <c r="E2071" s="42"/>
      <c r="H2071" s="43"/>
      <c r="J2071" s="23"/>
      <c r="S2071" s="23"/>
    </row>
    <row r="2072" spans="5:19" s="30" customFormat="1" ht="15.75" customHeight="1" x14ac:dyDescent="0.2">
      <c r="E2072" s="42"/>
      <c r="H2072" s="43"/>
      <c r="J2072" s="23"/>
      <c r="S2072" s="23"/>
    </row>
    <row r="2073" spans="5:19" s="30" customFormat="1" ht="15.75" customHeight="1" x14ac:dyDescent="0.2">
      <c r="E2073" s="42"/>
      <c r="H2073" s="43"/>
      <c r="J2073" s="23"/>
      <c r="S2073" s="23"/>
    </row>
    <row r="2074" spans="5:19" s="30" customFormat="1" ht="15.75" customHeight="1" x14ac:dyDescent="0.2">
      <c r="E2074" s="42"/>
      <c r="H2074" s="43"/>
      <c r="J2074" s="23"/>
      <c r="S2074" s="23"/>
    </row>
    <row r="2075" spans="5:19" s="30" customFormat="1" ht="15.75" customHeight="1" x14ac:dyDescent="0.2">
      <c r="E2075" s="42"/>
      <c r="H2075" s="43"/>
      <c r="J2075" s="23"/>
      <c r="S2075" s="23"/>
    </row>
    <row r="2076" spans="5:19" s="30" customFormat="1" ht="15.75" customHeight="1" x14ac:dyDescent="0.2">
      <c r="E2076" s="42"/>
      <c r="H2076" s="43"/>
      <c r="J2076" s="23"/>
      <c r="S2076" s="23"/>
    </row>
    <row r="2077" spans="5:19" s="30" customFormat="1" ht="15.75" customHeight="1" x14ac:dyDescent="0.2">
      <c r="E2077" s="42"/>
      <c r="H2077" s="43"/>
      <c r="J2077" s="23"/>
      <c r="S2077" s="23"/>
    </row>
    <row r="2078" spans="5:19" s="30" customFormat="1" ht="15.75" customHeight="1" x14ac:dyDescent="0.2">
      <c r="E2078" s="42"/>
      <c r="H2078" s="43"/>
      <c r="J2078" s="23"/>
      <c r="S2078" s="23"/>
    </row>
    <row r="2079" spans="5:19" s="30" customFormat="1" ht="15.75" customHeight="1" x14ac:dyDescent="0.2">
      <c r="E2079" s="42"/>
      <c r="H2079" s="43"/>
      <c r="J2079" s="23"/>
      <c r="S2079" s="23"/>
    </row>
    <row r="2080" spans="5:19" s="30" customFormat="1" ht="15.75" customHeight="1" x14ac:dyDescent="0.2">
      <c r="E2080" s="42"/>
      <c r="H2080" s="43"/>
      <c r="J2080" s="23"/>
      <c r="S2080" s="23"/>
    </row>
    <row r="2081" spans="5:19" s="30" customFormat="1" ht="15.75" customHeight="1" x14ac:dyDescent="0.2">
      <c r="E2081" s="42"/>
      <c r="H2081" s="43"/>
      <c r="J2081" s="23"/>
      <c r="S2081" s="23"/>
    </row>
    <row r="2082" spans="5:19" s="30" customFormat="1" ht="15.75" customHeight="1" x14ac:dyDescent="0.2">
      <c r="E2082" s="42"/>
      <c r="H2082" s="43"/>
      <c r="J2082" s="23"/>
      <c r="S2082" s="23"/>
    </row>
    <row r="2083" spans="5:19" s="30" customFormat="1" ht="15.75" customHeight="1" x14ac:dyDescent="0.2">
      <c r="E2083" s="42"/>
      <c r="H2083" s="43"/>
      <c r="J2083" s="23"/>
      <c r="S2083" s="23"/>
    </row>
    <row r="2084" spans="5:19" s="30" customFormat="1" ht="15.75" customHeight="1" x14ac:dyDescent="0.2">
      <c r="E2084" s="42"/>
      <c r="H2084" s="43"/>
      <c r="J2084" s="23"/>
      <c r="S2084" s="23"/>
    </row>
    <row r="2085" spans="5:19" s="30" customFormat="1" ht="15.75" customHeight="1" x14ac:dyDescent="0.2">
      <c r="E2085" s="42"/>
      <c r="H2085" s="43"/>
      <c r="J2085" s="23"/>
      <c r="S2085" s="23"/>
    </row>
    <row r="2086" spans="5:19" s="30" customFormat="1" ht="15.75" customHeight="1" x14ac:dyDescent="0.2">
      <c r="E2086" s="42"/>
      <c r="H2086" s="43"/>
      <c r="J2086" s="23"/>
      <c r="S2086" s="23"/>
    </row>
    <row r="2087" spans="5:19" s="30" customFormat="1" ht="15.75" customHeight="1" x14ac:dyDescent="0.2">
      <c r="E2087" s="42"/>
      <c r="H2087" s="43"/>
      <c r="J2087" s="23"/>
      <c r="S2087" s="23"/>
    </row>
    <row r="2088" spans="5:19" s="30" customFormat="1" ht="15.75" customHeight="1" x14ac:dyDescent="0.2">
      <c r="E2088" s="42"/>
      <c r="H2088" s="43"/>
      <c r="J2088" s="23"/>
      <c r="S2088" s="23"/>
    </row>
    <row r="2089" spans="5:19" s="30" customFormat="1" ht="15.75" customHeight="1" x14ac:dyDescent="0.2">
      <c r="E2089" s="42"/>
      <c r="H2089" s="43"/>
      <c r="J2089" s="23"/>
      <c r="S2089" s="23"/>
    </row>
    <row r="2090" spans="5:19" s="30" customFormat="1" ht="15.75" customHeight="1" x14ac:dyDescent="0.2">
      <c r="E2090" s="42"/>
      <c r="H2090" s="43"/>
      <c r="J2090" s="23"/>
      <c r="S2090" s="23"/>
    </row>
    <row r="2091" spans="5:19" s="30" customFormat="1" ht="15.75" customHeight="1" x14ac:dyDescent="0.2">
      <c r="E2091" s="42"/>
      <c r="H2091" s="43"/>
      <c r="J2091" s="23"/>
      <c r="S2091" s="23"/>
    </row>
    <row r="2092" spans="5:19" s="30" customFormat="1" ht="15.75" customHeight="1" x14ac:dyDescent="0.2">
      <c r="E2092" s="42"/>
      <c r="H2092" s="43"/>
      <c r="J2092" s="23"/>
      <c r="S2092" s="23"/>
    </row>
    <row r="2093" spans="5:19" s="30" customFormat="1" ht="15.75" customHeight="1" x14ac:dyDescent="0.2">
      <c r="E2093" s="42"/>
      <c r="H2093" s="43"/>
      <c r="J2093" s="23"/>
      <c r="S2093" s="23"/>
    </row>
    <row r="2094" spans="5:19" s="30" customFormat="1" ht="15.75" customHeight="1" x14ac:dyDescent="0.2">
      <c r="E2094" s="42"/>
      <c r="H2094" s="43"/>
      <c r="J2094" s="23"/>
      <c r="S2094" s="23"/>
    </row>
    <row r="2095" spans="5:19" s="30" customFormat="1" ht="15.75" customHeight="1" x14ac:dyDescent="0.2">
      <c r="E2095" s="42"/>
      <c r="H2095" s="43"/>
      <c r="J2095" s="23"/>
      <c r="S2095" s="23"/>
    </row>
    <row r="2096" spans="5:19" s="30" customFormat="1" ht="15.75" customHeight="1" x14ac:dyDescent="0.2">
      <c r="E2096" s="42"/>
      <c r="H2096" s="43"/>
      <c r="J2096" s="23"/>
      <c r="S2096" s="23"/>
    </row>
    <row r="2097" spans="5:19" s="30" customFormat="1" ht="15.75" customHeight="1" x14ac:dyDescent="0.2">
      <c r="E2097" s="42"/>
      <c r="H2097" s="43"/>
      <c r="J2097" s="23"/>
      <c r="S2097" s="23"/>
    </row>
    <row r="2098" spans="5:19" s="30" customFormat="1" ht="15.75" customHeight="1" x14ac:dyDescent="0.2">
      <c r="E2098" s="42"/>
      <c r="H2098" s="43"/>
      <c r="J2098" s="23"/>
      <c r="S2098" s="23"/>
    </row>
    <row r="2099" spans="5:19" s="30" customFormat="1" ht="15.75" customHeight="1" x14ac:dyDescent="0.2">
      <c r="E2099" s="42"/>
      <c r="H2099" s="43"/>
      <c r="J2099" s="23"/>
      <c r="S2099" s="23"/>
    </row>
    <row r="2100" spans="5:19" s="30" customFormat="1" ht="15.75" customHeight="1" x14ac:dyDescent="0.2">
      <c r="E2100" s="42"/>
      <c r="H2100" s="43"/>
      <c r="J2100" s="23"/>
      <c r="S2100" s="23"/>
    </row>
    <row r="2101" spans="5:19" s="30" customFormat="1" ht="15.75" customHeight="1" x14ac:dyDescent="0.2">
      <c r="E2101" s="42"/>
      <c r="H2101" s="43"/>
      <c r="J2101" s="23"/>
      <c r="S2101" s="23"/>
    </row>
    <row r="2102" spans="5:19" s="30" customFormat="1" ht="15.75" customHeight="1" x14ac:dyDescent="0.2">
      <c r="E2102" s="42"/>
      <c r="H2102" s="43"/>
      <c r="J2102" s="23"/>
      <c r="S2102" s="23"/>
    </row>
    <row r="2103" spans="5:19" s="30" customFormat="1" ht="15.75" customHeight="1" x14ac:dyDescent="0.2">
      <c r="E2103" s="42"/>
      <c r="H2103" s="43"/>
      <c r="J2103" s="23"/>
      <c r="S2103" s="23"/>
    </row>
    <row r="2104" spans="5:19" s="30" customFormat="1" ht="15.75" customHeight="1" x14ac:dyDescent="0.2">
      <c r="E2104" s="42"/>
      <c r="H2104" s="43"/>
      <c r="J2104" s="23"/>
      <c r="S2104" s="23"/>
    </row>
    <row r="2105" spans="5:19" s="30" customFormat="1" ht="15.75" customHeight="1" x14ac:dyDescent="0.2">
      <c r="E2105" s="42"/>
      <c r="H2105" s="43"/>
      <c r="J2105" s="23"/>
      <c r="S2105" s="23"/>
    </row>
    <row r="2106" spans="5:19" s="30" customFormat="1" ht="15.75" customHeight="1" x14ac:dyDescent="0.2">
      <c r="E2106" s="42"/>
      <c r="H2106" s="43"/>
      <c r="J2106" s="23"/>
      <c r="S2106" s="23"/>
    </row>
    <row r="2107" spans="5:19" s="30" customFormat="1" ht="15.75" customHeight="1" x14ac:dyDescent="0.2">
      <c r="E2107" s="42"/>
      <c r="H2107" s="43"/>
      <c r="J2107" s="23"/>
      <c r="S2107" s="23"/>
    </row>
    <row r="2108" spans="5:19" s="30" customFormat="1" ht="15.75" customHeight="1" x14ac:dyDescent="0.2">
      <c r="E2108" s="42"/>
      <c r="H2108" s="43"/>
      <c r="J2108" s="23"/>
      <c r="S2108" s="23"/>
    </row>
    <row r="2109" spans="5:19" s="30" customFormat="1" ht="15.75" customHeight="1" x14ac:dyDescent="0.2">
      <c r="E2109" s="42"/>
      <c r="H2109" s="43"/>
      <c r="J2109" s="23"/>
      <c r="S2109" s="23"/>
    </row>
    <row r="2110" spans="5:19" s="30" customFormat="1" ht="15.75" customHeight="1" x14ac:dyDescent="0.2">
      <c r="E2110" s="42"/>
      <c r="H2110" s="43"/>
      <c r="J2110" s="23"/>
      <c r="S2110" s="23"/>
    </row>
    <row r="2111" spans="5:19" s="30" customFormat="1" ht="15.75" customHeight="1" x14ac:dyDescent="0.2">
      <c r="E2111" s="42"/>
      <c r="H2111" s="43"/>
      <c r="J2111" s="23"/>
      <c r="S2111" s="23"/>
    </row>
    <row r="2112" spans="5:19" s="30" customFormat="1" ht="15.75" customHeight="1" x14ac:dyDescent="0.2">
      <c r="E2112" s="42"/>
      <c r="H2112" s="43"/>
      <c r="J2112" s="23"/>
      <c r="S2112" s="23"/>
    </row>
    <row r="2113" spans="5:19" s="30" customFormat="1" ht="15.75" customHeight="1" x14ac:dyDescent="0.2">
      <c r="E2113" s="42"/>
      <c r="H2113" s="43"/>
      <c r="J2113" s="23"/>
      <c r="S2113" s="23"/>
    </row>
    <row r="2114" spans="5:19" s="30" customFormat="1" ht="15.75" customHeight="1" x14ac:dyDescent="0.2">
      <c r="E2114" s="42"/>
      <c r="H2114" s="43"/>
      <c r="J2114" s="23"/>
      <c r="S2114" s="23"/>
    </row>
    <row r="2115" spans="5:19" s="30" customFormat="1" ht="15.75" customHeight="1" x14ac:dyDescent="0.2">
      <c r="E2115" s="42"/>
      <c r="H2115" s="43"/>
      <c r="J2115" s="23"/>
      <c r="S2115" s="23"/>
    </row>
    <row r="2116" spans="5:19" s="30" customFormat="1" ht="15.75" customHeight="1" x14ac:dyDescent="0.2">
      <c r="E2116" s="42"/>
      <c r="H2116" s="43"/>
      <c r="J2116" s="23"/>
      <c r="S2116" s="23"/>
    </row>
    <row r="2117" spans="5:19" s="30" customFormat="1" ht="15.75" customHeight="1" x14ac:dyDescent="0.2">
      <c r="E2117" s="42"/>
      <c r="H2117" s="43"/>
      <c r="J2117" s="23"/>
      <c r="S2117" s="23"/>
    </row>
    <row r="2118" spans="5:19" s="30" customFormat="1" ht="15.75" customHeight="1" x14ac:dyDescent="0.2">
      <c r="E2118" s="42"/>
      <c r="H2118" s="43"/>
      <c r="J2118" s="23"/>
      <c r="S2118" s="23"/>
    </row>
    <row r="2119" spans="5:19" s="30" customFormat="1" ht="15.75" customHeight="1" x14ac:dyDescent="0.2">
      <c r="E2119" s="42"/>
      <c r="H2119" s="43"/>
      <c r="J2119" s="23"/>
      <c r="S2119" s="23"/>
    </row>
    <row r="2120" spans="5:19" s="30" customFormat="1" ht="15.75" customHeight="1" x14ac:dyDescent="0.2">
      <c r="E2120" s="42"/>
      <c r="H2120" s="43"/>
      <c r="J2120" s="23"/>
      <c r="S2120" s="23"/>
    </row>
    <row r="2121" spans="5:19" s="30" customFormat="1" ht="15.75" customHeight="1" x14ac:dyDescent="0.2">
      <c r="E2121" s="42"/>
      <c r="H2121" s="43"/>
      <c r="J2121" s="23"/>
      <c r="S2121" s="23"/>
    </row>
    <row r="2122" spans="5:19" s="30" customFormat="1" ht="15.75" customHeight="1" x14ac:dyDescent="0.2">
      <c r="E2122" s="42"/>
      <c r="H2122" s="43"/>
      <c r="J2122" s="23"/>
      <c r="S2122" s="23"/>
    </row>
    <row r="2123" spans="5:19" s="30" customFormat="1" ht="15.75" customHeight="1" x14ac:dyDescent="0.2">
      <c r="E2123" s="42"/>
      <c r="H2123" s="43"/>
      <c r="J2123" s="23"/>
      <c r="S2123" s="23"/>
    </row>
    <row r="2124" spans="5:19" s="30" customFormat="1" ht="15.75" customHeight="1" x14ac:dyDescent="0.2">
      <c r="E2124" s="42"/>
      <c r="H2124" s="43"/>
      <c r="J2124" s="23"/>
      <c r="S2124" s="23"/>
    </row>
    <row r="2125" spans="5:19" s="30" customFormat="1" ht="15.75" customHeight="1" x14ac:dyDescent="0.2">
      <c r="E2125" s="42"/>
      <c r="H2125" s="43"/>
      <c r="J2125" s="23"/>
      <c r="S2125" s="23"/>
    </row>
    <row r="2126" spans="5:19" s="30" customFormat="1" ht="15.75" customHeight="1" x14ac:dyDescent="0.2">
      <c r="E2126" s="42"/>
      <c r="H2126" s="43"/>
      <c r="J2126" s="23"/>
      <c r="S2126" s="23"/>
    </row>
    <row r="2127" spans="5:19" s="30" customFormat="1" ht="15.75" customHeight="1" x14ac:dyDescent="0.2">
      <c r="E2127" s="42"/>
      <c r="H2127" s="43"/>
      <c r="J2127" s="23"/>
      <c r="S2127" s="23"/>
    </row>
    <row r="2128" spans="5:19" s="30" customFormat="1" ht="15.75" customHeight="1" x14ac:dyDescent="0.2">
      <c r="E2128" s="42"/>
      <c r="H2128" s="43"/>
      <c r="J2128" s="23"/>
      <c r="S2128" s="23"/>
    </row>
    <row r="2129" spans="5:19" s="30" customFormat="1" ht="15.75" customHeight="1" x14ac:dyDescent="0.2">
      <c r="E2129" s="42"/>
      <c r="H2129" s="43"/>
      <c r="J2129" s="23"/>
      <c r="S2129" s="23"/>
    </row>
    <row r="2130" spans="5:19" s="30" customFormat="1" ht="15.75" customHeight="1" x14ac:dyDescent="0.2">
      <c r="E2130" s="42"/>
      <c r="H2130" s="43"/>
      <c r="J2130" s="23"/>
      <c r="S2130" s="23"/>
    </row>
    <row r="2131" spans="5:19" s="30" customFormat="1" ht="15.75" customHeight="1" x14ac:dyDescent="0.2">
      <c r="E2131" s="42"/>
      <c r="H2131" s="43"/>
      <c r="J2131" s="23"/>
      <c r="S2131" s="23"/>
    </row>
    <row r="2132" spans="5:19" s="30" customFormat="1" ht="15.75" customHeight="1" x14ac:dyDescent="0.2">
      <c r="E2132" s="42"/>
      <c r="H2132" s="43"/>
      <c r="J2132" s="23"/>
      <c r="S2132" s="23"/>
    </row>
    <row r="2133" spans="5:19" s="30" customFormat="1" ht="15.75" customHeight="1" x14ac:dyDescent="0.2">
      <c r="E2133" s="42"/>
      <c r="H2133" s="43"/>
      <c r="J2133" s="23"/>
      <c r="S2133" s="23"/>
    </row>
    <row r="2134" spans="5:19" s="30" customFormat="1" ht="15.75" customHeight="1" x14ac:dyDescent="0.2">
      <c r="E2134" s="42"/>
      <c r="H2134" s="43"/>
      <c r="J2134" s="23"/>
      <c r="S2134" s="23"/>
    </row>
    <row r="2135" spans="5:19" s="30" customFormat="1" ht="15.75" customHeight="1" x14ac:dyDescent="0.2">
      <c r="E2135" s="42"/>
      <c r="H2135" s="43"/>
      <c r="J2135" s="23"/>
      <c r="S2135" s="23"/>
    </row>
    <row r="2136" spans="5:19" s="30" customFormat="1" ht="15.75" customHeight="1" x14ac:dyDescent="0.2">
      <c r="E2136" s="42"/>
      <c r="H2136" s="43"/>
      <c r="J2136" s="23"/>
      <c r="S2136" s="23"/>
    </row>
    <row r="2137" spans="5:19" s="30" customFormat="1" ht="15.75" customHeight="1" x14ac:dyDescent="0.2">
      <c r="E2137" s="42"/>
      <c r="H2137" s="43"/>
      <c r="J2137" s="23"/>
      <c r="S2137" s="23"/>
    </row>
    <row r="2138" spans="5:19" s="30" customFormat="1" ht="15.75" customHeight="1" x14ac:dyDescent="0.2">
      <c r="E2138" s="42"/>
      <c r="H2138" s="43"/>
      <c r="J2138" s="23"/>
      <c r="S2138" s="23"/>
    </row>
    <row r="2139" spans="5:19" s="30" customFormat="1" ht="15.75" customHeight="1" x14ac:dyDescent="0.2">
      <c r="E2139" s="42"/>
      <c r="H2139" s="43"/>
      <c r="J2139" s="23"/>
      <c r="S2139" s="23"/>
    </row>
    <row r="2140" spans="5:19" s="30" customFormat="1" ht="15.75" customHeight="1" x14ac:dyDescent="0.2">
      <c r="E2140" s="42"/>
      <c r="H2140" s="43"/>
      <c r="J2140" s="23"/>
      <c r="S2140" s="23"/>
    </row>
    <row r="2141" spans="5:19" s="30" customFormat="1" ht="15.75" customHeight="1" x14ac:dyDescent="0.2">
      <c r="E2141" s="42"/>
      <c r="H2141" s="43"/>
      <c r="J2141" s="23"/>
      <c r="S2141" s="23"/>
    </row>
    <row r="2142" spans="5:19" s="30" customFormat="1" ht="15.75" customHeight="1" x14ac:dyDescent="0.2">
      <c r="E2142" s="42"/>
      <c r="H2142" s="43"/>
      <c r="J2142" s="23"/>
      <c r="S2142" s="23"/>
    </row>
    <row r="2143" spans="5:19" s="30" customFormat="1" ht="15.75" customHeight="1" x14ac:dyDescent="0.2">
      <c r="E2143" s="42"/>
      <c r="H2143" s="43"/>
      <c r="J2143" s="23"/>
      <c r="S2143" s="23"/>
    </row>
    <row r="2144" spans="5:19" s="30" customFormat="1" ht="15.75" customHeight="1" x14ac:dyDescent="0.2">
      <c r="E2144" s="42"/>
      <c r="H2144" s="43"/>
      <c r="J2144" s="23"/>
      <c r="S2144" s="23"/>
    </row>
    <row r="2145" spans="5:19" s="30" customFormat="1" ht="15.75" customHeight="1" x14ac:dyDescent="0.2">
      <c r="E2145" s="42"/>
      <c r="H2145" s="43"/>
      <c r="J2145" s="23"/>
      <c r="S2145" s="23"/>
    </row>
    <row r="2146" spans="5:19" s="30" customFormat="1" ht="15.75" customHeight="1" x14ac:dyDescent="0.2">
      <c r="E2146" s="42"/>
      <c r="H2146" s="43"/>
      <c r="J2146" s="23"/>
      <c r="S2146" s="23"/>
    </row>
    <row r="2147" spans="5:19" s="30" customFormat="1" ht="15.75" customHeight="1" x14ac:dyDescent="0.2">
      <c r="E2147" s="42"/>
      <c r="H2147" s="43"/>
      <c r="J2147" s="23"/>
      <c r="S2147" s="23"/>
    </row>
    <row r="2148" spans="5:19" s="30" customFormat="1" ht="15.75" customHeight="1" x14ac:dyDescent="0.2">
      <c r="E2148" s="42"/>
      <c r="H2148" s="43"/>
      <c r="J2148" s="23"/>
      <c r="S2148" s="23"/>
    </row>
    <row r="2149" spans="5:19" s="30" customFormat="1" ht="15.75" customHeight="1" x14ac:dyDescent="0.2">
      <c r="E2149" s="42"/>
      <c r="H2149" s="43"/>
      <c r="J2149" s="23"/>
      <c r="S2149" s="23"/>
    </row>
    <row r="2150" spans="5:19" s="30" customFormat="1" ht="15.75" customHeight="1" x14ac:dyDescent="0.2">
      <c r="E2150" s="42"/>
      <c r="H2150" s="43"/>
      <c r="J2150" s="23"/>
      <c r="S2150" s="23"/>
    </row>
    <row r="2151" spans="5:19" s="30" customFormat="1" ht="15.75" customHeight="1" x14ac:dyDescent="0.2">
      <c r="E2151" s="42"/>
      <c r="H2151" s="43"/>
      <c r="J2151" s="23"/>
      <c r="S2151" s="23"/>
    </row>
    <row r="2152" spans="5:19" s="30" customFormat="1" ht="15.75" customHeight="1" x14ac:dyDescent="0.2">
      <c r="E2152" s="42"/>
      <c r="H2152" s="43"/>
      <c r="J2152" s="23"/>
      <c r="S2152" s="23"/>
    </row>
    <row r="2153" spans="5:19" s="30" customFormat="1" ht="15.75" customHeight="1" x14ac:dyDescent="0.2">
      <c r="E2153" s="42"/>
      <c r="H2153" s="43"/>
      <c r="J2153" s="23"/>
      <c r="S2153" s="23"/>
    </row>
    <row r="2154" spans="5:19" s="30" customFormat="1" ht="15.75" customHeight="1" x14ac:dyDescent="0.2">
      <c r="E2154" s="42"/>
      <c r="H2154" s="43"/>
      <c r="J2154" s="23"/>
      <c r="S2154" s="23"/>
    </row>
    <row r="2155" spans="5:19" s="30" customFormat="1" ht="15.75" customHeight="1" x14ac:dyDescent="0.2">
      <c r="E2155" s="42"/>
      <c r="H2155" s="43"/>
      <c r="J2155" s="23"/>
      <c r="S2155" s="23"/>
    </row>
    <row r="2156" spans="5:19" s="30" customFormat="1" ht="15.75" customHeight="1" x14ac:dyDescent="0.2">
      <c r="E2156" s="42"/>
      <c r="H2156" s="43"/>
      <c r="J2156" s="23"/>
      <c r="S2156" s="23"/>
    </row>
    <row r="2157" spans="5:19" s="30" customFormat="1" ht="15.75" customHeight="1" x14ac:dyDescent="0.2">
      <c r="E2157" s="42"/>
      <c r="H2157" s="43"/>
      <c r="J2157" s="23"/>
      <c r="S2157" s="23"/>
    </row>
    <row r="2158" spans="5:19" s="30" customFormat="1" ht="15.75" customHeight="1" x14ac:dyDescent="0.2">
      <c r="E2158" s="42"/>
      <c r="H2158" s="43"/>
      <c r="J2158" s="23"/>
      <c r="S2158" s="23"/>
    </row>
    <row r="2159" spans="5:19" s="30" customFormat="1" ht="15.75" customHeight="1" x14ac:dyDescent="0.2">
      <c r="E2159" s="42"/>
      <c r="H2159" s="43"/>
      <c r="J2159" s="23"/>
      <c r="S2159" s="23"/>
    </row>
    <row r="2160" spans="5:19" s="30" customFormat="1" ht="15.75" customHeight="1" x14ac:dyDescent="0.2">
      <c r="E2160" s="42"/>
      <c r="H2160" s="43"/>
      <c r="J2160" s="23"/>
      <c r="S2160" s="23"/>
    </row>
    <row r="2161" spans="5:19" s="30" customFormat="1" ht="15.75" customHeight="1" x14ac:dyDescent="0.2">
      <c r="E2161" s="42"/>
      <c r="H2161" s="43"/>
      <c r="J2161" s="23"/>
      <c r="S2161" s="23"/>
    </row>
    <row r="2162" spans="5:19" s="30" customFormat="1" ht="15.75" customHeight="1" x14ac:dyDescent="0.2">
      <c r="E2162" s="42"/>
      <c r="H2162" s="43"/>
      <c r="J2162" s="23"/>
      <c r="S2162" s="23"/>
    </row>
    <row r="2163" spans="5:19" s="30" customFormat="1" ht="15.75" customHeight="1" x14ac:dyDescent="0.2">
      <c r="E2163" s="42"/>
      <c r="H2163" s="43"/>
      <c r="J2163" s="23"/>
      <c r="S2163" s="23"/>
    </row>
    <row r="2164" spans="5:19" s="30" customFormat="1" ht="15.75" customHeight="1" x14ac:dyDescent="0.2">
      <c r="E2164" s="42"/>
      <c r="H2164" s="43"/>
      <c r="J2164" s="23"/>
      <c r="S2164" s="23"/>
    </row>
    <row r="2165" spans="5:19" s="30" customFormat="1" ht="15.75" customHeight="1" x14ac:dyDescent="0.2">
      <c r="E2165" s="42"/>
      <c r="H2165" s="43"/>
      <c r="J2165" s="23"/>
      <c r="S2165" s="23"/>
    </row>
    <row r="2166" spans="5:19" s="30" customFormat="1" ht="15.75" customHeight="1" x14ac:dyDescent="0.2">
      <c r="E2166" s="42"/>
      <c r="H2166" s="43"/>
      <c r="J2166" s="23"/>
      <c r="S2166" s="23"/>
    </row>
    <row r="2167" spans="5:19" s="30" customFormat="1" ht="15.75" customHeight="1" x14ac:dyDescent="0.2">
      <c r="E2167" s="42"/>
      <c r="H2167" s="43"/>
      <c r="J2167" s="23"/>
      <c r="S2167" s="23"/>
    </row>
    <row r="2168" spans="5:19" s="30" customFormat="1" ht="15.75" customHeight="1" x14ac:dyDescent="0.2">
      <c r="E2168" s="42"/>
      <c r="H2168" s="43"/>
      <c r="J2168" s="23"/>
      <c r="S2168" s="23"/>
    </row>
    <row r="2169" spans="5:19" s="30" customFormat="1" ht="15.75" customHeight="1" x14ac:dyDescent="0.2">
      <c r="E2169" s="42"/>
      <c r="H2169" s="43"/>
      <c r="J2169" s="23"/>
      <c r="S2169" s="23"/>
    </row>
    <row r="2170" spans="5:19" s="30" customFormat="1" ht="15.75" customHeight="1" x14ac:dyDescent="0.2">
      <c r="E2170" s="42"/>
      <c r="H2170" s="43"/>
      <c r="J2170" s="23"/>
      <c r="S2170" s="23"/>
    </row>
    <row r="2171" spans="5:19" s="30" customFormat="1" ht="15.75" customHeight="1" x14ac:dyDescent="0.2">
      <c r="E2171" s="42"/>
      <c r="H2171" s="43"/>
      <c r="J2171" s="23"/>
      <c r="S2171" s="23"/>
    </row>
    <row r="2172" spans="5:19" s="30" customFormat="1" ht="15.75" customHeight="1" x14ac:dyDescent="0.2">
      <c r="E2172" s="42"/>
      <c r="H2172" s="43"/>
      <c r="J2172" s="23"/>
      <c r="S2172" s="23"/>
    </row>
    <row r="2173" spans="5:19" s="30" customFormat="1" ht="15.75" customHeight="1" x14ac:dyDescent="0.2">
      <c r="E2173" s="42"/>
      <c r="H2173" s="43"/>
      <c r="J2173" s="23"/>
      <c r="S2173" s="23"/>
    </row>
    <row r="2174" spans="5:19" s="30" customFormat="1" ht="15.75" customHeight="1" x14ac:dyDescent="0.2">
      <c r="E2174" s="42"/>
      <c r="H2174" s="43"/>
      <c r="J2174" s="23"/>
      <c r="S2174" s="23"/>
    </row>
    <row r="2175" spans="5:19" s="30" customFormat="1" ht="15.75" customHeight="1" x14ac:dyDescent="0.2">
      <c r="E2175" s="42"/>
      <c r="H2175" s="43"/>
      <c r="J2175" s="23"/>
      <c r="S2175" s="23"/>
    </row>
    <row r="2176" spans="5:19" s="30" customFormat="1" ht="15.75" customHeight="1" x14ac:dyDescent="0.2">
      <c r="E2176" s="42"/>
      <c r="H2176" s="43"/>
      <c r="J2176" s="23"/>
      <c r="S2176" s="23"/>
    </row>
    <row r="2177" spans="5:19" s="30" customFormat="1" ht="15.75" customHeight="1" x14ac:dyDescent="0.2">
      <c r="E2177" s="42"/>
      <c r="H2177" s="43"/>
      <c r="J2177" s="23"/>
      <c r="S2177" s="23"/>
    </row>
    <row r="2178" spans="5:19" s="30" customFormat="1" ht="15.75" customHeight="1" x14ac:dyDescent="0.2">
      <c r="E2178" s="42"/>
      <c r="H2178" s="43"/>
      <c r="J2178" s="23"/>
      <c r="S2178" s="23"/>
    </row>
    <row r="2179" spans="5:19" s="30" customFormat="1" ht="15.75" customHeight="1" x14ac:dyDescent="0.2">
      <c r="E2179" s="42"/>
      <c r="H2179" s="43"/>
      <c r="J2179" s="23"/>
      <c r="S2179" s="23"/>
    </row>
    <row r="2180" spans="5:19" s="30" customFormat="1" ht="15.75" customHeight="1" x14ac:dyDescent="0.2">
      <c r="E2180" s="42"/>
      <c r="H2180" s="43"/>
      <c r="J2180" s="23"/>
      <c r="S2180" s="23"/>
    </row>
    <row r="2181" spans="5:19" s="30" customFormat="1" ht="15.75" customHeight="1" x14ac:dyDescent="0.2">
      <c r="E2181" s="42"/>
      <c r="H2181" s="43"/>
      <c r="J2181" s="23"/>
      <c r="S2181" s="23"/>
    </row>
    <row r="2182" spans="5:19" s="30" customFormat="1" ht="15.75" customHeight="1" x14ac:dyDescent="0.2">
      <c r="E2182" s="42"/>
      <c r="H2182" s="43"/>
      <c r="J2182" s="23"/>
      <c r="S2182" s="23"/>
    </row>
    <row r="2183" spans="5:19" s="30" customFormat="1" ht="15.75" customHeight="1" x14ac:dyDescent="0.2">
      <c r="E2183" s="42"/>
      <c r="H2183" s="43"/>
      <c r="J2183" s="23"/>
      <c r="S2183" s="23"/>
    </row>
    <row r="2184" spans="5:19" s="30" customFormat="1" ht="15.75" customHeight="1" x14ac:dyDescent="0.2">
      <c r="E2184" s="42"/>
      <c r="H2184" s="43"/>
      <c r="J2184" s="23"/>
      <c r="S2184" s="23"/>
    </row>
    <row r="2185" spans="5:19" s="30" customFormat="1" ht="15.75" customHeight="1" x14ac:dyDescent="0.2">
      <c r="E2185" s="42"/>
      <c r="H2185" s="43"/>
      <c r="J2185" s="23"/>
      <c r="S2185" s="23"/>
    </row>
    <row r="2186" spans="5:19" s="30" customFormat="1" ht="15.75" customHeight="1" x14ac:dyDescent="0.2">
      <c r="E2186" s="42"/>
      <c r="H2186" s="43"/>
      <c r="J2186" s="23"/>
      <c r="S2186" s="23"/>
    </row>
    <row r="2187" spans="5:19" s="30" customFormat="1" ht="15.75" customHeight="1" x14ac:dyDescent="0.2">
      <c r="E2187" s="42"/>
      <c r="H2187" s="43"/>
      <c r="J2187" s="23"/>
      <c r="S2187" s="23"/>
    </row>
    <row r="2188" spans="5:19" s="30" customFormat="1" ht="15.75" customHeight="1" x14ac:dyDescent="0.2">
      <c r="E2188" s="42"/>
      <c r="H2188" s="43"/>
      <c r="J2188" s="23"/>
      <c r="S2188" s="23"/>
    </row>
    <row r="2189" spans="5:19" s="30" customFormat="1" ht="15.75" customHeight="1" x14ac:dyDescent="0.2">
      <c r="E2189" s="42"/>
      <c r="H2189" s="43"/>
      <c r="J2189" s="23"/>
      <c r="S2189" s="23"/>
    </row>
    <row r="2190" spans="5:19" s="30" customFormat="1" ht="15.75" customHeight="1" x14ac:dyDescent="0.2">
      <c r="E2190" s="42"/>
      <c r="H2190" s="43"/>
      <c r="J2190" s="23"/>
      <c r="S2190" s="23"/>
    </row>
    <row r="2191" spans="5:19" s="30" customFormat="1" ht="15.75" customHeight="1" x14ac:dyDescent="0.2">
      <c r="E2191" s="42"/>
      <c r="H2191" s="43"/>
      <c r="J2191" s="23"/>
      <c r="S2191" s="23"/>
    </row>
    <row r="2192" spans="5:19" s="30" customFormat="1" ht="15.75" customHeight="1" x14ac:dyDescent="0.2">
      <c r="E2192" s="42"/>
      <c r="H2192" s="43"/>
      <c r="J2192" s="23"/>
      <c r="S2192" s="23"/>
    </row>
    <row r="2193" spans="5:19" s="30" customFormat="1" ht="15.75" customHeight="1" x14ac:dyDescent="0.2">
      <c r="E2193" s="42"/>
      <c r="H2193" s="43"/>
      <c r="J2193" s="23"/>
      <c r="S2193" s="23"/>
    </row>
    <row r="2194" spans="5:19" s="30" customFormat="1" ht="15.75" customHeight="1" x14ac:dyDescent="0.2">
      <c r="E2194" s="42"/>
      <c r="H2194" s="43"/>
      <c r="J2194" s="23"/>
      <c r="S2194" s="23"/>
    </row>
    <row r="2195" spans="5:19" s="30" customFormat="1" ht="15.75" customHeight="1" x14ac:dyDescent="0.2">
      <c r="E2195" s="42"/>
      <c r="H2195" s="43"/>
      <c r="J2195" s="23"/>
      <c r="S2195" s="23"/>
    </row>
    <row r="2196" spans="5:19" s="30" customFormat="1" ht="15.75" customHeight="1" x14ac:dyDescent="0.2">
      <c r="E2196" s="42"/>
      <c r="H2196" s="43"/>
      <c r="J2196" s="23"/>
      <c r="S2196" s="23"/>
    </row>
    <row r="2197" spans="5:19" s="30" customFormat="1" ht="15.75" customHeight="1" x14ac:dyDescent="0.2">
      <c r="E2197" s="42"/>
      <c r="H2197" s="43"/>
      <c r="J2197" s="23"/>
      <c r="S2197" s="23"/>
    </row>
    <row r="2198" spans="5:19" s="30" customFormat="1" ht="15.75" customHeight="1" x14ac:dyDescent="0.2">
      <c r="E2198" s="42"/>
      <c r="H2198" s="43"/>
      <c r="J2198" s="23"/>
      <c r="S2198" s="23"/>
    </row>
    <row r="2199" spans="5:19" s="30" customFormat="1" ht="15.75" customHeight="1" x14ac:dyDescent="0.2">
      <c r="E2199" s="42"/>
      <c r="H2199" s="43"/>
      <c r="J2199" s="23"/>
      <c r="S2199" s="23"/>
    </row>
    <row r="2200" spans="5:19" s="30" customFormat="1" ht="15.75" customHeight="1" x14ac:dyDescent="0.2">
      <c r="E2200" s="42"/>
      <c r="H2200" s="43"/>
      <c r="J2200" s="23"/>
      <c r="S2200" s="23"/>
    </row>
    <row r="2201" spans="5:19" s="30" customFormat="1" ht="15.75" customHeight="1" x14ac:dyDescent="0.2">
      <c r="E2201" s="42"/>
      <c r="H2201" s="43"/>
      <c r="J2201" s="23"/>
      <c r="S2201" s="23"/>
    </row>
    <row r="2202" spans="5:19" s="30" customFormat="1" ht="15.75" customHeight="1" x14ac:dyDescent="0.2">
      <c r="E2202" s="42"/>
      <c r="H2202" s="43"/>
      <c r="J2202" s="23"/>
      <c r="S2202" s="23"/>
    </row>
    <row r="2203" spans="5:19" s="30" customFormat="1" ht="15.75" customHeight="1" x14ac:dyDescent="0.2">
      <c r="E2203" s="42"/>
      <c r="H2203" s="43"/>
      <c r="J2203" s="23"/>
      <c r="S2203" s="23"/>
    </row>
    <row r="2204" spans="5:19" s="30" customFormat="1" ht="15.75" customHeight="1" x14ac:dyDescent="0.2">
      <c r="E2204" s="42"/>
      <c r="H2204" s="43"/>
      <c r="J2204" s="23"/>
      <c r="S2204" s="23"/>
    </row>
    <row r="2205" spans="5:19" s="30" customFormat="1" ht="15.75" customHeight="1" x14ac:dyDescent="0.2">
      <c r="E2205" s="42"/>
      <c r="H2205" s="43"/>
      <c r="J2205" s="23"/>
      <c r="S2205" s="23"/>
    </row>
    <row r="2206" spans="5:19" s="30" customFormat="1" ht="15.75" customHeight="1" x14ac:dyDescent="0.2">
      <c r="E2206" s="42"/>
      <c r="H2206" s="43"/>
      <c r="J2206" s="23"/>
      <c r="S2206" s="23"/>
    </row>
    <row r="2207" spans="5:19" s="30" customFormat="1" ht="15.75" customHeight="1" x14ac:dyDescent="0.2">
      <c r="E2207" s="42"/>
      <c r="H2207" s="43"/>
      <c r="J2207" s="23"/>
      <c r="S2207" s="23"/>
    </row>
    <row r="2208" spans="5:19" s="30" customFormat="1" ht="15.75" customHeight="1" x14ac:dyDescent="0.2">
      <c r="E2208" s="42"/>
      <c r="H2208" s="43"/>
      <c r="J2208" s="23"/>
      <c r="S2208" s="23"/>
    </row>
    <row r="2209" spans="1:19" s="30" customFormat="1" ht="15.75" customHeight="1" x14ac:dyDescent="0.2">
      <c r="E2209" s="42"/>
      <c r="H2209" s="43"/>
      <c r="J2209" s="23"/>
      <c r="S2209" s="23"/>
    </row>
    <row r="2210" spans="1:19" s="30" customFormat="1" ht="15.75" customHeight="1" x14ac:dyDescent="0.2">
      <c r="E2210" s="42"/>
      <c r="H2210" s="43"/>
      <c r="J2210" s="23"/>
      <c r="S2210" s="23"/>
    </row>
    <row r="2211" spans="1:19" s="30" customFormat="1" ht="15.75" customHeight="1" x14ac:dyDescent="0.2">
      <c r="E2211" s="42"/>
      <c r="H2211" s="43"/>
      <c r="J2211" s="23"/>
      <c r="S2211" s="23"/>
    </row>
    <row r="2212" spans="1:19" s="30" customFormat="1" ht="15.75" customHeight="1" x14ac:dyDescent="0.2">
      <c r="E2212" s="42"/>
      <c r="H2212" s="43"/>
      <c r="J2212" s="23"/>
      <c r="S2212" s="23"/>
    </row>
    <row r="2213" spans="1:19" s="30" customFormat="1" ht="15.75" customHeight="1" x14ac:dyDescent="0.2">
      <c r="E2213" s="42"/>
      <c r="H2213" s="43"/>
      <c r="J2213" s="23"/>
      <c r="S2213" s="23"/>
    </row>
    <row r="2214" spans="1:19" s="30" customFormat="1" ht="15.75" customHeight="1" x14ac:dyDescent="0.2">
      <c r="E2214" s="42"/>
      <c r="H2214" s="43"/>
      <c r="J2214" s="23"/>
      <c r="S2214" s="23"/>
    </row>
    <row r="2215" spans="1:19" s="30" customFormat="1" ht="15.75" customHeight="1" x14ac:dyDescent="0.2">
      <c r="E2215" s="42"/>
      <c r="H2215" s="43"/>
      <c r="J2215" s="23"/>
      <c r="S2215" s="23"/>
    </row>
    <row r="2216" spans="1:19" s="30" customFormat="1" ht="15.75" customHeight="1" x14ac:dyDescent="0.2">
      <c r="E2216" s="42"/>
      <c r="H2216" s="43"/>
      <c r="J2216" s="23"/>
      <c r="S2216" s="23"/>
    </row>
    <row r="2217" spans="1:19" s="30" customFormat="1" ht="15.75" customHeight="1" x14ac:dyDescent="0.2">
      <c r="E2217" s="42"/>
      <c r="H2217" s="43"/>
      <c r="J2217" s="23"/>
      <c r="S2217" s="23"/>
    </row>
    <row r="2218" spans="1:19" s="30" customFormat="1" ht="15.75" customHeight="1" x14ac:dyDescent="0.2">
      <c r="E2218" s="42"/>
      <c r="H2218" s="43"/>
      <c r="J2218" s="23"/>
      <c r="S2218" s="23"/>
    </row>
    <row r="2219" spans="1:19" s="30" customFormat="1" ht="15.75" customHeight="1" x14ac:dyDescent="0.2">
      <c r="E2219" s="42"/>
      <c r="H2219" s="43"/>
      <c r="J2219" s="23"/>
      <c r="S2219" s="23"/>
    </row>
    <row r="2220" spans="1:19" s="30" customFormat="1" ht="15.75" customHeight="1" x14ac:dyDescent="0.2">
      <c r="E2220" s="42"/>
      <c r="H2220" s="43"/>
      <c r="J2220" s="23"/>
      <c r="S2220" s="23"/>
    </row>
    <row r="2221" spans="1:19" s="30" customFormat="1" ht="15.75" customHeight="1" x14ac:dyDescent="0.2">
      <c r="A2221"/>
      <c r="B2221"/>
      <c r="C2221"/>
      <c r="D2221"/>
      <c r="E2221" s="1"/>
      <c r="F2221"/>
      <c r="G2221"/>
      <c r="H2221" s="2"/>
      <c r="I2221"/>
      <c r="J2221" s="23"/>
      <c r="K2221"/>
      <c r="L2221"/>
      <c r="M2221"/>
      <c r="N2221"/>
      <c r="O2221"/>
      <c r="P2221"/>
      <c r="Q2221"/>
      <c r="R2221"/>
      <c r="S2221" s="23"/>
    </row>
    <row r="2222" spans="1:19" s="30" customFormat="1" ht="15.75" customHeight="1" x14ac:dyDescent="0.2">
      <c r="A2222"/>
      <c r="B2222"/>
      <c r="C2222"/>
      <c r="D2222"/>
      <c r="E2222" s="1"/>
      <c r="F2222"/>
      <c r="G2222"/>
      <c r="H2222" s="2"/>
      <c r="I2222"/>
      <c r="J2222" s="23"/>
      <c r="K2222"/>
      <c r="L2222"/>
      <c r="M2222"/>
      <c r="N2222"/>
      <c r="O2222"/>
      <c r="P2222"/>
      <c r="Q2222"/>
      <c r="R2222"/>
      <c r="S2222" s="23"/>
    </row>
    <row r="2223" spans="1:19" s="30" customFormat="1" ht="15.75" customHeight="1" x14ac:dyDescent="0.2">
      <c r="A2223"/>
      <c r="B2223"/>
      <c r="C2223"/>
      <c r="D2223"/>
      <c r="E2223" s="1"/>
      <c r="F2223"/>
      <c r="G2223"/>
      <c r="H2223" s="2"/>
      <c r="I2223"/>
      <c r="J2223" s="23"/>
      <c r="K2223"/>
      <c r="L2223"/>
      <c r="M2223"/>
      <c r="N2223"/>
      <c r="O2223"/>
      <c r="P2223"/>
      <c r="Q2223"/>
      <c r="R2223"/>
      <c r="S2223" s="23"/>
    </row>
    <row r="2224" spans="1:19" s="30" customFormat="1" ht="15.75" customHeight="1" x14ac:dyDescent="0.2">
      <c r="A2224"/>
      <c r="B2224"/>
      <c r="C2224"/>
      <c r="D2224"/>
      <c r="E2224" s="1"/>
      <c r="F2224"/>
      <c r="G2224"/>
      <c r="H2224" s="2"/>
      <c r="I2224"/>
      <c r="J2224" s="23"/>
      <c r="K2224"/>
      <c r="L2224"/>
      <c r="M2224"/>
      <c r="N2224"/>
      <c r="O2224"/>
      <c r="P2224"/>
      <c r="Q2224"/>
      <c r="R2224"/>
      <c r="S2224" s="23"/>
    </row>
    <row r="2225" spans="1:19" s="30" customFormat="1" ht="15.75" customHeight="1" x14ac:dyDescent="0.2">
      <c r="A2225"/>
      <c r="B2225"/>
      <c r="C2225"/>
      <c r="D2225"/>
      <c r="E2225" s="1"/>
      <c r="F2225"/>
      <c r="G2225"/>
      <c r="H2225" s="2"/>
      <c r="I2225"/>
      <c r="J2225" s="23"/>
      <c r="K2225"/>
      <c r="L2225"/>
      <c r="M2225"/>
      <c r="N2225"/>
      <c r="O2225"/>
      <c r="P2225"/>
      <c r="Q2225"/>
      <c r="R2225"/>
      <c r="S2225" s="23"/>
    </row>
    <row r="2226" spans="1:19" s="30" customFormat="1" ht="15.75" customHeight="1" x14ac:dyDescent="0.2">
      <c r="A2226"/>
      <c r="B2226"/>
      <c r="C2226"/>
      <c r="D2226"/>
      <c r="E2226" s="1"/>
      <c r="F2226"/>
      <c r="G2226"/>
      <c r="H2226" s="2"/>
      <c r="I2226"/>
      <c r="J2226" s="23"/>
      <c r="K2226"/>
      <c r="L2226"/>
      <c r="M2226"/>
      <c r="N2226"/>
      <c r="O2226"/>
      <c r="P2226"/>
      <c r="Q2226"/>
      <c r="R2226"/>
      <c r="S2226" s="23"/>
    </row>
    <row r="2227" spans="1:19" s="30" customFormat="1" ht="15.75" customHeight="1" x14ac:dyDescent="0.2">
      <c r="A2227"/>
      <c r="B2227"/>
      <c r="C2227"/>
      <c r="D2227"/>
      <c r="E2227" s="1"/>
      <c r="F2227"/>
      <c r="G2227"/>
      <c r="H2227" s="2"/>
      <c r="I2227"/>
      <c r="J2227" s="23"/>
      <c r="K2227"/>
      <c r="L2227"/>
      <c r="M2227"/>
      <c r="N2227"/>
      <c r="O2227"/>
      <c r="P2227"/>
      <c r="Q2227"/>
      <c r="R2227"/>
      <c r="S2227" s="23"/>
    </row>
    <row r="2228" spans="1:19" s="30" customFormat="1" ht="15.75" customHeight="1" x14ac:dyDescent="0.2">
      <c r="A2228"/>
      <c r="B2228"/>
      <c r="C2228"/>
      <c r="D2228"/>
      <c r="E2228" s="1"/>
      <c r="F2228"/>
      <c r="G2228"/>
      <c r="H2228" s="2"/>
      <c r="I2228"/>
      <c r="J2228" s="23"/>
      <c r="K2228"/>
      <c r="L2228"/>
      <c r="M2228"/>
      <c r="N2228"/>
      <c r="O2228"/>
      <c r="P2228"/>
      <c r="Q2228"/>
      <c r="R2228"/>
      <c r="S2228" s="23"/>
    </row>
    <row r="2229" spans="1:19" s="30" customFormat="1" ht="15.75" customHeight="1" x14ac:dyDescent="0.2">
      <c r="A2229"/>
      <c r="B2229"/>
      <c r="C2229"/>
      <c r="D2229"/>
      <c r="E2229" s="1"/>
      <c r="F2229"/>
      <c r="G2229"/>
      <c r="H2229" s="2"/>
      <c r="I2229"/>
      <c r="J2229" s="23"/>
      <c r="K2229"/>
      <c r="L2229"/>
      <c r="M2229"/>
      <c r="N2229"/>
      <c r="O2229"/>
      <c r="P2229"/>
      <c r="Q2229"/>
      <c r="R2229"/>
      <c r="S2229" s="23"/>
    </row>
    <row r="2230" spans="1:19" s="30" customFormat="1" ht="15.75" customHeight="1" x14ac:dyDescent="0.2">
      <c r="A2230"/>
      <c r="B2230"/>
      <c r="C2230"/>
      <c r="D2230"/>
      <c r="E2230" s="1"/>
      <c r="F2230"/>
      <c r="G2230"/>
      <c r="H2230" s="2"/>
      <c r="I2230"/>
      <c r="J2230" s="23"/>
      <c r="K2230"/>
      <c r="L2230"/>
      <c r="M2230"/>
      <c r="N2230"/>
      <c r="O2230"/>
      <c r="P2230"/>
      <c r="Q2230"/>
      <c r="R2230"/>
      <c r="S2230" s="23"/>
    </row>
    <row r="2231" spans="1:19" s="30" customFormat="1" ht="15.75" customHeight="1" x14ac:dyDescent="0.2">
      <c r="A2231"/>
      <c r="B2231"/>
      <c r="C2231"/>
      <c r="D2231"/>
      <c r="E2231" s="1"/>
      <c r="F2231"/>
      <c r="G2231"/>
      <c r="H2231" s="2"/>
      <c r="I2231"/>
      <c r="J2231" s="23"/>
      <c r="K2231"/>
      <c r="L2231"/>
      <c r="M2231"/>
      <c r="N2231"/>
      <c r="O2231"/>
      <c r="P2231"/>
      <c r="Q2231"/>
      <c r="R2231"/>
      <c r="S2231" s="23"/>
    </row>
    <row r="2232" spans="1:19" s="30" customFormat="1" ht="15.75" customHeight="1" x14ac:dyDescent="0.2">
      <c r="A2232"/>
      <c r="B2232"/>
      <c r="C2232"/>
      <c r="D2232"/>
      <c r="E2232" s="1"/>
      <c r="F2232"/>
      <c r="G2232"/>
      <c r="H2232" s="2"/>
      <c r="I2232"/>
      <c r="J2232" s="23"/>
      <c r="K2232"/>
      <c r="L2232"/>
      <c r="M2232"/>
      <c r="N2232"/>
      <c r="O2232"/>
      <c r="P2232"/>
      <c r="Q2232"/>
      <c r="R2232"/>
      <c r="S2232" s="23"/>
    </row>
    <row r="2233" spans="1:19" s="30" customFormat="1" ht="15.75" customHeight="1" x14ac:dyDescent="0.2">
      <c r="A2233"/>
      <c r="B2233"/>
      <c r="C2233"/>
      <c r="D2233"/>
      <c r="E2233" s="1"/>
      <c r="F2233"/>
      <c r="G2233"/>
      <c r="H2233" s="2"/>
      <c r="I2233"/>
      <c r="J2233" s="23"/>
      <c r="K2233"/>
      <c r="L2233"/>
      <c r="M2233"/>
      <c r="N2233"/>
      <c r="O2233"/>
      <c r="P2233"/>
      <c r="Q2233"/>
      <c r="R2233"/>
      <c r="S2233" s="23"/>
    </row>
    <row r="2234" spans="1:19" s="30" customFormat="1" ht="15.75" customHeight="1" x14ac:dyDescent="0.2">
      <c r="A2234"/>
      <c r="B2234"/>
      <c r="C2234"/>
      <c r="D2234"/>
      <c r="E2234" s="1"/>
      <c r="F2234"/>
      <c r="G2234"/>
      <c r="H2234" s="2"/>
      <c r="I2234"/>
      <c r="J2234" s="23"/>
      <c r="K2234"/>
      <c r="L2234"/>
      <c r="M2234"/>
      <c r="N2234"/>
      <c r="O2234"/>
      <c r="P2234"/>
      <c r="Q2234"/>
      <c r="R2234"/>
      <c r="S2234" s="23"/>
    </row>
    <row r="2235" spans="1:19" s="30" customFormat="1" ht="15.75" customHeight="1" x14ac:dyDescent="0.2">
      <c r="A2235"/>
      <c r="B2235"/>
      <c r="C2235"/>
      <c r="D2235"/>
      <c r="E2235" s="1"/>
      <c r="F2235"/>
      <c r="G2235"/>
      <c r="H2235" s="2"/>
      <c r="I2235"/>
      <c r="J2235" s="23"/>
      <c r="K2235"/>
      <c r="L2235"/>
      <c r="M2235"/>
      <c r="N2235"/>
      <c r="O2235"/>
      <c r="P2235"/>
      <c r="Q2235"/>
      <c r="R2235"/>
      <c r="S2235" s="23"/>
    </row>
    <row r="2236" spans="1:19" s="30" customFormat="1" ht="15.75" customHeight="1" x14ac:dyDescent="0.2">
      <c r="A2236"/>
      <c r="B2236"/>
      <c r="C2236"/>
      <c r="D2236"/>
      <c r="E2236" s="1"/>
      <c r="F2236"/>
      <c r="G2236"/>
      <c r="H2236" s="2"/>
      <c r="I2236"/>
      <c r="J2236" s="23"/>
      <c r="K2236"/>
      <c r="L2236"/>
      <c r="M2236"/>
      <c r="N2236"/>
      <c r="O2236"/>
      <c r="P2236"/>
      <c r="Q2236"/>
      <c r="R2236"/>
      <c r="S2236" s="23"/>
    </row>
    <row r="2237" spans="1:19" s="30" customFormat="1" ht="15.75" customHeight="1" x14ac:dyDescent="0.2">
      <c r="A2237"/>
      <c r="B2237"/>
      <c r="C2237"/>
      <c r="D2237"/>
      <c r="E2237" s="1"/>
      <c r="F2237"/>
      <c r="G2237"/>
      <c r="H2237" s="2"/>
      <c r="I2237"/>
      <c r="J2237" s="23"/>
      <c r="K2237"/>
      <c r="L2237"/>
      <c r="M2237"/>
      <c r="N2237"/>
      <c r="O2237"/>
      <c r="P2237"/>
      <c r="Q2237"/>
      <c r="R2237"/>
      <c r="S2237" s="23"/>
    </row>
    <row r="2238" spans="1:19" s="30" customFormat="1" ht="15.75" customHeight="1" x14ac:dyDescent="0.2">
      <c r="A2238"/>
      <c r="B2238"/>
      <c r="C2238"/>
      <c r="D2238"/>
      <c r="E2238" s="1"/>
      <c r="F2238"/>
      <c r="G2238"/>
      <c r="H2238" s="2"/>
      <c r="I2238"/>
      <c r="J2238" s="23"/>
      <c r="K2238"/>
      <c r="L2238"/>
      <c r="M2238"/>
      <c r="N2238"/>
      <c r="O2238"/>
      <c r="P2238"/>
      <c r="Q2238"/>
      <c r="R2238"/>
      <c r="S2238" s="23"/>
    </row>
    <row r="2239" spans="1:19" s="30" customFormat="1" ht="15.75" customHeight="1" x14ac:dyDescent="0.2">
      <c r="A2239"/>
      <c r="B2239"/>
      <c r="C2239"/>
      <c r="D2239"/>
      <c r="E2239" s="1"/>
      <c r="F2239"/>
      <c r="G2239"/>
      <c r="H2239" s="2"/>
      <c r="I2239"/>
      <c r="J2239" s="23"/>
      <c r="K2239"/>
      <c r="L2239"/>
      <c r="M2239"/>
      <c r="N2239"/>
      <c r="O2239"/>
      <c r="P2239"/>
      <c r="Q2239"/>
      <c r="R2239"/>
      <c r="S2239" s="23"/>
    </row>
    <row r="2240" spans="1:19" s="30" customFormat="1" ht="15.75" customHeight="1" x14ac:dyDescent="0.2">
      <c r="A2240"/>
      <c r="B2240"/>
      <c r="C2240"/>
      <c r="D2240"/>
      <c r="E2240" s="1"/>
      <c r="F2240"/>
      <c r="G2240"/>
      <c r="H2240" s="2"/>
      <c r="I2240"/>
      <c r="J2240" s="23"/>
      <c r="K2240"/>
      <c r="L2240"/>
      <c r="M2240"/>
      <c r="N2240"/>
      <c r="O2240"/>
      <c r="P2240"/>
      <c r="Q2240"/>
      <c r="R2240"/>
      <c r="S2240" s="23"/>
    </row>
    <row r="2241" spans="1:19" s="30" customFormat="1" ht="15.75" customHeight="1" x14ac:dyDescent="0.2">
      <c r="A2241"/>
      <c r="B2241"/>
      <c r="C2241"/>
      <c r="D2241"/>
      <c r="E2241" s="1"/>
      <c r="F2241"/>
      <c r="G2241"/>
      <c r="H2241" s="2"/>
      <c r="I2241"/>
      <c r="J2241" s="23"/>
      <c r="K2241"/>
      <c r="L2241"/>
      <c r="M2241"/>
      <c r="N2241"/>
      <c r="O2241"/>
      <c r="P2241"/>
      <c r="Q2241"/>
      <c r="R2241"/>
      <c r="S2241" s="23"/>
    </row>
    <row r="2242" spans="1:19" s="30" customFormat="1" ht="15.75" customHeight="1" x14ac:dyDescent="0.2">
      <c r="A2242"/>
      <c r="B2242"/>
      <c r="C2242"/>
      <c r="D2242"/>
      <c r="E2242" s="1"/>
      <c r="F2242"/>
      <c r="G2242"/>
      <c r="H2242" s="2"/>
      <c r="I2242"/>
      <c r="J2242" s="23"/>
      <c r="K2242"/>
      <c r="L2242"/>
      <c r="M2242"/>
      <c r="N2242"/>
      <c r="O2242"/>
      <c r="P2242"/>
      <c r="Q2242"/>
      <c r="R2242"/>
      <c r="S2242" s="23"/>
    </row>
    <row r="2243" spans="1:19" s="30" customFormat="1" ht="15.75" customHeight="1" x14ac:dyDescent="0.2">
      <c r="A2243"/>
      <c r="B2243"/>
      <c r="C2243"/>
      <c r="D2243"/>
      <c r="E2243" s="1"/>
      <c r="F2243"/>
      <c r="G2243"/>
      <c r="H2243" s="2"/>
      <c r="I2243"/>
      <c r="J2243" s="23"/>
      <c r="K2243"/>
      <c r="L2243"/>
      <c r="M2243"/>
      <c r="N2243"/>
      <c r="O2243"/>
      <c r="P2243"/>
      <c r="Q2243"/>
      <c r="R2243"/>
      <c r="S2243" s="23"/>
    </row>
    <row r="2244" spans="1:19" s="30" customFormat="1" ht="15.75" customHeight="1" x14ac:dyDescent="0.2">
      <c r="A2244"/>
      <c r="B2244"/>
      <c r="C2244"/>
      <c r="D2244"/>
      <c r="E2244" s="1"/>
      <c r="F2244"/>
      <c r="G2244"/>
      <c r="H2244" s="2"/>
      <c r="I2244"/>
      <c r="J2244" s="23"/>
      <c r="K2244"/>
      <c r="L2244"/>
      <c r="M2244"/>
      <c r="N2244"/>
      <c r="O2244"/>
      <c r="P2244"/>
      <c r="Q2244"/>
      <c r="R2244"/>
      <c r="S2244" s="23"/>
    </row>
    <row r="2245" spans="1:19" s="30" customFormat="1" ht="15.75" customHeight="1" x14ac:dyDescent="0.2">
      <c r="A2245"/>
      <c r="B2245"/>
      <c r="C2245"/>
      <c r="D2245"/>
      <c r="E2245" s="1"/>
      <c r="F2245"/>
      <c r="G2245"/>
      <c r="H2245" s="2"/>
      <c r="I2245"/>
      <c r="J2245" s="23"/>
      <c r="K2245"/>
      <c r="L2245"/>
      <c r="M2245"/>
      <c r="N2245"/>
      <c r="O2245"/>
      <c r="P2245"/>
      <c r="Q2245"/>
      <c r="R2245"/>
      <c r="S2245" s="23"/>
    </row>
    <row r="2246" spans="1:19" s="30" customFormat="1" ht="15.75" customHeight="1" x14ac:dyDescent="0.2">
      <c r="A2246"/>
      <c r="B2246"/>
      <c r="C2246"/>
      <c r="D2246"/>
      <c r="E2246" s="1"/>
      <c r="F2246"/>
      <c r="G2246"/>
      <c r="H2246" s="2"/>
      <c r="I2246"/>
      <c r="J2246" s="23"/>
      <c r="K2246"/>
      <c r="L2246"/>
      <c r="M2246"/>
      <c r="N2246"/>
      <c r="O2246"/>
      <c r="P2246"/>
      <c r="Q2246"/>
      <c r="R2246"/>
      <c r="S2246" s="23"/>
    </row>
    <row r="2247" spans="1:19" s="30" customFormat="1" ht="15.75" customHeight="1" x14ac:dyDescent="0.2">
      <c r="A2247"/>
      <c r="B2247"/>
      <c r="C2247"/>
      <c r="D2247"/>
      <c r="E2247" s="1"/>
      <c r="F2247"/>
      <c r="G2247"/>
      <c r="H2247" s="2"/>
      <c r="I2247"/>
      <c r="J2247" s="23"/>
      <c r="K2247"/>
      <c r="L2247"/>
      <c r="M2247"/>
      <c r="N2247"/>
      <c r="O2247"/>
      <c r="P2247"/>
      <c r="Q2247"/>
      <c r="R2247"/>
      <c r="S2247" s="23"/>
    </row>
    <row r="2248" spans="1:19" s="30" customFormat="1" ht="15.75" customHeight="1" x14ac:dyDescent="0.2">
      <c r="A2248"/>
      <c r="B2248"/>
      <c r="C2248"/>
      <c r="D2248"/>
      <c r="E2248" s="1"/>
      <c r="F2248"/>
      <c r="G2248"/>
      <c r="H2248" s="2"/>
      <c r="I2248"/>
      <c r="J2248" s="23"/>
      <c r="K2248"/>
      <c r="L2248"/>
      <c r="M2248"/>
      <c r="N2248"/>
      <c r="O2248"/>
      <c r="P2248"/>
      <c r="Q2248"/>
      <c r="R2248"/>
      <c r="S2248" s="23"/>
    </row>
    <row r="2249" spans="1:19" s="30" customFormat="1" ht="15.75" customHeight="1" x14ac:dyDescent="0.2">
      <c r="A2249"/>
      <c r="B2249"/>
      <c r="C2249"/>
      <c r="D2249"/>
      <c r="E2249" s="1"/>
      <c r="F2249"/>
      <c r="G2249"/>
      <c r="H2249" s="2"/>
      <c r="I2249"/>
      <c r="J2249" s="23"/>
      <c r="K2249"/>
      <c r="L2249"/>
      <c r="M2249"/>
      <c r="N2249"/>
      <c r="O2249"/>
      <c r="P2249"/>
      <c r="Q2249"/>
      <c r="R2249"/>
      <c r="S2249" s="23"/>
    </row>
    <row r="2250" spans="1:19" s="30" customFormat="1" ht="15.75" customHeight="1" x14ac:dyDescent="0.2">
      <c r="A2250"/>
      <c r="B2250"/>
      <c r="C2250"/>
      <c r="D2250"/>
      <c r="E2250" s="1"/>
      <c r="F2250"/>
      <c r="G2250"/>
      <c r="H2250" s="2"/>
      <c r="I2250"/>
      <c r="J2250" s="23"/>
      <c r="K2250"/>
      <c r="L2250"/>
      <c r="M2250"/>
      <c r="N2250"/>
      <c r="O2250"/>
      <c r="P2250"/>
      <c r="Q2250"/>
      <c r="R2250"/>
      <c r="S2250" s="23"/>
    </row>
    <row r="2251" spans="1:19" s="30" customFormat="1" ht="15.75" customHeight="1" x14ac:dyDescent="0.2">
      <c r="A2251"/>
      <c r="B2251"/>
      <c r="C2251"/>
      <c r="D2251"/>
      <c r="E2251" s="1"/>
      <c r="F2251"/>
      <c r="G2251"/>
      <c r="H2251" s="2"/>
      <c r="I2251"/>
      <c r="J2251" s="23"/>
      <c r="K2251"/>
      <c r="L2251"/>
      <c r="M2251"/>
      <c r="N2251"/>
      <c r="O2251"/>
      <c r="P2251"/>
      <c r="Q2251"/>
      <c r="R2251"/>
      <c r="S2251" s="23"/>
    </row>
    <row r="2252" spans="1:19" s="30" customFormat="1" ht="15.75" customHeight="1" x14ac:dyDescent="0.2">
      <c r="A2252"/>
      <c r="B2252"/>
      <c r="C2252"/>
      <c r="D2252"/>
      <c r="E2252" s="1"/>
      <c r="F2252"/>
      <c r="G2252"/>
      <c r="H2252" s="2"/>
      <c r="I2252"/>
      <c r="J2252" s="23"/>
      <c r="K2252"/>
      <c r="L2252"/>
      <c r="M2252"/>
      <c r="N2252"/>
      <c r="O2252"/>
      <c r="P2252"/>
      <c r="Q2252"/>
      <c r="R2252"/>
      <c r="S2252" s="23"/>
    </row>
    <row r="2253" spans="1:19" s="30" customFormat="1" ht="15.75" customHeight="1" x14ac:dyDescent="0.2">
      <c r="A2253"/>
      <c r="B2253"/>
      <c r="C2253"/>
      <c r="D2253"/>
      <c r="E2253" s="1"/>
      <c r="F2253"/>
      <c r="G2253"/>
      <c r="H2253" s="2"/>
      <c r="I2253"/>
      <c r="J2253" s="23"/>
      <c r="K2253"/>
      <c r="L2253"/>
      <c r="M2253"/>
      <c r="N2253"/>
      <c r="O2253"/>
      <c r="P2253"/>
      <c r="Q2253"/>
      <c r="R2253"/>
      <c r="S2253" s="23"/>
    </row>
    <row r="2254" spans="1:19" s="30" customFormat="1" ht="15.75" customHeight="1" x14ac:dyDescent="0.2">
      <c r="A2254"/>
      <c r="B2254"/>
      <c r="C2254"/>
      <c r="D2254"/>
      <c r="E2254" s="1"/>
      <c r="F2254"/>
      <c r="G2254"/>
      <c r="H2254" s="2"/>
      <c r="I2254"/>
      <c r="J2254" s="23"/>
      <c r="K2254"/>
      <c r="L2254"/>
      <c r="M2254"/>
      <c r="N2254"/>
      <c r="O2254"/>
      <c r="P2254"/>
      <c r="Q2254"/>
      <c r="R2254"/>
      <c r="S2254" s="23"/>
    </row>
    <row r="2255" spans="1:19" s="30" customFormat="1" ht="15.75" customHeight="1" x14ac:dyDescent="0.2">
      <c r="A2255"/>
      <c r="B2255"/>
      <c r="C2255"/>
      <c r="D2255"/>
      <c r="E2255" s="1"/>
      <c r="F2255"/>
      <c r="G2255"/>
      <c r="H2255" s="2"/>
      <c r="I2255"/>
      <c r="J2255" s="23"/>
      <c r="K2255"/>
      <c r="L2255"/>
      <c r="M2255"/>
      <c r="N2255"/>
      <c r="O2255"/>
      <c r="P2255"/>
      <c r="Q2255"/>
      <c r="R2255"/>
      <c r="S2255" s="23"/>
    </row>
    <row r="2256" spans="1:19" s="30" customFormat="1" ht="15.75" customHeight="1" x14ac:dyDescent="0.2">
      <c r="A2256"/>
      <c r="B2256"/>
      <c r="C2256"/>
      <c r="D2256"/>
      <c r="E2256" s="1"/>
      <c r="F2256"/>
      <c r="G2256"/>
      <c r="H2256" s="2"/>
      <c r="I2256"/>
      <c r="J2256" s="23"/>
      <c r="K2256"/>
      <c r="L2256"/>
      <c r="M2256"/>
      <c r="N2256"/>
      <c r="O2256"/>
      <c r="P2256"/>
      <c r="Q2256"/>
      <c r="R2256"/>
      <c r="S2256" s="23"/>
    </row>
    <row r="2257" spans="1:19" s="30" customFormat="1" ht="15.75" customHeight="1" x14ac:dyDescent="0.2">
      <c r="A2257"/>
      <c r="B2257"/>
      <c r="C2257"/>
      <c r="D2257"/>
      <c r="E2257" s="1"/>
      <c r="F2257"/>
      <c r="G2257"/>
      <c r="H2257" s="2"/>
      <c r="I2257"/>
      <c r="J2257" s="23"/>
      <c r="K2257"/>
      <c r="L2257"/>
      <c r="M2257"/>
      <c r="N2257"/>
      <c r="O2257"/>
      <c r="P2257"/>
      <c r="Q2257"/>
      <c r="R2257"/>
      <c r="S2257" s="23"/>
    </row>
    <row r="2258" spans="1:19" s="30" customFormat="1" ht="15.75" customHeight="1" x14ac:dyDescent="0.2">
      <c r="A2258"/>
      <c r="B2258"/>
      <c r="C2258"/>
      <c r="D2258"/>
      <c r="E2258" s="1"/>
      <c r="F2258"/>
      <c r="G2258"/>
      <c r="H2258" s="2"/>
      <c r="I2258"/>
      <c r="J2258" s="23"/>
      <c r="K2258"/>
      <c r="L2258"/>
      <c r="M2258"/>
      <c r="N2258"/>
      <c r="O2258"/>
      <c r="P2258"/>
      <c r="Q2258"/>
      <c r="R2258"/>
      <c r="S2258" s="23"/>
    </row>
    <row r="2259" spans="1:19" s="30" customFormat="1" ht="15.75" customHeight="1" x14ac:dyDescent="0.2">
      <c r="A2259"/>
      <c r="B2259"/>
      <c r="C2259"/>
      <c r="D2259"/>
      <c r="E2259" s="1"/>
      <c r="F2259"/>
      <c r="G2259"/>
      <c r="H2259" s="2"/>
      <c r="I2259"/>
      <c r="J2259" s="23"/>
      <c r="K2259"/>
      <c r="L2259"/>
      <c r="M2259"/>
      <c r="N2259"/>
      <c r="O2259"/>
      <c r="P2259"/>
      <c r="Q2259"/>
      <c r="R2259"/>
      <c r="S2259" s="23"/>
    </row>
    <row r="2260" spans="1:19" s="30" customFormat="1" ht="15.75" customHeight="1" x14ac:dyDescent="0.2">
      <c r="A2260"/>
      <c r="B2260"/>
      <c r="C2260"/>
      <c r="D2260"/>
      <c r="E2260" s="1"/>
      <c r="F2260"/>
      <c r="G2260"/>
      <c r="H2260" s="2"/>
      <c r="I2260"/>
      <c r="J2260" s="23"/>
      <c r="K2260"/>
      <c r="L2260"/>
      <c r="M2260"/>
      <c r="N2260"/>
      <c r="O2260"/>
      <c r="P2260"/>
      <c r="Q2260"/>
      <c r="R2260"/>
      <c r="S2260" s="23"/>
    </row>
    <row r="2261" spans="1:19" s="30" customFormat="1" ht="15.75" customHeight="1" x14ac:dyDescent="0.2">
      <c r="A2261"/>
      <c r="B2261"/>
      <c r="C2261"/>
      <c r="D2261"/>
      <c r="E2261" s="1"/>
      <c r="F2261"/>
      <c r="G2261"/>
      <c r="H2261" s="2"/>
      <c r="I2261"/>
      <c r="J2261" s="23"/>
      <c r="K2261"/>
      <c r="L2261"/>
      <c r="M2261"/>
      <c r="N2261"/>
      <c r="O2261"/>
      <c r="P2261"/>
      <c r="Q2261"/>
      <c r="R2261"/>
      <c r="S2261" s="23"/>
    </row>
    <row r="2262" spans="1:19" s="30" customFormat="1" ht="15.75" customHeight="1" x14ac:dyDescent="0.2">
      <c r="A2262"/>
      <c r="B2262"/>
      <c r="C2262"/>
      <c r="D2262"/>
      <c r="E2262" s="1"/>
      <c r="F2262"/>
      <c r="G2262"/>
      <c r="H2262" s="2"/>
      <c r="I2262"/>
      <c r="J2262" s="23"/>
      <c r="K2262"/>
      <c r="L2262"/>
      <c r="M2262"/>
      <c r="N2262"/>
      <c r="O2262"/>
      <c r="P2262"/>
      <c r="Q2262"/>
      <c r="R2262"/>
      <c r="S2262" s="23"/>
    </row>
    <row r="2263" spans="1:19" s="30" customFormat="1" ht="15.75" customHeight="1" x14ac:dyDescent="0.2">
      <c r="A2263"/>
      <c r="B2263"/>
      <c r="C2263"/>
      <c r="D2263"/>
      <c r="E2263" s="1"/>
      <c r="F2263"/>
      <c r="G2263"/>
      <c r="H2263" s="2"/>
      <c r="I2263"/>
      <c r="J2263" s="23"/>
      <c r="K2263"/>
      <c r="L2263"/>
      <c r="M2263"/>
      <c r="N2263"/>
      <c r="O2263"/>
      <c r="P2263"/>
      <c r="Q2263"/>
      <c r="R2263"/>
      <c r="S2263" s="23"/>
    </row>
    <row r="2264" spans="1:19" s="30" customFormat="1" ht="15.75" customHeight="1" x14ac:dyDescent="0.2">
      <c r="A2264"/>
      <c r="B2264"/>
      <c r="C2264"/>
      <c r="D2264"/>
      <c r="E2264" s="1"/>
      <c r="F2264"/>
      <c r="G2264"/>
      <c r="H2264" s="2"/>
      <c r="I2264"/>
      <c r="J2264" s="23"/>
      <c r="K2264"/>
      <c r="L2264"/>
      <c r="M2264"/>
      <c r="N2264"/>
      <c r="O2264"/>
      <c r="P2264"/>
      <c r="Q2264"/>
      <c r="R2264"/>
      <c r="S2264" s="23"/>
    </row>
    <row r="2265" spans="1:19" s="30" customFormat="1" ht="15.75" customHeight="1" x14ac:dyDescent="0.2">
      <c r="A2265"/>
      <c r="B2265"/>
      <c r="C2265"/>
      <c r="D2265"/>
      <c r="E2265" s="1"/>
      <c r="F2265"/>
      <c r="G2265"/>
      <c r="H2265" s="2"/>
      <c r="I2265"/>
      <c r="J2265" s="23"/>
      <c r="K2265"/>
      <c r="L2265"/>
      <c r="M2265"/>
      <c r="N2265"/>
      <c r="O2265"/>
      <c r="P2265"/>
      <c r="Q2265"/>
      <c r="R2265"/>
      <c r="S2265" s="23"/>
    </row>
    <row r="2266" spans="1:19" s="30" customFormat="1" ht="15.75" customHeight="1" x14ac:dyDescent="0.2">
      <c r="A2266"/>
      <c r="B2266"/>
      <c r="C2266"/>
      <c r="D2266"/>
      <c r="E2266" s="1"/>
      <c r="F2266"/>
      <c r="G2266"/>
      <c r="H2266" s="2"/>
      <c r="I2266"/>
      <c r="J2266" s="23"/>
      <c r="K2266"/>
      <c r="L2266"/>
      <c r="M2266"/>
      <c r="N2266"/>
      <c r="O2266"/>
      <c r="P2266"/>
      <c r="Q2266"/>
      <c r="R2266"/>
      <c r="S2266" s="23"/>
    </row>
    <row r="2267" spans="1:19" s="30" customFormat="1" ht="15.75" customHeight="1" x14ac:dyDescent="0.2">
      <c r="A2267"/>
      <c r="B2267"/>
      <c r="C2267"/>
      <c r="D2267"/>
      <c r="E2267" s="1"/>
      <c r="F2267"/>
      <c r="G2267"/>
      <c r="H2267" s="2"/>
      <c r="I2267"/>
      <c r="J2267" s="23"/>
      <c r="K2267"/>
      <c r="L2267"/>
      <c r="M2267"/>
      <c r="N2267"/>
      <c r="O2267"/>
      <c r="P2267"/>
      <c r="Q2267"/>
      <c r="R2267"/>
      <c r="S2267" s="23"/>
    </row>
    <row r="2268" spans="1:19" s="30" customFormat="1" ht="15.75" customHeight="1" x14ac:dyDescent="0.2">
      <c r="A2268"/>
      <c r="B2268"/>
      <c r="C2268"/>
      <c r="D2268"/>
      <c r="E2268" s="1"/>
      <c r="F2268"/>
      <c r="G2268"/>
      <c r="H2268" s="2"/>
      <c r="I2268"/>
      <c r="J2268" s="23"/>
      <c r="K2268"/>
      <c r="L2268"/>
      <c r="M2268"/>
      <c r="N2268"/>
      <c r="O2268"/>
      <c r="P2268"/>
      <c r="Q2268"/>
      <c r="R2268"/>
      <c r="S2268" s="23"/>
    </row>
    <row r="2269" spans="1:19" s="30" customFormat="1" ht="15.75" customHeight="1" x14ac:dyDescent="0.2">
      <c r="A2269"/>
      <c r="B2269"/>
      <c r="C2269"/>
      <c r="D2269"/>
      <c r="E2269" s="1"/>
      <c r="F2269"/>
      <c r="G2269"/>
      <c r="H2269" s="2"/>
      <c r="I2269"/>
      <c r="J2269" s="23"/>
      <c r="K2269"/>
      <c r="L2269"/>
      <c r="M2269"/>
      <c r="N2269"/>
      <c r="O2269"/>
      <c r="P2269"/>
      <c r="Q2269"/>
      <c r="R2269"/>
      <c r="S2269" s="23"/>
    </row>
    <row r="2270" spans="1:19" s="30" customFormat="1" ht="15.75" customHeight="1" x14ac:dyDescent="0.2">
      <c r="A2270"/>
      <c r="B2270"/>
      <c r="C2270"/>
      <c r="D2270"/>
      <c r="E2270" s="1"/>
      <c r="F2270"/>
      <c r="G2270"/>
      <c r="H2270" s="2"/>
      <c r="I2270"/>
      <c r="J2270" s="23"/>
      <c r="K2270"/>
      <c r="L2270"/>
      <c r="M2270"/>
      <c r="N2270"/>
      <c r="O2270"/>
      <c r="P2270"/>
      <c r="Q2270"/>
      <c r="R2270"/>
      <c r="S2270" s="23"/>
    </row>
    <row r="2271" spans="1:19" s="30" customFormat="1" ht="15.75" customHeight="1" x14ac:dyDescent="0.2">
      <c r="A2271"/>
      <c r="B2271"/>
      <c r="C2271"/>
      <c r="D2271"/>
      <c r="E2271" s="1"/>
      <c r="F2271"/>
      <c r="G2271"/>
      <c r="H2271" s="2"/>
      <c r="I2271"/>
      <c r="J2271" s="23"/>
      <c r="K2271"/>
      <c r="L2271"/>
      <c r="M2271"/>
      <c r="N2271"/>
      <c r="O2271"/>
      <c r="P2271"/>
      <c r="Q2271"/>
      <c r="R2271"/>
      <c r="S2271" s="23"/>
    </row>
    <row r="2272" spans="1:19" s="30" customFormat="1" ht="15.75" customHeight="1" x14ac:dyDescent="0.2">
      <c r="A2272"/>
      <c r="B2272"/>
      <c r="C2272"/>
      <c r="D2272"/>
      <c r="E2272" s="1"/>
      <c r="F2272"/>
      <c r="G2272"/>
      <c r="H2272" s="2"/>
      <c r="I2272"/>
      <c r="J2272" s="23"/>
      <c r="K2272"/>
      <c r="L2272"/>
      <c r="M2272"/>
      <c r="N2272"/>
      <c r="O2272"/>
      <c r="P2272"/>
      <c r="Q2272"/>
      <c r="R2272"/>
      <c r="S2272" s="23"/>
    </row>
    <row r="2273" spans="1:19" s="30" customFormat="1" ht="15.75" customHeight="1" x14ac:dyDescent="0.2">
      <c r="A2273"/>
      <c r="B2273"/>
      <c r="C2273"/>
      <c r="D2273"/>
      <c r="E2273" s="1"/>
      <c r="F2273"/>
      <c r="G2273"/>
      <c r="H2273" s="2"/>
      <c r="I2273"/>
      <c r="J2273" s="23"/>
      <c r="K2273"/>
      <c r="L2273"/>
      <c r="M2273"/>
      <c r="N2273"/>
      <c r="O2273"/>
      <c r="P2273"/>
      <c r="Q2273"/>
      <c r="R2273"/>
      <c r="S2273" s="23"/>
    </row>
    <row r="2274" spans="1:19" s="30" customFormat="1" ht="15.75" customHeight="1" x14ac:dyDescent="0.2">
      <c r="A2274"/>
      <c r="B2274"/>
      <c r="C2274"/>
      <c r="D2274"/>
      <c r="E2274" s="1"/>
      <c r="F2274"/>
      <c r="G2274"/>
      <c r="H2274" s="2"/>
      <c r="I2274"/>
      <c r="J2274" s="23"/>
      <c r="K2274"/>
      <c r="L2274"/>
      <c r="M2274"/>
      <c r="N2274"/>
      <c r="O2274"/>
      <c r="P2274"/>
      <c r="Q2274"/>
      <c r="R2274"/>
      <c r="S2274" s="23"/>
    </row>
    <row r="2275" spans="1:19" s="30" customFormat="1" ht="15.75" customHeight="1" x14ac:dyDescent="0.2">
      <c r="A2275"/>
      <c r="B2275"/>
      <c r="C2275"/>
      <c r="D2275"/>
      <c r="E2275" s="1"/>
      <c r="F2275"/>
      <c r="G2275"/>
      <c r="H2275" s="2"/>
      <c r="I2275"/>
      <c r="J2275" s="23"/>
      <c r="K2275"/>
      <c r="L2275"/>
      <c r="M2275"/>
      <c r="N2275"/>
      <c r="O2275"/>
      <c r="P2275"/>
      <c r="Q2275"/>
      <c r="R2275"/>
      <c r="S2275" s="23"/>
    </row>
    <row r="2276" spans="1:19" s="30" customFormat="1" ht="15.75" customHeight="1" x14ac:dyDescent="0.2">
      <c r="A2276"/>
      <c r="B2276"/>
      <c r="C2276"/>
      <c r="D2276"/>
      <c r="E2276" s="1"/>
      <c r="F2276"/>
      <c r="G2276"/>
      <c r="H2276" s="2"/>
      <c r="I2276"/>
      <c r="J2276" s="23"/>
      <c r="K2276"/>
      <c r="L2276"/>
      <c r="M2276"/>
      <c r="N2276"/>
      <c r="O2276"/>
      <c r="P2276"/>
      <c r="Q2276"/>
      <c r="R2276"/>
      <c r="S2276" s="23"/>
    </row>
    <row r="2277" spans="1:19" s="30" customFormat="1" ht="15.75" customHeight="1" x14ac:dyDescent="0.2">
      <c r="A2277"/>
      <c r="B2277"/>
      <c r="C2277"/>
      <c r="D2277"/>
      <c r="E2277" s="1"/>
      <c r="F2277"/>
      <c r="G2277"/>
      <c r="H2277" s="2"/>
      <c r="I2277"/>
      <c r="J2277" s="23"/>
      <c r="K2277"/>
      <c r="L2277"/>
      <c r="M2277"/>
      <c r="N2277"/>
      <c r="O2277"/>
      <c r="P2277"/>
      <c r="Q2277"/>
      <c r="R2277"/>
      <c r="S2277" s="23"/>
    </row>
  </sheetData>
  <phoneticPr fontId="7" type="noConversion"/>
  <hyperlinks>
    <hyperlink ref="I68" r:id="rId1" xr:uid="{DDFE9E35-4D3C-4FC9-8CBA-BABFD6842999}"/>
    <hyperlink ref="I70" r:id="rId2" xr:uid="{1E3D9560-679B-463B-A75D-9E516054C84D}"/>
    <hyperlink ref="I71" r:id="rId3" xr:uid="{93E8CA2D-415F-457D-B55E-6AE9685034E7}"/>
    <hyperlink ref="I73" r:id="rId4" xr:uid="{866BD30D-7522-4638-8BE5-2D918107C7EA}"/>
    <hyperlink ref="I74" r:id="rId5" xr:uid="{C2421F89-39C7-4C98-BBC3-EA409D4085E9}"/>
    <hyperlink ref="I80" r:id="rId6" xr:uid="{CCED7F64-15C2-415D-BAD7-18F9C0780DB8}"/>
    <hyperlink ref="I75" r:id="rId7" xr:uid="{F1EA5779-5882-401D-B4CB-F7D50453EA68}"/>
    <hyperlink ref="I63" r:id="rId8" xr:uid="{1745B4D7-42AC-42D6-B01C-E653F09B93F7}"/>
    <hyperlink ref="I3" r:id="rId9" xr:uid="{8F38B6B8-F5BA-4F3D-9838-76DBDA0085F8}"/>
    <hyperlink ref="I4" r:id="rId10" xr:uid="{510D6246-69A3-45EC-A97E-D9B6C6819CB1}"/>
    <hyperlink ref="I5" r:id="rId11" xr:uid="{94CE148C-ABCD-4DB8-BA96-42DE3C70AFD0}"/>
    <hyperlink ref="I6" r:id="rId12" xr:uid="{0869E92E-2A72-4DDE-96D9-E1F8CB0CB9B5}"/>
    <hyperlink ref="I10" r:id="rId13" xr:uid="{79F1DE91-4599-4909-AD0F-C0DD79E0EAF4}"/>
    <hyperlink ref="I11" r:id="rId14" xr:uid="{BEA34A9D-43D5-4F11-96D7-ECA19D0DEB8D}"/>
    <hyperlink ref="I12" r:id="rId15" xr:uid="{461B6A5F-C14D-433D-B104-AB0336F389C7}"/>
    <hyperlink ref="I13" r:id="rId16" xr:uid="{287DB334-7D1D-4322-B9AE-AEDCCF51156D}"/>
    <hyperlink ref="I14" r:id="rId17" xr:uid="{9150F218-B7CA-4A1C-8E02-4073216D382E}"/>
    <hyperlink ref="I15" r:id="rId18" xr:uid="{515B22ED-DBFD-4D3A-A27A-EA4F5312E883}"/>
    <hyperlink ref="I16" r:id="rId19" xr:uid="{5CD4DE6F-8D09-48AF-8E63-593DB6AC26E2}"/>
    <hyperlink ref="I17" r:id="rId20" xr:uid="{9E8983EF-566D-40CC-B6F0-9A2E64EE2E88}"/>
    <hyperlink ref="I18" r:id="rId21" xr:uid="{B33A838E-ED92-42DE-AD76-A20D6DB926FE}"/>
    <hyperlink ref="I19" r:id="rId22" xr:uid="{B0B6671F-23A3-423A-8202-C81005E3D391}"/>
    <hyperlink ref="I20" r:id="rId23" xr:uid="{E387D32C-D6EB-4339-9733-B24BABEFAF59}"/>
    <hyperlink ref="I21" r:id="rId24" xr:uid="{0F73834B-3F1A-47AA-92F9-5E7EBEF535BB}"/>
    <hyperlink ref="I22" r:id="rId25" xr:uid="{412E06E0-6A6C-4B92-A748-4848708C9298}"/>
    <hyperlink ref="I23" r:id="rId26" xr:uid="{19AFC0C0-F0F8-4128-909F-7DC4411DACE6}"/>
    <hyperlink ref="I24" r:id="rId27" xr:uid="{19BDFF35-E6CD-4A85-B9F1-66065653526B}"/>
    <hyperlink ref="I25" r:id="rId28" xr:uid="{BB3A1E1A-8B13-4EF8-BC89-3CFF459492C1}"/>
  </hyperlinks>
  <pageMargins left="0.7" right="0.7" top="0.78740157499999996" bottom="0.78740157499999996" header="0.3" footer="0.3"/>
  <pageSetup paperSize="9" orientation="portrait" r:id="rId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B4CD-8E65-4599-9323-87C1F592EC09}">
  <dimension ref="A1:R23"/>
  <sheetViews>
    <sheetView tabSelected="1" zoomScale="80" zoomScaleNormal="80" workbookViewId="0">
      <selection sqref="A1:R23"/>
    </sheetView>
  </sheetViews>
  <sheetFormatPr baseColWidth="10" defaultRowHeight="12.75" x14ac:dyDescent="0.2"/>
  <cols>
    <col min="1" max="1" width="15.140625" style="112" bestFit="1" customWidth="1"/>
    <col min="2" max="2" width="18.42578125" style="112" bestFit="1" customWidth="1"/>
    <col min="3" max="5" width="14.42578125" style="112" bestFit="1" customWidth="1"/>
    <col min="6" max="6" width="14.85546875" style="112" bestFit="1" customWidth="1"/>
    <col min="7" max="7" width="14.42578125" style="112" bestFit="1" customWidth="1"/>
    <col min="8" max="8" width="37.7109375" style="112" customWidth="1"/>
    <col min="9" max="10" width="11.42578125" style="112"/>
    <col min="11" max="11" width="15.140625" style="112" bestFit="1" customWidth="1"/>
    <col min="12" max="12" width="18.42578125" style="112" bestFit="1" customWidth="1"/>
    <col min="13" max="15" width="14.42578125" style="112" bestFit="1" customWidth="1"/>
    <col min="16" max="16" width="14.85546875" style="112" bestFit="1" customWidth="1"/>
    <col min="17" max="17" width="13.140625" style="112" bestFit="1" customWidth="1"/>
    <col min="18" max="18" width="37.85546875" style="112" customWidth="1"/>
    <col min="19" max="16384" width="11.42578125" style="112"/>
  </cols>
  <sheetData>
    <row r="1" spans="1:18" ht="19.5" thickBot="1" x14ac:dyDescent="0.35">
      <c r="A1" s="165" t="s">
        <v>589</v>
      </c>
      <c r="B1" s="166"/>
      <c r="C1" s="166"/>
      <c r="D1" s="166"/>
      <c r="E1" s="166"/>
      <c r="F1" s="166"/>
      <c r="G1" s="166"/>
      <c r="H1" s="115"/>
      <c r="K1" s="165" t="s">
        <v>590</v>
      </c>
      <c r="L1" s="166"/>
      <c r="M1" s="166"/>
      <c r="N1" s="166"/>
      <c r="O1" s="166"/>
      <c r="P1" s="166"/>
      <c r="Q1" s="166"/>
      <c r="R1" s="115"/>
    </row>
    <row r="2" spans="1:18" ht="33" thickTop="1" thickBot="1" x14ac:dyDescent="0.3">
      <c r="A2" s="127" t="s">
        <v>556</v>
      </c>
      <c r="B2" s="127" t="s">
        <v>557</v>
      </c>
      <c r="C2" s="127" t="s">
        <v>558</v>
      </c>
      <c r="D2" s="127" t="s">
        <v>559</v>
      </c>
      <c r="E2" s="127" t="s">
        <v>560</v>
      </c>
      <c r="F2" s="127" t="s">
        <v>561</v>
      </c>
      <c r="G2" s="127" t="s">
        <v>562</v>
      </c>
      <c r="H2" s="148" t="s">
        <v>563</v>
      </c>
      <c r="I2" s="113"/>
      <c r="K2" s="127" t="s">
        <v>556</v>
      </c>
      <c r="L2" s="127" t="s">
        <v>557</v>
      </c>
      <c r="M2" s="127" t="s">
        <v>558</v>
      </c>
      <c r="N2" s="127" t="s">
        <v>559</v>
      </c>
      <c r="O2" s="127" t="s">
        <v>560</v>
      </c>
      <c r="P2" s="127" t="s">
        <v>561</v>
      </c>
      <c r="Q2" s="127" t="s">
        <v>562</v>
      </c>
      <c r="R2" s="148" t="s">
        <v>563</v>
      </c>
    </row>
    <row r="3" spans="1:18" ht="32.25" thickTop="1" x14ac:dyDescent="0.3">
      <c r="A3" s="126" t="s">
        <v>564</v>
      </c>
      <c r="B3" s="131" t="s">
        <v>565</v>
      </c>
      <c r="C3" s="142"/>
      <c r="D3" s="143"/>
      <c r="E3" s="143" t="s">
        <v>596</v>
      </c>
      <c r="F3" s="143"/>
      <c r="G3" s="143"/>
      <c r="H3" s="149"/>
      <c r="I3" s="113"/>
      <c r="K3" s="126" t="s">
        <v>564</v>
      </c>
      <c r="L3" s="131" t="s">
        <v>565</v>
      </c>
      <c r="M3" s="142"/>
      <c r="N3" s="143"/>
      <c r="O3" s="143" t="s">
        <v>596</v>
      </c>
      <c r="P3" s="143"/>
      <c r="Q3" s="143"/>
      <c r="R3" s="149"/>
    </row>
    <row r="4" spans="1:18" ht="45.75" x14ac:dyDescent="0.3">
      <c r="A4" s="114" t="s">
        <v>566</v>
      </c>
      <c r="B4" s="132" t="s">
        <v>567</v>
      </c>
      <c r="C4" s="128" t="s">
        <v>593</v>
      </c>
      <c r="D4" s="117"/>
      <c r="E4" s="117"/>
      <c r="F4" s="117" t="s">
        <v>593</v>
      </c>
      <c r="G4" s="117"/>
      <c r="H4" s="149"/>
      <c r="I4" s="113"/>
      <c r="K4" s="114" t="s">
        <v>566</v>
      </c>
      <c r="L4" s="132" t="s">
        <v>567</v>
      </c>
      <c r="M4" s="128" t="s">
        <v>593</v>
      </c>
      <c r="N4" s="117"/>
      <c r="O4" s="117"/>
      <c r="P4" s="117" t="s">
        <v>593</v>
      </c>
      <c r="Q4" s="117"/>
      <c r="R4" s="149"/>
    </row>
    <row r="5" spans="1:18" ht="31.5" x14ac:dyDescent="0.3">
      <c r="A5" s="114" t="s">
        <v>267</v>
      </c>
      <c r="B5" s="132" t="s">
        <v>568</v>
      </c>
      <c r="C5" s="144"/>
      <c r="D5" s="116" t="s">
        <v>594</v>
      </c>
      <c r="E5" s="116"/>
      <c r="F5" s="116" t="s">
        <v>594</v>
      </c>
      <c r="G5" s="116"/>
      <c r="H5" s="149"/>
      <c r="I5" s="113"/>
      <c r="K5" s="114" t="s">
        <v>267</v>
      </c>
      <c r="L5" s="132" t="s">
        <v>568</v>
      </c>
      <c r="M5" s="144"/>
      <c r="N5" s="116" t="s">
        <v>594</v>
      </c>
      <c r="O5" s="116"/>
      <c r="P5" s="116" t="s">
        <v>594</v>
      </c>
      <c r="Q5" s="116"/>
      <c r="R5" s="149"/>
    </row>
    <row r="6" spans="1:18" ht="31.5" x14ac:dyDescent="0.3">
      <c r="A6" s="114" t="s">
        <v>49</v>
      </c>
      <c r="B6" s="132" t="s">
        <v>569</v>
      </c>
      <c r="C6" s="128"/>
      <c r="D6" s="128" t="s">
        <v>595</v>
      </c>
      <c r="E6" s="128"/>
      <c r="F6" s="128" t="s">
        <v>595</v>
      </c>
      <c r="G6" s="128"/>
      <c r="H6" s="149"/>
      <c r="I6" s="113"/>
      <c r="K6" s="114" t="s">
        <v>49</v>
      </c>
      <c r="L6" s="132" t="s">
        <v>569</v>
      </c>
      <c r="M6" s="128"/>
      <c r="N6" s="128" t="s">
        <v>595</v>
      </c>
      <c r="O6" s="128"/>
      <c r="P6" s="128" t="s">
        <v>595</v>
      </c>
      <c r="Q6" s="128"/>
      <c r="R6" s="149"/>
    </row>
    <row r="7" spans="1:18" ht="31.5" x14ac:dyDescent="0.3">
      <c r="A7" s="114" t="s">
        <v>81</v>
      </c>
      <c r="B7" s="132" t="s">
        <v>571</v>
      </c>
      <c r="C7" s="128" t="s">
        <v>570</v>
      </c>
      <c r="D7" s="128"/>
      <c r="E7" s="128" t="s">
        <v>570</v>
      </c>
      <c r="F7" s="128"/>
      <c r="G7" s="128" t="s">
        <v>570</v>
      </c>
      <c r="H7" s="149"/>
      <c r="I7" s="113"/>
      <c r="K7" s="114" t="s">
        <v>81</v>
      </c>
      <c r="L7" s="132" t="s">
        <v>571</v>
      </c>
      <c r="M7" s="137"/>
      <c r="N7" s="137"/>
      <c r="O7" s="137"/>
      <c r="P7" s="137"/>
      <c r="Q7" s="137"/>
      <c r="R7" s="149"/>
    </row>
    <row r="8" spans="1:18" ht="31.5" x14ac:dyDescent="0.3">
      <c r="A8" s="114" t="s">
        <v>124</v>
      </c>
      <c r="B8" s="132" t="s">
        <v>572</v>
      </c>
      <c r="C8" s="145"/>
      <c r="D8" s="117" t="s">
        <v>600</v>
      </c>
      <c r="E8" s="117"/>
      <c r="F8" s="117" t="s">
        <v>600</v>
      </c>
      <c r="G8" s="117"/>
      <c r="H8" s="149"/>
      <c r="I8" s="113"/>
      <c r="K8" s="114" t="s">
        <v>124</v>
      </c>
      <c r="L8" s="132" t="s">
        <v>572</v>
      </c>
      <c r="M8" s="145"/>
      <c r="N8" s="117" t="s">
        <v>600</v>
      </c>
      <c r="O8" s="117"/>
      <c r="P8" s="117" t="s">
        <v>600</v>
      </c>
      <c r="Q8" s="117"/>
      <c r="R8" s="149"/>
    </row>
    <row r="9" spans="1:18" ht="31.5" x14ac:dyDescent="0.3">
      <c r="A9" s="137" t="s">
        <v>156</v>
      </c>
      <c r="B9" s="138" t="s">
        <v>573</v>
      </c>
      <c r="C9" s="117" t="s">
        <v>588</v>
      </c>
      <c r="D9" s="117"/>
      <c r="E9" s="128" t="s">
        <v>588</v>
      </c>
      <c r="F9" s="117"/>
      <c r="G9" s="117" t="s">
        <v>588</v>
      </c>
      <c r="H9" s="149"/>
      <c r="I9" s="113"/>
      <c r="K9" s="137" t="s">
        <v>156</v>
      </c>
      <c r="L9" s="138" t="s">
        <v>573</v>
      </c>
      <c r="M9" s="137"/>
      <c r="N9" s="137"/>
      <c r="O9" s="137"/>
      <c r="P9" s="137"/>
      <c r="Q9" s="137"/>
      <c r="R9" s="149"/>
    </row>
    <row r="10" spans="1:18" ht="31.5" x14ac:dyDescent="0.3">
      <c r="A10" s="137" t="s">
        <v>177</v>
      </c>
      <c r="B10" s="138" t="s">
        <v>574</v>
      </c>
      <c r="C10" s="117" t="s">
        <v>588</v>
      </c>
      <c r="D10" s="117"/>
      <c r="E10" s="128" t="s">
        <v>588</v>
      </c>
      <c r="F10" s="117"/>
      <c r="G10" s="117" t="s">
        <v>588</v>
      </c>
      <c r="H10" s="149"/>
      <c r="I10" s="113"/>
      <c r="K10" s="137" t="s">
        <v>177</v>
      </c>
      <c r="L10" s="138" t="s">
        <v>574</v>
      </c>
      <c r="M10" s="137"/>
      <c r="N10" s="137"/>
      <c r="O10" s="137"/>
      <c r="P10" s="137"/>
      <c r="Q10" s="137"/>
      <c r="R10" s="149"/>
    </row>
    <row r="11" spans="1:18" ht="45.75" x14ac:dyDescent="0.3">
      <c r="A11" s="124" t="s">
        <v>250</v>
      </c>
      <c r="B11" s="133" t="s">
        <v>575</v>
      </c>
      <c r="C11" s="175" t="s">
        <v>597</v>
      </c>
      <c r="D11" s="139"/>
      <c r="E11" s="125" t="s">
        <v>588</v>
      </c>
      <c r="F11" s="125" t="s">
        <v>588</v>
      </c>
      <c r="G11" s="139"/>
      <c r="H11" s="149"/>
      <c r="I11" s="113"/>
      <c r="K11" s="124" t="s">
        <v>250</v>
      </c>
      <c r="L11" s="133" t="s">
        <v>575</v>
      </c>
      <c r="M11" s="175" t="s">
        <v>597</v>
      </c>
      <c r="N11" s="139"/>
      <c r="O11" s="125" t="s">
        <v>588</v>
      </c>
      <c r="P11" s="125" t="s">
        <v>588</v>
      </c>
      <c r="Q11" s="139"/>
      <c r="R11" s="149"/>
    </row>
    <row r="12" spans="1:18" ht="111.75" thickBot="1" x14ac:dyDescent="0.35">
      <c r="A12" s="136" t="s">
        <v>315</v>
      </c>
      <c r="B12" s="135" t="s">
        <v>576</v>
      </c>
      <c r="C12" s="146"/>
      <c r="D12" s="175" t="s">
        <v>599</v>
      </c>
      <c r="E12" s="147"/>
      <c r="F12" s="128" t="s">
        <v>592</v>
      </c>
      <c r="G12" s="175" t="s">
        <v>598</v>
      </c>
      <c r="H12" s="150"/>
      <c r="I12" s="113"/>
      <c r="K12" s="136" t="s">
        <v>315</v>
      </c>
      <c r="L12" s="135" t="s">
        <v>576</v>
      </c>
      <c r="M12" s="146"/>
      <c r="N12" s="175" t="s">
        <v>597</v>
      </c>
      <c r="O12" s="147"/>
      <c r="P12" s="128" t="s">
        <v>592</v>
      </c>
      <c r="Q12" s="175" t="s">
        <v>598</v>
      </c>
      <c r="R12" s="150"/>
    </row>
    <row r="13" spans="1:18" ht="19.5" thickTop="1" x14ac:dyDescent="0.3">
      <c r="A13" s="114" t="s">
        <v>577</v>
      </c>
      <c r="B13" s="131"/>
      <c r="C13" s="129" t="s">
        <v>578</v>
      </c>
      <c r="D13" s="120"/>
      <c r="E13" s="119" t="s">
        <v>578</v>
      </c>
      <c r="F13" s="119" t="s">
        <v>578</v>
      </c>
      <c r="G13" s="120"/>
      <c r="H13" s="115"/>
      <c r="K13" s="114" t="s">
        <v>577</v>
      </c>
      <c r="L13" s="131"/>
      <c r="M13" s="129" t="s">
        <v>578</v>
      </c>
      <c r="N13" s="120"/>
      <c r="O13" s="119" t="s">
        <v>578</v>
      </c>
      <c r="P13" s="119" t="s">
        <v>578</v>
      </c>
      <c r="Q13" s="120"/>
      <c r="R13" s="115"/>
    </row>
    <row r="14" spans="1:18" ht="19.5" thickBot="1" x14ac:dyDescent="0.35">
      <c r="A14" s="114" t="s">
        <v>579</v>
      </c>
      <c r="B14" s="134" t="s">
        <v>580</v>
      </c>
      <c r="C14" s="130" t="s">
        <v>578</v>
      </c>
      <c r="D14" s="118"/>
      <c r="E14" s="121" t="s">
        <v>578</v>
      </c>
      <c r="F14" s="121" t="s">
        <v>578</v>
      </c>
      <c r="G14" s="118"/>
      <c r="H14" s="115"/>
      <c r="K14" s="114" t="s">
        <v>579</v>
      </c>
      <c r="L14" s="134" t="s">
        <v>580</v>
      </c>
      <c r="M14" s="130" t="s">
        <v>578</v>
      </c>
      <c r="N14" s="118"/>
      <c r="O14" s="121" t="s">
        <v>578</v>
      </c>
      <c r="P14" s="121" t="s">
        <v>578</v>
      </c>
      <c r="Q14" s="118"/>
      <c r="R14" s="115"/>
    </row>
    <row r="15" spans="1:18" ht="33.75" thickTop="1" thickBot="1" x14ac:dyDescent="0.35">
      <c r="A15" s="151" t="s">
        <v>581</v>
      </c>
      <c r="B15" s="152"/>
      <c r="C15" s="122"/>
      <c r="D15" s="123" t="s">
        <v>578</v>
      </c>
      <c r="E15" s="122"/>
      <c r="F15" s="122"/>
      <c r="G15" s="122"/>
      <c r="H15" s="115"/>
      <c r="K15" s="151" t="s">
        <v>581</v>
      </c>
      <c r="L15" s="152"/>
      <c r="M15" s="122"/>
      <c r="N15" s="123" t="s">
        <v>578</v>
      </c>
      <c r="O15" s="122"/>
      <c r="P15" s="122"/>
      <c r="Q15" s="122"/>
      <c r="R15" s="115"/>
    </row>
    <row r="16" spans="1:18" ht="17.25" thickTop="1" thickBot="1" x14ac:dyDescent="0.3">
      <c r="A16" s="153" t="s">
        <v>582</v>
      </c>
      <c r="B16" s="154"/>
      <c r="C16" s="154"/>
      <c r="D16" s="154"/>
      <c r="E16" s="154"/>
      <c r="F16" s="154"/>
      <c r="G16" s="154"/>
      <c r="H16" s="115"/>
      <c r="K16" s="153" t="s">
        <v>582</v>
      </c>
      <c r="L16" s="154"/>
      <c r="M16" s="154"/>
      <c r="N16" s="154"/>
      <c r="O16" s="154"/>
      <c r="P16" s="154"/>
      <c r="Q16" s="154"/>
      <c r="R16" s="115"/>
    </row>
    <row r="17" spans="1:18" ht="17.25" thickTop="1" thickBot="1" x14ac:dyDescent="0.3">
      <c r="A17" s="155" t="s">
        <v>583</v>
      </c>
      <c r="B17" s="156"/>
      <c r="C17" s="156"/>
      <c r="D17" s="156"/>
      <c r="E17" s="156"/>
      <c r="F17" s="156"/>
      <c r="G17" s="156"/>
      <c r="H17" s="115"/>
      <c r="K17" s="155" t="s">
        <v>583</v>
      </c>
      <c r="L17" s="156"/>
      <c r="M17" s="156"/>
      <c r="N17" s="156"/>
      <c r="O17" s="156"/>
      <c r="P17" s="156"/>
      <c r="Q17" s="156"/>
      <c r="R17" s="115"/>
    </row>
    <row r="18" spans="1:18" ht="17.25" thickTop="1" thickBot="1" x14ac:dyDescent="0.3">
      <c r="A18" s="157" t="s">
        <v>584</v>
      </c>
      <c r="B18" s="158"/>
      <c r="C18" s="158"/>
      <c r="D18" s="158"/>
      <c r="E18" s="158"/>
      <c r="F18" s="158"/>
      <c r="G18" s="158"/>
      <c r="H18" s="115"/>
      <c r="K18" s="157" t="s">
        <v>584</v>
      </c>
      <c r="L18" s="158"/>
      <c r="M18" s="158"/>
      <c r="N18" s="158"/>
      <c r="O18" s="158"/>
      <c r="P18" s="158"/>
      <c r="Q18" s="158"/>
      <c r="R18" s="115"/>
    </row>
    <row r="19" spans="1:18" ht="17.25" thickTop="1" thickBot="1" x14ac:dyDescent="0.3">
      <c r="A19" s="167" t="s">
        <v>591</v>
      </c>
      <c r="B19" s="168"/>
      <c r="C19" s="168"/>
      <c r="D19" s="168"/>
      <c r="E19" s="168"/>
      <c r="F19" s="168"/>
      <c r="G19" s="168"/>
      <c r="H19" s="115"/>
      <c r="K19" s="140"/>
      <c r="L19" s="141"/>
      <c r="M19" s="141"/>
      <c r="N19" s="141"/>
      <c r="O19" s="141"/>
      <c r="P19" s="141"/>
      <c r="Q19" s="141"/>
      <c r="R19" s="115"/>
    </row>
    <row r="20" spans="1:18" ht="17.25" thickTop="1" thickBot="1" x14ac:dyDescent="0.3">
      <c r="A20" s="159" t="s">
        <v>585</v>
      </c>
      <c r="B20" s="160"/>
      <c r="C20" s="160"/>
      <c r="D20" s="160"/>
      <c r="E20" s="160"/>
      <c r="F20" s="160"/>
      <c r="G20" s="160"/>
      <c r="H20" s="115"/>
      <c r="K20" s="159" t="s">
        <v>585</v>
      </c>
      <c r="L20" s="160"/>
      <c r="M20" s="160"/>
      <c r="N20" s="160"/>
      <c r="O20" s="160"/>
      <c r="P20" s="160"/>
      <c r="Q20" s="160"/>
      <c r="R20" s="115"/>
    </row>
    <row r="21" spans="1:18" ht="17.25" thickTop="1" thickBot="1" x14ac:dyDescent="0.3">
      <c r="A21" s="161" t="s">
        <v>586</v>
      </c>
      <c r="B21" s="162"/>
      <c r="C21" s="162"/>
      <c r="D21" s="162"/>
      <c r="E21" s="162"/>
      <c r="F21" s="162"/>
      <c r="G21" s="162"/>
      <c r="H21" s="115"/>
      <c r="K21" s="161" t="s">
        <v>586</v>
      </c>
      <c r="L21" s="162"/>
      <c r="M21" s="162"/>
      <c r="N21" s="162"/>
      <c r="O21" s="162"/>
      <c r="P21" s="162"/>
      <c r="Q21" s="162"/>
      <c r="R21" s="115"/>
    </row>
    <row r="22" spans="1:18" ht="17.25" thickTop="1" thickBot="1" x14ac:dyDescent="0.3">
      <c r="A22" s="163" t="s">
        <v>587</v>
      </c>
      <c r="B22" s="164"/>
      <c r="C22" s="164"/>
      <c r="D22" s="164"/>
      <c r="E22" s="164"/>
      <c r="F22" s="164"/>
      <c r="G22" s="164"/>
      <c r="H22" s="115"/>
      <c r="K22" s="163" t="s">
        <v>587</v>
      </c>
      <c r="L22" s="164"/>
      <c r="M22" s="164"/>
      <c r="N22" s="164"/>
      <c r="O22" s="164"/>
      <c r="P22" s="164"/>
      <c r="Q22" s="164"/>
      <c r="R22" s="115"/>
    </row>
    <row r="23" spans="1:18" ht="13.5" thickTop="1" x14ac:dyDescent="0.2"/>
  </sheetData>
  <mergeCells count="19">
    <mergeCell ref="A20:G20"/>
    <mergeCell ref="A15:B15"/>
    <mergeCell ref="A21:G21"/>
    <mergeCell ref="A22:G22"/>
    <mergeCell ref="K1:Q1"/>
    <mergeCell ref="K20:Q20"/>
    <mergeCell ref="K21:Q21"/>
    <mergeCell ref="K22:Q22"/>
    <mergeCell ref="A19:G19"/>
    <mergeCell ref="A1:G1"/>
    <mergeCell ref="H2:H12"/>
    <mergeCell ref="A16:G16"/>
    <mergeCell ref="A17:G17"/>
    <mergeCell ref="A18:G18"/>
    <mergeCell ref="R2:R12"/>
    <mergeCell ref="K15:L15"/>
    <mergeCell ref="K16:Q16"/>
    <mergeCell ref="K17:Q17"/>
    <mergeCell ref="K18:Q18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D2BC-7D2D-46EB-9A5B-58E20E359075}">
  <dimension ref="A1:N40"/>
  <sheetViews>
    <sheetView topLeftCell="A6" workbookViewId="0">
      <selection activeCell="E32" sqref="E32"/>
    </sheetView>
  </sheetViews>
  <sheetFormatPr baseColWidth="10" defaultRowHeight="20.100000000000001" customHeight="1" x14ac:dyDescent="0.2"/>
  <cols>
    <col min="1" max="1" width="22.7109375" bestFit="1" customWidth="1"/>
    <col min="2" max="2" width="43.85546875" bestFit="1" customWidth="1"/>
    <col min="3" max="3" width="31.7109375" customWidth="1"/>
    <col min="4" max="4" width="43.85546875" customWidth="1"/>
    <col min="5" max="5" width="29" bestFit="1" customWidth="1"/>
    <col min="6" max="6" width="24.85546875" bestFit="1" customWidth="1"/>
    <col min="7" max="7" width="24.85546875" customWidth="1"/>
    <col min="8" max="8" width="27.85546875" bestFit="1" customWidth="1"/>
    <col min="12" max="12" width="18.140625" bestFit="1" customWidth="1"/>
    <col min="14" max="14" width="23.85546875" bestFit="1" customWidth="1"/>
  </cols>
  <sheetData>
    <row r="1" spans="1:14" ht="30" x14ac:dyDescent="0.25">
      <c r="A1" s="49" t="s">
        <v>336</v>
      </c>
      <c r="B1" s="49" t="s">
        <v>337</v>
      </c>
      <c r="C1" s="67" t="s">
        <v>345</v>
      </c>
      <c r="D1" s="67" t="s">
        <v>346</v>
      </c>
      <c r="E1" s="49" t="s">
        <v>419</v>
      </c>
      <c r="F1" s="49" t="s">
        <v>425</v>
      </c>
      <c r="G1" s="68"/>
      <c r="H1" s="66" t="s">
        <v>322</v>
      </c>
      <c r="I1" s="66">
        <v>50</v>
      </c>
    </row>
    <row r="2" spans="1:14" ht="20.100000000000001" customHeight="1" x14ac:dyDescent="0.25">
      <c r="A2" s="49" t="s">
        <v>322</v>
      </c>
      <c r="B2" s="49" t="s">
        <v>323</v>
      </c>
      <c r="C2" s="49" t="s">
        <v>272</v>
      </c>
      <c r="D2" s="81"/>
      <c r="E2" s="71">
        <f>IF(C2="FK",$I$1,IF(C2="HT12",$I$6,IF(C2="CT12",$I$7,IF(C2="HT13",$I$2,IF(C2="CT13",$I$8,IF(C2="T1",$I$10,0))))))</f>
        <v>50</v>
      </c>
      <c r="F2" s="71">
        <f>IF(D2="FK",$I$1,IF(D2="HT12",$I$6,IF(D2="CT12",$I$7,IF(D2="HT13",$I$2,IF(D2="CT13",$I$8,IF(D2="T1",$I$10,0))))))</f>
        <v>0</v>
      </c>
      <c r="G2" s="69"/>
      <c r="H2" s="66" t="s">
        <v>347</v>
      </c>
      <c r="I2" s="66">
        <v>250</v>
      </c>
    </row>
    <row r="3" spans="1:14" ht="20.100000000000001" customHeight="1" x14ac:dyDescent="0.25">
      <c r="A3" s="169" t="s">
        <v>267</v>
      </c>
      <c r="B3" s="49" t="s">
        <v>423</v>
      </c>
      <c r="C3" s="49"/>
      <c r="D3" s="81"/>
      <c r="E3" s="71">
        <v>100</v>
      </c>
      <c r="F3" s="71">
        <v>150</v>
      </c>
      <c r="G3" s="69"/>
      <c r="H3" s="66"/>
      <c r="I3" s="66"/>
    </row>
    <row r="4" spans="1:14" ht="20.100000000000001" customHeight="1" x14ac:dyDescent="0.25">
      <c r="A4" s="170"/>
      <c r="B4" s="49" t="s">
        <v>424</v>
      </c>
      <c r="C4" s="49"/>
      <c r="D4" s="81"/>
      <c r="E4" s="71">
        <v>100</v>
      </c>
      <c r="F4" s="71">
        <v>150</v>
      </c>
      <c r="G4" s="69"/>
      <c r="H4" s="66"/>
      <c r="I4" s="66"/>
    </row>
    <row r="5" spans="1:14" ht="20.100000000000001" customHeight="1" x14ac:dyDescent="0.25">
      <c r="A5" s="169" t="s">
        <v>49</v>
      </c>
      <c r="B5" s="49" t="s">
        <v>404</v>
      </c>
      <c r="C5" s="49"/>
      <c r="D5" s="81"/>
      <c r="E5" s="71">
        <v>150</v>
      </c>
      <c r="F5" s="71">
        <v>150</v>
      </c>
      <c r="G5" s="69"/>
      <c r="H5" s="66" t="s">
        <v>442</v>
      </c>
      <c r="I5" s="66">
        <v>50</v>
      </c>
    </row>
    <row r="6" spans="1:14" ht="20.100000000000001" customHeight="1" x14ac:dyDescent="0.25">
      <c r="A6" s="170"/>
      <c r="B6" s="49" t="s">
        <v>405</v>
      </c>
      <c r="C6" s="49"/>
      <c r="D6" s="49"/>
      <c r="E6" s="71">
        <v>150</v>
      </c>
      <c r="F6" s="71">
        <v>150</v>
      </c>
      <c r="G6" s="69"/>
      <c r="H6" s="66" t="s">
        <v>348</v>
      </c>
      <c r="I6" s="66">
        <v>150</v>
      </c>
      <c r="L6" t="s">
        <v>351</v>
      </c>
      <c r="M6" t="s">
        <v>352</v>
      </c>
      <c r="N6" t="s">
        <v>353</v>
      </c>
    </row>
    <row r="7" spans="1:14" ht="20.100000000000001" customHeight="1" x14ac:dyDescent="0.25">
      <c r="A7" s="174" t="s">
        <v>81</v>
      </c>
      <c r="B7" s="49" t="s">
        <v>325</v>
      </c>
      <c r="C7" s="49"/>
      <c r="D7" s="81"/>
      <c r="E7" s="50">
        <v>200</v>
      </c>
      <c r="F7" s="50">
        <v>200</v>
      </c>
      <c r="G7" s="69"/>
      <c r="H7" s="66" t="s">
        <v>349</v>
      </c>
      <c r="I7" s="66">
        <v>150</v>
      </c>
      <c r="L7" s="49" t="s">
        <v>325</v>
      </c>
      <c r="M7" s="50">
        <v>200</v>
      </c>
      <c r="N7" t="s">
        <v>354</v>
      </c>
    </row>
    <row r="8" spans="1:14" ht="20.100000000000001" customHeight="1" x14ac:dyDescent="0.25">
      <c r="A8" s="174"/>
      <c r="B8" s="75" t="s">
        <v>327</v>
      </c>
      <c r="C8" s="49"/>
      <c r="D8" s="81"/>
      <c r="E8" s="50">
        <v>150</v>
      </c>
      <c r="F8" s="50">
        <v>150</v>
      </c>
      <c r="G8" s="69"/>
      <c r="H8" s="66" t="s">
        <v>440</v>
      </c>
      <c r="I8" s="66">
        <v>300</v>
      </c>
      <c r="L8" s="70" t="s">
        <v>350</v>
      </c>
      <c r="M8" s="50">
        <v>100</v>
      </c>
      <c r="N8" t="s">
        <v>358</v>
      </c>
    </row>
    <row r="9" spans="1:14" ht="20.100000000000001" customHeight="1" x14ac:dyDescent="0.25">
      <c r="A9" s="174" t="s">
        <v>124</v>
      </c>
      <c r="B9" s="75" t="s">
        <v>326</v>
      </c>
      <c r="C9" s="49"/>
      <c r="D9" s="81"/>
      <c r="E9" s="50">
        <v>150</v>
      </c>
      <c r="F9" s="50">
        <v>150</v>
      </c>
      <c r="G9" s="69"/>
      <c r="H9" s="66" t="s">
        <v>441</v>
      </c>
      <c r="I9" s="66">
        <v>250</v>
      </c>
      <c r="L9" s="70" t="s">
        <v>326</v>
      </c>
      <c r="M9" s="50">
        <v>150</v>
      </c>
      <c r="N9" t="s">
        <v>354</v>
      </c>
    </row>
    <row r="10" spans="1:14" ht="20.100000000000001" customHeight="1" x14ac:dyDescent="0.25">
      <c r="A10" s="174"/>
      <c r="B10" s="75" t="s">
        <v>414</v>
      </c>
      <c r="C10" s="49"/>
      <c r="D10" s="81"/>
      <c r="E10" s="50">
        <v>100</v>
      </c>
      <c r="F10" s="50">
        <v>150</v>
      </c>
      <c r="G10" s="69"/>
      <c r="H10" s="66" t="s">
        <v>335</v>
      </c>
      <c r="I10" s="66">
        <v>100</v>
      </c>
      <c r="L10" s="70" t="s">
        <v>327</v>
      </c>
      <c r="M10" s="50">
        <v>150</v>
      </c>
      <c r="N10" t="s">
        <v>354</v>
      </c>
    </row>
    <row r="11" spans="1:14" ht="20.100000000000001" customHeight="1" x14ac:dyDescent="0.25">
      <c r="A11" s="49" t="s">
        <v>156</v>
      </c>
      <c r="B11" s="49" t="s">
        <v>414</v>
      </c>
      <c r="C11" s="49"/>
      <c r="D11" s="49"/>
      <c r="E11" s="50">
        <v>100</v>
      </c>
      <c r="F11" s="50">
        <v>150</v>
      </c>
      <c r="G11" s="69"/>
      <c r="L11" s="49" t="s">
        <v>323</v>
      </c>
      <c r="M11" s="72">
        <v>200</v>
      </c>
      <c r="N11" t="s">
        <v>354</v>
      </c>
    </row>
    <row r="12" spans="1:14" ht="20.100000000000001" customHeight="1" x14ac:dyDescent="0.25">
      <c r="A12" s="174" t="s">
        <v>177</v>
      </c>
      <c r="B12" s="49" t="s">
        <v>325</v>
      </c>
      <c r="C12" s="49"/>
      <c r="D12" s="81"/>
      <c r="E12" s="71">
        <v>200</v>
      </c>
      <c r="F12" s="71">
        <v>200</v>
      </c>
      <c r="G12" s="69"/>
      <c r="H12" s="66" t="s">
        <v>445</v>
      </c>
      <c r="L12" s="49" t="s">
        <v>328</v>
      </c>
      <c r="M12" s="72">
        <v>200</v>
      </c>
      <c r="N12" t="s">
        <v>354</v>
      </c>
    </row>
    <row r="13" spans="1:14" ht="20.100000000000001" customHeight="1" x14ac:dyDescent="0.25">
      <c r="A13" s="174"/>
      <c r="B13" s="49" t="s">
        <v>328</v>
      </c>
      <c r="C13" s="49"/>
      <c r="D13" s="81"/>
      <c r="E13" s="71">
        <v>150</v>
      </c>
      <c r="F13" s="71">
        <v>150</v>
      </c>
      <c r="G13" s="69"/>
      <c r="H13" s="66" t="s">
        <v>443</v>
      </c>
      <c r="I13" s="66">
        <v>360</v>
      </c>
      <c r="J13" s="91">
        <v>45</v>
      </c>
      <c r="L13" s="49" t="s">
        <v>329</v>
      </c>
      <c r="M13" s="72">
        <v>250</v>
      </c>
      <c r="N13" t="s">
        <v>354</v>
      </c>
    </row>
    <row r="14" spans="1:14" ht="20.100000000000001" customHeight="1" x14ac:dyDescent="0.25">
      <c r="A14" s="49" t="s">
        <v>213</v>
      </c>
      <c r="B14" s="49" t="s">
        <v>324</v>
      </c>
      <c r="C14" s="49"/>
      <c r="D14" s="49"/>
      <c r="E14" s="50">
        <f t="shared" ref="E14:F15" si="0">IF(C14="FK",$I$1,IF(C14="HT12",$I$6,IF(C14="CT12",$I$7,IF(C14="HT13",$I$2,IF(C14="CT13",$I$8,IF(C14="T1",$I$10,0))))))</f>
        <v>0</v>
      </c>
      <c r="F14" s="50">
        <f t="shared" si="0"/>
        <v>0</v>
      </c>
      <c r="G14" s="69"/>
      <c r="H14" s="66" t="s">
        <v>444</v>
      </c>
      <c r="I14" s="66">
        <v>550</v>
      </c>
      <c r="J14">
        <v>68.75</v>
      </c>
      <c r="L14" s="49" t="s">
        <v>330</v>
      </c>
      <c r="M14" s="72">
        <v>100</v>
      </c>
      <c r="N14" t="s">
        <v>356</v>
      </c>
    </row>
    <row r="15" spans="1:14" ht="20.100000000000001" customHeight="1" x14ac:dyDescent="0.25">
      <c r="A15" s="174" t="s">
        <v>250</v>
      </c>
      <c r="B15" s="49" t="s">
        <v>329</v>
      </c>
      <c r="C15" s="49"/>
      <c r="D15" s="81"/>
      <c r="E15" s="71">
        <f t="shared" si="0"/>
        <v>0</v>
      </c>
      <c r="F15" s="71">
        <f t="shared" si="0"/>
        <v>0</v>
      </c>
      <c r="G15" s="69"/>
      <c r="L15" s="49" t="s">
        <v>331</v>
      </c>
      <c r="M15" s="72">
        <v>250</v>
      </c>
      <c r="N15" t="s">
        <v>354</v>
      </c>
    </row>
    <row r="16" spans="1:14" ht="20.100000000000001" customHeight="1" x14ac:dyDescent="0.25">
      <c r="A16" s="174"/>
      <c r="B16" s="49"/>
      <c r="C16" s="49"/>
      <c r="D16" s="81"/>
      <c r="E16" s="71">
        <f>IF(C16="FK",$I$1,IF(C16="HT12",$I$6,IF(C16="CT12",$I$7,IF(C16="HT13",$I$2,IF(C16="CT13",$I$8,IF(C16="T1",$I$10,0))))))</f>
        <v>0</v>
      </c>
      <c r="F16" s="71"/>
      <c r="G16" s="69"/>
      <c r="L16" s="49" t="s">
        <v>332</v>
      </c>
      <c r="M16" s="72">
        <v>300</v>
      </c>
      <c r="N16" t="s">
        <v>354</v>
      </c>
    </row>
    <row r="17" spans="1:14" ht="20.100000000000001" customHeight="1" x14ac:dyDescent="0.25">
      <c r="A17" s="174" t="s">
        <v>269</v>
      </c>
      <c r="B17" s="49"/>
      <c r="C17" s="49"/>
      <c r="D17" s="81"/>
      <c r="E17" s="71">
        <f>IF(C17="FK",$I$1,IF(C17="HT12",$I$6,IF(C17="CT12",$I$7,IF(C17="HT13",$I$2,IF(C17="CT13",$I$8,IF(C17="T1",$I$10,0))))))</f>
        <v>0</v>
      </c>
      <c r="F17" s="71">
        <f>IF(D17="FK",$I$1,IF(D17="HT12",$I$6,IF(D17="CT12",$I$7,IF(D17="HT13",$I$2,IF(D17="CT13",$I$8,IF(D17="T1",$I$10,0))))))</f>
        <v>0</v>
      </c>
      <c r="G17" s="69"/>
      <c r="L17" s="49" t="s">
        <v>333</v>
      </c>
      <c r="M17" s="72">
        <v>200</v>
      </c>
      <c r="N17" t="s">
        <v>357</v>
      </c>
    </row>
    <row r="18" spans="1:14" ht="20.100000000000001" customHeight="1" x14ac:dyDescent="0.25">
      <c r="A18" s="174"/>
      <c r="B18" s="49"/>
      <c r="C18" s="49"/>
      <c r="D18" s="49"/>
      <c r="E18" s="71">
        <f>IF(C18="FK",$I$1,IF(C18="HT12",$I$6,IF(C18="CT12",$I$7,IF(C18="HT13",$I$2,IF(C18="CT13",$I$8,IF(C18="T1",$I$10,0))))))</f>
        <v>0</v>
      </c>
      <c r="F18" s="71">
        <f>IF(D18="FK",$I$1,IF(D18="HT12",$I$6,IF(D18="CT12",$I$7,IF(D18="HT13",$I$2,IF(D18="CT13",$I$8,IF(D18="T1",$I$10,0))))))</f>
        <v>0</v>
      </c>
      <c r="G18" s="69"/>
      <c r="L18" s="49" t="s">
        <v>334</v>
      </c>
      <c r="M18" s="72">
        <v>350</v>
      </c>
      <c r="N18" t="s">
        <v>355</v>
      </c>
    </row>
    <row r="19" spans="1:14" ht="20.100000000000001" customHeight="1" x14ac:dyDescent="0.25">
      <c r="A19" s="171" t="s">
        <v>315</v>
      </c>
      <c r="B19" s="49" t="s">
        <v>332</v>
      </c>
      <c r="C19" s="49"/>
      <c r="D19" s="49"/>
      <c r="E19" s="71">
        <v>350</v>
      </c>
      <c r="F19" s="71">
        <v>350</v>
      </c>
      <c r="G19" s="69"/>
      <c r="L19" s="68"/>
      <c r="M19" s="74"/>
    </row>
    <row r="20" spans="1:14" ht="20.100000000000001" customHeight="1" x14ac:dyDescent="0.25">
      <c r="A20" s="172"/>
      <c r="B20" s="49" t="s">
        <v>333</v>
      </c>
      <c r="C20" s="49"/>
      <c r="D20" s="49"/>
      <c r="E20" s="71">
        <v>250</v>
      </c>
      <c r="F20" s="71">
        <v>250</v>
      </c>
      <c r="G20" s="69"/>
      <c r="L20" s="68"/>
      <c r="M20" s="74"/>
    </row>
    <row r="21" spans="1:14" ht="20.100000000000001" customHeight="1" x14ac:dyDescent="0.25">
      <c r="A21" s="172"/>
      <c r="B21" s="49" t="s">
        <v>331</v>
      </c>
      <c r="C21" s="49"/>
      <c r="D21" s="81"/>
      <c r="E21" s="71">
        <v>200</v>
      </c>
      <c r="F21" s="71">
        <v>200</v>
      </c>
      <c r="G21" s="69"/>
      <c r="M21" s="18">
        <f>SUM(M7:M18)</f>
        <v>2450</v>
      </c>
    </row>
    <row r="22" spans="1:14" ht="20.100000000000001" customHeight="1" x14ac:dyDescent="0.25">
      <c r="A22" s="173"/>
      <c r="B22" s="49"/>
      <c r="C22" s="49"/>
      <c r="D22" s="81"/>
      <c r="E22" s="71">
        <v>200</v>
      </c>
      <c r="F22" s="71">
        <v>200</v>
      </c>
      <c r="G22" s="69"/>
    </row>
    <row r="23" spans="1:14" ht="20.100000000000001" customHeight="1" x14ac:dyDescent="0.25">
      <c r="A23" s="171" t="s">
        <v>415</v>
      </c>
      <c r="B23" s="49" t="s">
        <v>416</v>
      </c>
      <c r="C23" s="49"/>
      <c r="D23" s="81"/>
      <c r="E23" s="71">
        <v>150</v>
      </c>
      <c r="F23" s="71">
        <v>200</v>
      </c>
      <c r="G23" s="69"/>
    </row>
    <row r="24" spans="1:14" ht="20.100000000000001" customHeight="1" x14ac:dyDescent="0.25">
      <c r="A24" s="172"/>
      <c r="B24" s="49" t="s">
        <v>417</v>
      </c>
      <c r="C24" s="49"/>
      <c r="D24" s="81"/>
      <c r="E24" s="71">
        <v>150</v>
      </c>
      <c r="F24" s="71">
        <v>150</v>
      </c>
      <c r="G24" s="69"/>
    </row>
    <row r="25" spans="1:14" ht="20.100000000000001" customHeight="1" x14ac:dyDescent="0.25">
      <c r="A25" s="173"/>
      <c r="B25" s="49" t="s">
        <v>418</v>
      </c>
      <c r="C25" s="49"/>
      <c r="D25" s="81"/>
      <c r="E25" s="71">
        <v>150</v>
      </c>
      <c r="F25" s="71">
        <v>150</v>
      </c>
      <c r="G25" s="69"/>
    </row>
    <row r="26" spans="1:14" ht="20.100000000000001" customHeight="1" x14ac:dyDescent="0.25">
      <c r="A26" s="49" t="s">
        <v>388</v>
      </c>
      <c r="B26" s="49" t="s">
        <v>389</v>
      </c>
      <c r="C26" s="49"/>
      <c r="D26" s="49"/>
      <c r="E26" s="71">
        <v>40</v>
      </c>
      <c r="F26" s="71">
        <v>40</v>
      </c>
      <c r="G26" s="69"/>
    </row>
    <row r="27" spans="1:14" ht="20.100000000000001" customHeight="1" x14ac:dyDescent="0.25">
      <c r="A27" s="49" t="s">
        <v>388</v>
      </c>
      <c r="B27" s="49" t="s">
        <v>390</v>
      </c>
      <c r="C27" s="49"/>
      <c r="D27" s="49"/>
      <c r="E27" s="71">
        <v>50</v>
      </c>
      <c r="F27" s="71">
        <v>50</v>
      </c>
      <c r="G27" s="69"/>
    </row>
    <row r="28" spans="1:14" ht="20.100000000000001" customHeight="1" x14ac:dyDescent="0.25">
      <c r="A28" s="75" t="s">
        <v>391</v>
      </c>
      <c r="B28" s="49" t="s">
        <v>392</v>
      </c>
      <c r="C28" s="7"/>
      <c r="D28" s="7"/>
      <c r="E28" s="71">
        <v>200</v>
      </c>
      <c r="F28" s="71">
        <v>200</v>
      </c>
      <c r="G28" s="3"/>
    </row>
    <row r="29" spans="1:14" ht="20.100000000000001" customHeight="1" x14ac:dyDescent="0.25">
      <c r="A29" s="51"/>
      <c r="E29" s="74"/>
      <c r="F29" s="74"/>
      <c r="G29" s="3"/>
    </row>
    <row r="30" spans="1:14" ht="20.100000000000001" customHeight="1" x14ac:dyDescent="0.25">
      <c r="C30" s="51"/>
      <c r="D30" s="51" t="s">
        <v>338</v>
      </c>
      <c r="E30" s="65">
        <f>SUM(E2:E28)</f>
        <v>3340</v>
      </c>
      <c r="F30" s="65">
        <f>SUM(F2:F28)</f>
        <v>3540</v>
      </c>
      <c r="G30" s="65"/>
    </row>
    <row r="31" spans="1:14" ht="20.100000000000001" customHeight="1" x14ac:dyDescent="0.25">
      <c r="C31" s="51"/>
      <c r="D31" s="51" t="s">
        <v>339</v>
      </c>
      <c r="E31" s="65">
        <f>E30*10</f>
        <v>33400</v>
      </c>
      <c r="F31" s="65">
        <f>F30*10</f>
        <v>35400</v>
      </c>
      <c r="G31" s="65"/>
    </row>
    <row r="32" spans="1:14" ht="20.100000000000001" customHeight="1" x14ac:dyDescent="0.25">
      <c r="C32" s="51"/>
      <c r="D32" s="51" t="s">
        <v>344</v>
      </c>
      <c r="E32" s="65">
        <f>'MB 2026_27'!Q130</f>
        <v>34800</v>
      </c>
      <c r="F32" s="65">
        <f>E32-F31</f>
        <v>-600</v>
      </c>
      <c r="G32" s="65"/>
    </row>
    <row r="33" spans="3:7" ht="20.100000000000001" customHeight="1" x14ac:dyDescent="0.25">
      <c r="C33" s="51"/>
      <c r="D33" s="51" t="s">
        <v>403</v>
      </c>
      <c r="E33" s="65">
        <v>2663.8</v>
      </c>
      <c r="F33" s="65">
        <f>F32+E33</f>
        <v>2063.8000000000002</v>
      </c>
      <c r="G33" s="65"/>
    </row>
    <row r="34" spans="3:7" ht="20.100000000000001" customHeight="1" x14ac:dyDescent="0.25">
      <c r="C34" s="51"/>
      <c r="D34" s="51" t="s">
        <v>359</v>
      </c>
      <c r="E34" s="65">
        <v>4586.92</v>
      </c>
      <c r="F34" s="65">
        <f>F33+E34</f>
        <v>6650.72</v>
      </c>
      <c r="G34" s="65"/>
    </row>
    <row r="35" spans="3:7" ht="30" x14ac:dyDescent="0.25">
      <c r="C35" s="51"/>
      <c r="D35" s="73" t="s">
        <v>361</v>
      </c>
      <c r="E35" s="65">
        <v>1461.58</v>
      </c>
      <c r="F35" s="65">
        <f>F34+E35</f>
        <v>8112.3</v>
      </c>
      <c r="G35" s="65"/>
    </row>
    <row r="36" spans="3:7" ht="20.100000000000001" customHeight="1" x14ac:dyDescent="0.25">
      <c r="C36" s="51"/>
      <c r="D36" s="51" t="s">
        <v>360</v>
      </c>
      <c r="E36" s="65">
        <v>1290</v>
      </c>
      <c r="F36" s="65">
        <f>F35+E36</f>
        <v>9402.2999999999993</v>
      </c>
      <c r="G36" s="65"/>
    </row>
    <row r="37" spans="3:7" ht="20.100000000000001" customHeight="1" x14ac:dyDescent="0.25">
      <c r="D37" s="51" t="s">
        <v>393</v>
      </c>
    </row>
    <row r="38" spans="3:7" ht="20.100000000000001" customHeight="1" x14ac:dyDescent="0.25">
      <c r="D38" s="51" t="s">
        <v>394</v>
      </c>
    </row>
    <row r="39" spans="3:7" ht="20.100000000000001" customHeight="1" x14ac:dyDescent="0.25">
      <c r="D39" s="51" t="s">
        <v>395</v>
      </c>
    </row>
    <row r="40" spans="3:7" ht="20.100000000000001" customHeight="1" x14ac:dyDescent="0.25">
      <c r="D40" s="51" t="s">
        <v>396</v>
      </c>
    </row>
  </sheetData>
  <mergeCells count="9">
    <mergeCell ref="A3:A4"/>
    <mergeCell ref="A23:A25"/>
    <mergeCell ref="A19:A22"/>
    <mergeCell ref="A5:A6"/>
    <mergeCell ref="A7:A8"/>
    <mergeCell ref="A9:A10"/>
    <mergeCell ref="A12:A13"/>
    <mergeCell ref="A15:A16"/>
    <mergeCell ref="A17:A18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E7F3-633F-4A29-8EF6-30D03F36B8C4}">
  <dimension ref="A1:F12"/>
  <sheetViews>
    <sheetView workbookViewId="0">
      <selection activeCell="A3" sqref="A3"/>
    </sheetView>
  </sheetViews>
  <sheetFormatPr baseColWidth="10" defaultRowHeight="12.75" x14ac:dyDescent="0.2"/>
  <cols>
    <col min="2" max="2" width="15.7109375" bestFit="1" customWidth="1"/>
    <col min="3" max="3" width="15.7109375" customWidth="1"/>
  </cols>
  <sheetData>
    <row r="1" spans="1:6" x14ac:dyDescent="0.2">
      <c r="A1" t="s">
        <v>341</v>
      </c>
      <c r="B1" t="s">
        <v>351</v>
      </c>
      <c r="C1" t="s">
        <v>407</v>
      </c>
      <c r="D1" t="s">
        <v>308</v>
      </c>
      <c r="E1" t="s">
        <v>340</v>
      </c>
    </row>
    <row r="2" spans="1:6" x14ac:dyDescent="0.2">
      <c r="A2" s="23">
        <v>1</v>
      </c>
      <c r="B2" s="23" t="s">
        <v>412</v>
      </c>
      <c r="C2" s="23"/>
      <c r="D2" s="82"/>
      <c r="E2" s="23">
        <v>100</v>
      </c>
      <c r="F2" s="23"/>
    </row>
    <row r="3" spans="1:6" x14ac:dyDescent="0.2">
      <c r="A3" s="23">
        <v>2</v>
      </c>
      <c r="B3" s="23" t="s">
        <v>413</v>
      </c>
      <c r="C3" s="23"/>
      <c r="D3" s="82"/>
      <c r="E3" s="23">
        <v>100</v>
      </c>
      <c r="F3" s="23"/>
    </row>
    <row r="4" spans="1:6" x14ac:dyDescent="0.2">
      <c r="A4" s="23"/>
      <c r="B4" s="23"/>
      <c r="C4" s="23"/>
      <c r="D4" s="82"/>
      <c r="E4" s="23"/>
      <c r="F4" s="23"/>
    </row>
    <row r="5" spans="1:6" x14ac:dyDescent="0.2">
      <c r="A5" s="23"/>
      <c r="B5" s="23"/>
      <c r="C5" s="23"/>
      <c r="D5" s="82"/>
      <c r="E5" s="23"/>
      <c r="F5" s="23"/>
    </row>
    <row r="6" spans="1:6" x14ac:dyDescent="0.2">
      <c r="A6" s="23"/>
      <c r="B6" s="23"/>
      <c r="C6" s="23"/>
      <c r="D6" s="82"/>
      <c r="E6" s="23"/>
      <c r="F6" s="23"/>
    </row>
    <row r="7" spans="1:6" x14ac:dyDescent="0.2">
      <c r="A7" s="23"/>
      <c r="B7" s="23"/>
      <c r="C7" s="23"/>
      <c r="D7" s="23"/>
      <c r="E7" s="23"/>
      <c r="F7" s="23"/>
    </row>
    <row r="8" spans="1:6" x14ac:dyDescent="0.2">
      <c r="A8" s="23"/>
      <c r="B8" s="23"/>
      <c r="C8" s="23"/>
      <c r="D8" s="82"/>
      <c r="E8" s="23"/>
      <c r="F8" s="23"/>
    </row>
    <row r="9" spans="1:6" x14ac:dyDescent="0.2">
      <c r="A9" s="23"/>
      <c r="B9" s="23"/>
      <c r="C9" s="23"/>
      <c r="D9" s="82"/>
      <c r="E9" s="23"/>
      <c r="F9" s="23"/>
    </row>
    <row r="10" spans="1:6" x14ac:dyDescent="0.2">
      <c r="A10" s="23"/>
      <c r="B10" s="23"/>
      <c r="C10" s="23"/>
      <c r="D10" s="82"/>
      <c r="E10" s="23"/>
      <c r="F10" s="23"/>
    </row>
    <row r="11" spans="1:6" x14ac:dyDescent="0.2">
      <c r="A11" s="23"/>
      <c r="B11" s="23"/>
      <c r="C11" s="23"/>
      <c r="D11" s="23"/>
      <c r="E11" s="23"/>
      <c r="F11" s="23"/>
    </row>
    <row r="12" spans="1:6" x14ac:dyDescent="0.2">
      <c r="A12" s="23"/>
      <c r="B12" s="23"/>
      <c r="C12" s="23"/>
      <c r="D12" s="23"/>
      <c r="E12" s="23"/>
      <c r="F12" s="23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9c835b-bcca-44a5-a0b6-897134f10e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ACF1343B5083499E71E192A1CF041F" ma:contentTypeVersion="8" ma:contentTypeDescription="Ein neues Dokument erstellen." ma:contentTypeScope="" ma:versionID="b9bbc7d51d1848fdbbcca53045e7a697">
  <xsd:schema xmlns:xsd="http://www.w3.org/2001/XMLSchema" xmlns:xs="http://www.w3.org/2001/XMLSchema" xmlns:p="http://schemas.microsoft.com/office/2006/metadata/properties" xmlns:ns3="8c598f7b-e807-4b10-a842-c06cab711169" xmlns:ns4="4e9c835b-bcca-44a5-a0b6-897134f10e81" targetNamespace="http://schemas.microsoft.com/office/2006/metadata/properties" ma:root="true" ma:fieldsID="22a29fb35a4f8e04e3640305f553c275" ns3:_="" ns4:_="">
    <xsd:import namespace="8c598f7b-e807-4b10-a842-c06cab711169"/>
    <xsd:import namespace="4e9c835b-bcca-44a5-a0b6-897134f10e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98f7b-e807-4b10-a842-c06cab71116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c835b-bcca-44a5-a0b6-897134f10e81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910614-5E68-413A-9AE6-D8EB93736879}">
  <ds:schemaRefs>
    <ds:schemaRef ds:uri="8c598f7b-e807-4b10-a842-c06cab711169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e9c835b-bcca-44a5-a0b6-897134f10e8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FB13F1F-DB09-4D45-9530-33693C894F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598f7b-e807-4b10-a842-c06cab711169"/>
    <ds:schemaRef ds:uri="4e9c835b-bcca-44a5-a0b6-897134f10e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C8D350-C282-469B-8BD4-F599F56E5B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MB 2026_27</vt:lpstr>
      <vt:lpstr>Trainingsplan</vt:lpstr>
      <vt:lpstr>Trainer-Entgelt 2026_27</vt:lpstr>
      <vt:lpstr>TECO7-Camp Herbst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Jennifer.Lampel.Neotrans</dc:creator>
  <cp:lastModifiedBy>Dieter Berger</cp:lastModifiedBy>
  <cp:lastPrinted>2026-03-02T07:13:45Z</cp:lastPrinted>
  <dcterms:created xsi:type="dcterms:W3CDTF">2025-01-17T08:52:42Z</dcterms:created>
  <dcterms:modified xsi:type="dcterms:W3CDTF">2026-07-17T06:07:01Z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0x010100ACACF1343B5083499E71E192A1CF041F</vt:lpwstr>
  </property>
</Properties>
</file>